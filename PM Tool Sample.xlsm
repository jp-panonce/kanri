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slicers/slicer1.xml" ContentType="application/vnd.ms-excel.slicer+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jects\SIDES\PM Tool\kanri\"/>
    </mc:Choice>
  </mc:AlternateContent>
  <xr:revisionPtr revIDLastSave="0" documentId="13_ncr:1_{488C733D-1A05-4C4D-AFA8-AB13759FA4BA}" xr6:coauthVersionLast="47" xr6:coauthVersionMax="47" xr10:uidLastSave="{00000000-0000-0000-0000-000000000000}"/>
  <bookViews>
    <workbookView xWindow="-108" yWindow="-108" windowWidth="23256" windowHeight="12720" tabRatio="810" activeTab="3" xr2:uid="{C74072AF-3674-491A-8FFE-B7CAEC910822}"/>
  </bookViews>
  <sheets>
    <sheet name="Configure" sheetId="17" r:id="rId1"/>
    <sheet name="Dashboard" sheetId="8" r:id="rId2"/>
    <sheet name="TEST" sheetId="15" state="hidden" r:id="rId3"/>
    <sheet name="Work Package" sheetId="6" r:id="rId4"/>
    <sheet name="Gantt Data" sheetId="19" r:id="rId5"/>
    <sheet name="Project Data" sheetId="2" r:id="rId6"/>
    <sheet name="Risk and Issue Management" sheetId="12" state="hidden" r:id="rId7"/>
    <sheet name="Communication Plan" sheetId="10" state="hidden" r:id="rId8"/>
    <sheet name="Project Team" sheetId="13" state="hidden" r:id="rId9"/>
    <sheet name="Stakeholder Management" sheetId="9" state="hidden" r:id="rId10"/>
    <sheet name="Holidays" sheetId="16" state="hidden" r:id="rId11"/>
    <sheet name="Report" sheetId="1" r:id="rId12"/>
  </sheets>
  <definedNames>
    <definedName name="_xlnm._FilterDatabase" localSheetId="5" hidden="1">'Project Data'!$D$1:$T$103</definedName>
    <definedName name="_xlnm._FilterDatabase" localSheetId="3" hidden="1">'Work Package'!$B$12:$N$16</definedName>
    <definedName name="company_name">'Work Package'!$D$1</definedName>
    <definedName name="complete_Cnt">'Project Data'!$W$6</definedName>
    <definedName name="_xlnm.Criteria" localSheetId="5">'Project Data'!$AQ$2:$AQ$3</definedName>
    <definedName name="dash_Date">'Project Data'!$B$13</definedName>
    <definedName name="daysSinceStart">'Project Data'!$B$12</definedName>
    <definedName name="enableDashMacro">'Project Data'!$B$14</definedName>
    <definedName name="EndOfTable">'Work Package'!#REF!</definedName>
    <definedName name="_xlnm.Extract" localSheetId="5">'Project Data'!$AS$1:$AY$1</definedName>
    <definedName name="gantChartLeftOutsideCells">'Work Package'!$O$13:$O$300</definedName>
    <definedName name="inProgress_Cnt">'Project Data'!$W$4</definedName>
    <definedName name="notStarted_Cnt">'Project Data'!$W$3</definedName>
    <definedName name="overdue_Cnt">'Project Data'!$W$5</definedName>
    <definedName name="prevWBS" localSheetId="5">'Project Data'!$A1048576</definedName>
    <definedName name="prevWBS" localSheetId="3">'Work Package'!$B1048576</definedName>
    <definedName name="_xlnm.Print_Area" localSheetId="3">'Work Package'!$B$1:$BS$32</definedName>
    <definedName name="_xlnm.Print_Titles" localSheetId="3">'Work Package'!$9:$12</definedName>
    <definedName name="project_name">'Work Package'!$D$2</definedName>
    <definedName name="projectChampion">'Work Package'!$D$7</definedName>
    <definedName name="projectManager">'Work Package'!$D$6</definedName>
    <definedName name="projectSponsor">'Work Package'!$D$5</definedName>
    <definedName name="projectStart">'Work Package'!$D$4</definedName>
    <definedName name="projectStatus">'Project Data'!$B$10</definedName>
    <definedName name="projManager">'Project Data'!$B$4</definedName>
    <definedName name="projName">'Project Data'!$B$2</definedName>
    <definedName name="projSponsor">'Project Data'!$B$3</definedName>
    <definedName name="projStatus">'Project Data'!$B$10</definedName>
    <definedName name="Slicer_Department">#N/A</definedName>
    <definedName name="Slicer_Position">#N/A</definedName>
    <definedName name="Slicer_Project_Role">#N/A</definedName>
    <definedName name="team_members_Concat">'Project Data'!$B$15</definedName>
    <definedName name="totalTasks_Cnt">'Project Data'!$W$7</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81029"/>
  <pivotCaches>
    <pivotCache cacheId="0" r:id="rId1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3" i="19" l="1"/>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02" i="19"/>
  <c r="A203" i="19"/>
  <c r="A204" i="19"/>
  <c r="A205" i="19"/>
  <c r="A206" i="19"/>
  <c r="A207" i="19"/>
  <c r="A208" i="19"/>
  <c r="A209" i="19"/>
  <c r="A210" i="19"/>
  <c r="A211" i="19"/>
  <c r="A212" i="19"/>
  <c r="A213" i="19"/>
  <c r="A214" i="19"/>
  <c r="A215" i="19"/>
  <c r="A216" i="19"/>
  <c r="A217" i="19"/>
  <c r="A218" i="19"/>
  <c r="A219" i="19"/>
  <c r="A220" i="19"/>
  <c r="A221" i="19"/>
  <c r="A222" i="19"/>
  <c r="A223" i="19"/>
  <c r="A224" i="19"/>
  <c r="A225" i="19"/>
  <c r="A226" i="19"/>
  <c r="A227" i="19"/>
  <c r="A228" i="19"/>
  <c r="A229" i="19"/>
  <c r="A230" i="19"/>
  <c r="A231" i="19"/>
  <c r="A232" i="19"/>
  <c r="A233" i="19"/>
  <c r="A234" i="19"/>
  <c r="A235" i="19"/>
  <c r="A236" i="19"/>
  <c r="A237" i="19"/>
  <c r="A238" i="19"/>
  <c r="A239" i="19"/>
  <c r="A240" i="19"/>
  <c r="A241" i="19"/>
  <c r="A242" i="19"/>
  <c r="A243" i="19"/>
  <c r="A244" i="19"/>
  <c r="A245" i="19"/>
  <c r="A246" i="19"/>
  <c r="A247" i="19"/>
  <c r="A248" i="19"/>
  <c r="A249" i="19"/>
  <c r="A250" i="19"/>
  <c r="A251" i="19"/>
  <c r="A252" i="19"/>
  <c r="A253" i="19"/>
  <c r="A254" i="19"/>
  <c r="A255" i="19"/>
  <c r="A256" i="19"/>
  <c r="A257" i="19"/>
  <c r="A258" i="19"/>
  <c r="A259" i="19"/>
  <c r="A260" i="19"/>
  <c r="A261" i="19"/>
  <c r="A262" i="19"/>
  <c r="A263" i="19"/>
  <c r="A264" i="19"/>
  <c r="A265" i="19"/>
  <c r="A266" i="19"/>
  <c r="A267" i="19"/>
  <c r="A268" i="19"/>
  <c r="A269" i="19"/>
  <c r="A270" i="19"/>
  <c r="A271" i="19"/>
  <c r="A272" i="19"/>
  <c r="A273" i="19"/>
  <c r="A274" i="19"/>
  <c r="A275" i="19"/>
  <c r="A276" i="19"/>
  <c r="A277" i="19"/>
  <c r="A278" i="19"/>
  <c r="A279" i="19"/>
  <c r="A280" i="19"/>
  <c r="A281" i="19"/>
  <c r="A282" i="19"/>
  <c r="A283" i="19"/>
  <c r="A284" i="19"/>
  <c r="A285" i="19"/>
  <c r="A286" i="19"/>
  <c r="A287" i="19"/>
  <c r="A288" i="19"/>
  <c r="A289" i="19"/>
  <c r="A290" i="19"/>
  <c r="A291" i="19"/>
  <c r="A292" i="19"/>
  <c r="A293" i="19"/>
  <c r="A294" i="19"/>
  <c r="A295" i="19"/>
  <c r="A296" i="19"/>
  <c r="A297" i="19"/>
  <c r="A298" i="19"/>
  <c r="A299" i="19"/>
  <c r="A300" i="19"/>
  <c r="A301" i="19"/>
  <c r="A302" i="19"/>
  <c r="A303" i="19"/>
  <c r="A304" i="19"/>
  <c r="A305" i="19"/>
  <c r="A306" i="19"/>
  <c r="A307" i="19"/>
  <c r="A308" i="19"/>
  <c r="A309" i="19"/>
  <c r="A310" i="19"/>
  <c r="A311" i="19"/>
  <c r="A312" i="19"/>
  <c r="A313" i="19"/>
  <c r="A314" i="19"/>
  <c r="A315" i="19"/>
  <c r="A316" i="19"/>
  <c r="A317" i="19"/>
  <c r="A318" i="19"/>
  <c r="A319" i="19"/>
  <c r="A320" i="19"/>
  <c r="A321" i="19"/>
  <c r="A322" i="19"/>
  <c r="A323" i="19"/>
  <c r="A324" i="19"/>
  <c r="A325" i="19"/>
  <c r="A326" i="19"/>
  <c r="A327" i="19"/>
  <c r="A328" i="19"/>
  <c r="A329" i="19"/>
  <c r="A330" i="19"/>
  <c r="A331" i="19"/>
  <c r="A332" i="19"/>
  <c r="A333" i="19"/>
  <c r="A334" i="19"/>
  <c r="A335" i="19"/>
  <c r="A336" i="19"/>
  <c r="A337" i="19"/>
  <c r="A338" i="19"/>
  <c r="A339" i="19"/>
  <c r="A340" i="19"/>
  <c r="A341" i="19"/>
  <c r="A342" i="19"/>
  <c r="A343" i="19"/>
  <c r="A344" i="19"/>
  <c r="A345" i="19"/>
  <c r="A346" i="19"/>
  <c r="A347" i="19"/>
  <c r="A348" i="19"/>
  <c r="A349" i="19"/>
  <c r="A350" i="19"/>
  <c r="A351" i="19"/>
  <c r="A352" i="19"/>
  <c r="A353" i="19"/>
  <c r="A354" i="19"/>
  <c r="A355" i="19"/>
  <c r="A356" i="19"/>
  <c r="A357" i="19"/>
  <c r="A358" i="19"/>
  <c r="A359" i="19"/>
  <c r="A360" i="19"/>
  <c r="A361" i="19"/>
  <c r="A362" i="19"/>
  <c r="A363" i="19"/>
  <c r="A364" i="19"/>
  <c r="A365" i="19"/>
  <c r="A366" i="19"/>
  <c r="A367" i="19"/>
  <c r="A368" i="19"/>
  <c r="A369" i="19"/>
  <c r="A370" i="19"/>
  <c r="A371" i="19"/>
  <c r="A372" i="19"/>
  <c r="A373" i="19"/>
  <c r="A374" i="19"/>
  <c r="A375" i="19"/>
  <c r="A376" i="19"/>
  <c r="A377" i="19"/>
  <c r="A378" i="19"/>
  <c r="A379" i="19"/>
  <c r="A380" i="19"/>
  <c r="A381" i="19"/>
  <c r="A382" i="19"/>
  <c r="A383" i="19"/>
  <c r="A384" i="19"/>
  <c r="A385" i="19"/>
  <c r="A386" i="19"/>
  <c r="A387" i="19"/>
  <c r="A388" i="19"/>
  <c r="A389" i="19"/>
  <c r="A390" i="19"/>
  <c r="A391" i="19"/>
  <c r="A392" i="19"/>
  <c r="A393" i="19"/>
  <c r="A394" i="19"/>
  <c r="A395" i="19"/>
  <c r="A396" i="19"/>
  <c r="A397" i="19"/>
  <c r="A398" i="19"/>
  <c r="A399" i="19"/>
  <c r="A400" i="19"/>
  <c r="A401" i="19"/>
  <c r="A402" i="19"/>
  <c r="A403" i="19"/>
  <c r="A404" i="19"/>
  <c r="A405" i="19"/>
  <c r="A406" i="19"/>
  <c r="A407" i="19"/>
  <c r="A408" i="19"/>
  <c r="A409" i="19"/>
  <c r="A410" i="19"/>
  <c r="A411" i="19"/>
  <c r="A412" i="19"/>
  <c r="A413" i="19"/>
  <c r="A414" i="19"/>
  <c r="A415" i="19"/>
  <c r="A416" i="19"/>
  <c r="A417" i="19"/>
  <c r="A418" i="19"/>
  <c r="A419" i="19"/>
  <c r="A420" i="19"/>
  <c r="A421" i="19"/>
  <c r="A422" i="19"/>
  <c r="A423" i="19"/>
  <c r="A424" i="19"/>
  <c r="A425" i="19"/>
  <c r="A426" i="19"/>
  <c r="A427" i="19"/>
  <c r="A428" i="19"/>
  <c r="A429" i="19"/>
  <c r="A430" i="19"/>
  <c r="A431" i="19"/>
  <c r="A432" i="19"/>
  <c r="A433" i="19"/>
  <c r="A434" i="19"/>
  <c r="A435" i="19"/>
  <c r="A436" i="19"/>
  <c r="A437" i="19"/>
  <c r="A438" i="19"/>
  <c r="A439" i="19"/>
  <c r="A440" i="19"/>
  <c r="A441" i="19"/>
  <c r="A442" i="19"/>
  <c r="A443" i="19"/>
  <c r="A444" i="19"/>
  <c r="A445" i="19"/>
  <c r="A446" i="19"/>
  <c r="A447" i="19"/>
  <c r="A448" i="19"/>
  <c r="A449" i="19"/>
  <c r="A450" i="19"/>
  <c r="A451" i="19"/>
  <c r="A452" i="19"/>
  <c r="A453" i="19"/>
  <c r="A454" i="19"/>
  <c r="A455" i="19"/>
  <c r="A456" i="19"/>
  <c r="A457" i="19"/>
  <c r="A458" i="19"/>
  <c r="A459" i="19"/>
  <c r="A460" i="19"/>
  <c r="A461" i="19"/>
  <c r="A462" i="19"/>
  <c r="A463" i="19"/>
  <c r="A464" i="19"/>
  <c r="A465" i="19"/>
  <c r="A466" i="19"/>
  <c r="A467" i="19"/>
  <c r="A468" i="19"/>
  <c r="A469" i="19"/>
  <c r="A470" i="19"/>
  <c r="A471" i="19"/>
  <c r="A472" i="19"/>
  <c r="A473" i="19"/>
  <c r="A474" i="19"/>
  <c r="A475" i="19"/>
  <c r="A476" i="19"/>
  <c r="A477" i="19"/>
  <c r="A478" i="19"/>
  <c r="A479" i="19"/>
  <c r="A480" i="19"/>
  <c r="A481" i="19"/>
  <c r="A482" i="19"/>
  <c r="A483" i="19"/>
  <c r="A484" i="19"/>
  <c r="A485" i="19"/>
  <c r="A486" i="19"/>
  <c r="A487" i="19"/>
  <c r="A488" i="19"/>
  <c r="A489" i="19"/>
  <c r="A490" i="19"/>
  <c r="A491" i="19"/>
  <c r="A492" i="19"/>
  <c r="A493" i="19"/>
  <c r="A494" i="19"/>
  <c r="A495" i="19"/>
  <c r="A496" i="19"/>
  <c r="A497" i="19"/>
  <c r="A498" i="19"/>
  <c r="A499" i="19"/>
  <c r="A500" i="19"/>
  <c r="A501" i="19"/>
  <c r="A502" i="19"/>
  <c r="A503" i="19"/>
  <c r="A504" i="19"/>
  <c r="A505" i="19"/>
  <c r="A506" i="19"/>
  <c r="A507" i="19"/>
  <c r="A508" i="19"/>
  <c r="A509" i="19"/>
  <c r="A510" i="19"/>
  <c r="A511" i="19"/>
  <c r="A512" i="19"/>
  <c r="A513" i="19"/>
  <c r="A514" i="19"/>
  <c r="A515" i="19"/>
  <c r="A516" i="19"/>
  <c r="A517" i="19"/>
  <c r="A518" i="19"/>
  <c r="A519" i="19"/>
  <c r="A520" i="19"/>
  <c r="A521" i="19"/>
  <c r="A522" i="19"/>
  <c r="A523" i="19"/>
  <c r="A524" i="19"/>
  <c r="A525" i="19"/>
  <c r="A526" i="19"/>
  <c r="A527" i="19"/>
  <c r="A528" i="19"/>
  <c r="A529" i="19"/>
  <c r="A530" i="19"/>
  <c r="A531" i="19"/>
  <c r="A532" i="19"/>
  <c r="A533" i="19"/>
  <c r="A534" i="19"/>
  <c r="A535" i="19"/>
  <c r="A536" i="19"/>
  <c r="A537" i="19"/>
  <c r="A538" i="19"/>
  <c r="A539" i="19"/>
  <c r="A540" i="19"/>
  <c r="A541" i="19"/>
  <c r="A542" i="19"/>
  <c r="A543" i="19"/>
  <c r="A544" i="19"/>
  <c r="A545" i="19"/>
  <c r="A546" i="19"/>
  <c r="A547" i="19"/>
  <c r="A548" i="19"/>
  <c r="A549" i="19"/>
  <c r="A550" i="19"/>
  <c r="A551" i="19"/>
  <c r="A552" i="19"/>
  <c r="A553" i="19"/>
  <c r="A554" i="19"/>
  <c r="A555" i="19"/>
  <c r="A556" i="19"/>
  <c r="A557" i="19"/>
  <c r="A558" i="19"/>
  <c r="A559" i="19"/>
  <c r="A560" i="19"/>
  <c r="A561" i="19"/>
  <c r="A562" i="19"/>
  <c r="A563" i="19"/>
  <c r="A564" i="19"/>
  <c r="A565" i="19"/>
  <c r="A566" i="19"/>
  <c r="A567" i="19"/>
  <c r="A568" i="19"/>
  <c r="A569" i="19"/>
  <c r="A2" i="19"/>
  <c r="K13" i="6"/>
  <c r="H13" i="6"/>
  <c r="B15" i="2"/>
  <c r="AQ5" i="2" l="1"/>
  <c r="BA4" i="2"/>
  <c r="BB4" i="2" s="1"/>
  <c r="BA5" i="2"/>
  <c r="BB5" i="2" s="1"/>
  <c r="BA6" i="2"/>
  <c r="BB6" i="2" s="1"/>
  <c r="BA7" i="2"/>
  <c r="BB7" i="2" s="1"/>
  <c r="BA8" i="2"/>
  <c r="BB8" i="2" s="1"/>
  <c r="BA9" i="2"/>
  <c r="BB9" i="2" s="1"/>
  <c r="BA10" i="2"/>
  <c r="BB10" i="2" s="1"/>
  <c r="BA11" i="2"/>
  <c r="BB11" i="2" s="1"/>
  <c r="BA12" i="2"/>
  <c r="BB12" i="2" s="1"/>
  <c r="BA13" i="2"/>
  <c r="BB13" i="2" s="1"/>
  <c r="BA14" i="2"/>
  <c r="BB14" i="2" s="1"/>
  <c r="BA15" i="2"/>
  <c r="BB15" i="2" s="1"/>
  <c r="BA16" i="2"/>
  <c r="BB16" i="2" s="1"/>
  <c r="AV5" i="2"/>
  <c r="AV8" i="2"/>
  <c r="AV9" i="2"/>
  <c r="AV10" i="2"/>
  <c r="AV11" i="2"/>
  <c r="AV12" i="2"/>
  <c r="AV13" i="2"/>
  <c r="AV15" i="2"/>
  <c r="AV16" i="2"/>
  <c r="AG6" i="2"/>
  <c r="AF6" i="2"/>
  <c r="AE6" i="2"/>
  <c r="B13" i="2"/>
  <c r="AU5" i="2"/>
  <c r="AU6" i="2"/>
  <c r="AW6" i="2" s="1"/>
  <c r="AU7" i="2"/>
  <c r="AW7" i="2" s="1"/>
  <c r="AU8" i="2"/>
  <c r="AU9" i="2"/>
  <c r="AU10" i="2"/>
  <c r="AU11" i="2"/>
  <c r="AU12" i="2"/>
  <c r="AU13" i="2"/>
  <c r="AU14" i="2"/>
  <c r="AW14" i="2" s="1"/>
  <c r="AU15" i="2"/>
  <c r="AU16" i="2"/>
  <c r="AU4" i="2"/>
  <c r="AW4" i="2" s="1"/>
  <c r="M103" i="2"/>
  <c r="H103" i="2" s="1"/>
  <c r="R103" i="2"/>
  <c r="AW10" i="2" l="1"/>
  <c r="AW11" i="2"/>
  <c r="AW9" i="2"/>
  <c r="AW15" i="2"/>
  <c r="AW8" i="2"/>
  <c r="AW16" i="2"/>
  <c r="AW5" i="2"/>
  <c r="AW13" i="2"/>
  <c r="AW12" i="2"/>
  <c r="G103" i="2"/>
  <c r="J103" i="2"/>
  <c r="I103" i="2"/>
  <c r="B6" i="2" l="1"/>
  <c r="AH5" i="2"/>
  <c r="AH4" i="2"/>
  <c r="AH3" i="2"/>
  <c r="H3" i="1"/>
  <c r="C5" i="1"/>
  <c r="C4" i="1"/>
  <c r="C3" i="1"/>
  <c r="B11"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AZ4" i="2" l="1"/>
  <c r="AZ12" i="2"/>
  <c r="AZ7" i="2"/>
  <c r="AZ15" i="2"/>
  <c r="AZ10" i="2"/>
  <c r="AZ5" i="2"/>
  <c r="AZ13" i="2"/>
  <c r="AZ8" i="2"/>
  <c r="AZ16" i="2"/>
  <c r="AZ9" i="2"/>
  <c r="AZ11" i="2"/>
  <c r="AZ6" i="2"/>
  <c r="AZ14" i="2"/>
  <c r="B12" i="2"/>
  <c r="P11" i="6" l="1"/>
  <c r="Q11" i="6" s="1"/>
  <c r="AA4" i="2"/>
  <c r="W7" i="2"/>
  <c r="X6" i="2" s="1"/>
  <c r="X8" i="2"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B9" i="2"/>
  <c r="H95" i="2" l="1"/>
  <c r="I95" i="2"/>
  <c r="J95" i="2"/>
  <c r="H55" i="2"/>
  <c r="I55" i="2"/>
  <c r="J55" i="2"/>
  <c r="H47" i="2"/>
  <c r="I47" i="2"/>
  <c r="J47" i="2"/>
  <c r="H39" i="2"/>
  <c r="I39" i="2"/>
  <c r="J39" i="2"/>
  <c r="H31" i="2"/>
  <c r="I31" i="2"/>
  <c r="J31" i="2"/>
  <c r="H23" i="2"/>
  <c r="I23" i="2"/>
  <c r="J23" i="2"/>
  <c r="H15" i="2"/>
  <c r="I15" i="2"/>
  <c r="J15" i="2"/>
  <c r="H7" i="2"/>
  <c r="I7" i="2"/>
  <c r="J7" i="2"/>
  <c r="I102" i="2"/>
  <c r="J102" i="2"/>
  <c r="H102" i="2"/>
  <c r="I94" i="2"/>
  <c r="H94" i="2"/>
  <c r="J94" i="2"/>
  <c r="I86" i="2"/>
  <c r="J86" i="2"/>
  <c r="H86" i="2"/>
  <c r="I78" i="2"/>
  <c r="J78" i="2"/>
  <c r="H78" i="2"/>
  <c r="H70" i="2"/>
  <c r="I70" i="2"/>
  <c r="J70" i="2"/>
  <c r="I62" i="2"/>
  <c r="H62" i="2"/>
  <c r="J62" i="2"/>
  <c r="I54" i="2"/>
  <c r="J54" i="2"/>
  <c r="H54" i="2"/>
  <c r="I46" i="2"/>
  <c r="J46" i="2"/>
  <c r="H46" i="2"/>
  <c r="H38" i="2"/>
  <c r="I38" i="2"/>
  <c r="J38" i="2"/>
  <c r="I30" i="2"/>
  <c r="J30" i="2"/>
  <c r="H30" i="2"/>
  <c r="I22" i="2"/>
  <c r="H22" i="2"/>
  <c r="J22" i="2"/>
  <c r="I14" i="2"/>
  <c r="J14" i="2"/>
  <c r="H14" i="2"/>
  <c r="H6" i="2"/>
  <c r="I6" i="2"/>
  <c r="J6" i="2"/>
  <c r="H79" i="2"/>
  <c r="I79" i="2"/>
  <c r="J79" i="2"/>
  <c r="I93" i="2"/>
  <c r="J93" i="2"/>
  <c r="H93" i="2"/>
  <c r="I77" i="2"/>
  <c r="J77" i="2"/>
  <c r="H77" i="2"/>
  <c r="I61" i="2"/>
  <c r="J61" i="2"/>
  <c r="H61" i="2"/>
  <c r="I53" i="2"/>
  <c r="J53" i="2"/>
  <c r="H53" i="2"/>
  <c r="I37" i="2"/>
  <c r="J37" i="2"/>
  <c r="H37" i="2"/>
  <c r="I29" i="2"/>
  <c r="J29" i="2"/>
  <c r="H29" i="2"/>
  <c r="I13" i="2"/>
  <c r="J13" i="2"/>
  <c r="H13" i="2"/>
  <c r="I100" i="2"/>
  <c r="J100" i="2"/>
  <c r="H100" i="2"/>
  <c r="I92" i="2"/>
  <c r="J92" i="2"/>
  <c r="H92" i="2"/>
  <c r="I84" i="2"/>
  <c r="J84" i="2"/>
  <c r="H84" i="2"/>
  <c r="I76" i="2"/>
  <c r="J76" i="2"/>
  <c r="H76" i="2"/>
  <c r="I68" i="2"/>
  <c r="J68" i="2"/>
  <c r="H68" i="2"/>
  <c r="I60" i="2"/>
  <c r="J60" i="2"/>
  <c r="H60" i="2"/>
  <c r="I52" i="2"/>
  <c r="J52" i="2"/>
  <c r="H52" i="2"/>
  <c r="I44" i="2"/>
  <c r="J44" i="2"/>
  <c r="H44" i="2"/>
  <c r="I36" i="2"/>
  <c r="J36" i="2"/>
  <c r="H36" i="2"/>
  <c r="I28" i="2"/>
  <c r="J28" i="2"/>
  <c r="H28" i="2"/>
  <c r="I20" i="2"/>
  <c r="J20" i="2"/>
  <c r="H20" i="2"/>
  <c r="I12" i="2"/>
  <c r="J12" i="2"/>
  <c r="H12" i="2"/>
  <c r="I4" i="2"/>
  <c r="J4" i="2"/>
  <c r="H4" i="2"/>
  <c r="H71" i="2"/>
  <c r="I71" i="2"/>
  <c r="J71" i="2"/>
  <c r="I85" i="2"/>
  <c r="J85" i="2"/>
  <c r="H85" i="2"/>
  <c r="I69" i="2"/>
  <c r="J69" i="2"/>
  <c r="H69" i="2"/>
  <c r="I45" i="2"/>
  <c r="J45" i="2"/>
  <c r="H45" i="2"/>
  <c r="I21" i="2"/>
  <c r="J21" i="2"/>
  <c r="H21" i="2"/>
  <c r="I5" i="2"/>
  <c r="J5" i="2"/>
  <c r="H5" i="2"/>
  <c r="J99" i="2"/>
  <c r="H99" i="2"/>
  <c r="I99" i="2"/>
  <c r="J91" i="2"/>
  <c r="H91" i="2"/>
  <c r="I91" i="2"/>
  <c r="J83" i="2"/>
  <c r="H83" i="2"/>
  <c r="I83" i="2"/>
  <c r="J75" i="2"/>
  <c r="H75" i="2"/>
  <c r="I75" i="2"/>
  <c r="I67" i="2"/>
  <c r="J67" i="2"/>
  <c r="H67" i="2"/>
  <c r="J59" i="2"/>
  <c r="H59" i="2"/>
  <c r="I59" i="2"/>
  <c r="J51" i="2"/>
  <c r="H51" i="2"/>
  <c r="I51" i="2"/>
  <c r="J43" i="2"/>
  <c r="H43" i="2"/>
  <c r="I43" i="2"/>
  <c r="I35" i="2"/>
  <c r="J35" i="2"/>
  <c r="H35" i="2"/>
  <c r="J27" i="2"/>
  <c r="H27" i="2"/>
  <c r="I27" i="2"/>
  <c r="J19" i="2"/>
  <c r="H19" i="2"/>
  <c r="I19" i="2"/>
  <c r="J11" i="2"/>
  <c r="H11" i="2"/>
  <c r="I11" i="2"/>
  <c r="J3" i="2"/>
  <c r="H3" i="2"/>
  <c r="I3" i="2"/>
  <c r="J2" i="2"/>
  <c r="H2" i="2"/>
  <c r="I2" i="2"/>
  <c r="H63" i="2"/>
  <c r="I63" i="2"/>
  <c r="J63" i="2"/>
  <c r="J98" i="2"/>
  <c r="H98" i="2"/>
  <c r="I98" i="2"/>
  <c r="J82" i="2"/>
  <c r="H82" i="2"/>
  <c r="I82" i="2"/>
  <c r="J66" i="2"/>
  <c r="H66" i="2"/>
  <c r="I66" i="2"/>
  <c r="J50" i="2"/>
  <c r="H50" i="2"/>
  <c r="I50" i="2"/>
  <c r="J34" i="2"/>
  <c r="H34" i="2"/>
  <c r="I34" i="2"/>
  <c r="J18" i="2"/>
  <c r="H18" i="2"/>
  <c r="I18" i="2"/>
  <c r="J97" i="2"/>
  <c r="H97" i="2"/>
  <c r="I97" i="2"/>
  <c r="J89" i="2"/>
  <c r="H89" i="2"/>
  <c r="I89" i="2"/>
  <c r="J81" i="2"/>
  <c r="H81" i="2"/>
  <c r="I81" i="2"/>
  <c r="J73" i="2"/>
  <c r="H73" i="2"/>
  <c r="I73" i="2"/>
  <c r="J65" i="2"/>
  <c r="H65" i="2"/>
  <c r="I65" i="2"/>
  <c r="J57" i="2"/>
  <c r="H57" i="2"/>
  <c r="I57" i="2"/>
  <c r="J49" i="2"/>
  <c r="H49" i="2"/>
  <c r="I49" i="2"/>
  <c r="J41" i="2"/>
  <c r="H41" i="2"/>
  <c r="I41" i="2"/>
  <c r="J33" i="2"/>
  <c r="H33" i="2"/>
  <c r="I33" i="2"/>
  <c r="J25" i="2"/>
  <c r="H25" i="2"/>
  <c r="I25" i="2"/>
  <c r="J17" i="2"/>
  <c r="H17" i="2"/>
  <c r="I17" i="2"/>
  <c r="J9" i="2"/>
  <c r="H9" i="2"/>
  <c r="I9" i="2"/>
  <c r="H87" i="2"/>
  <c r="I87" i="2"/>
  <c r="J87" i="2"/>
  <c r="I101" i="2"/>
  <c r="J101" i="2"/>
  <c r="H101" i="2"/>
  <c r="J90" i="2"/>
  <c r="H90" i="2"/>
  <c r="I90" i="2"/>
  <c r="H74" i="2"/>
  <c r="J74" i="2"/>
  <c r="I74" i="2"/>
  <c r="J58" i="2"/>
  <c r="H58" i="2"/>
  <c r="I58" i="2"/>
  <c r="J42" i="2"/>
  <c r="H42" i="2"/>
  <c r="I42" i="2"/>
  <c r="J26" i="2"/>
  <c r="H26" i="2"/>
  <c r="I26" i="2"/>
  <c r="J10" i="2"/>
  <c r="H10" i="2"/>
  <c r="I10" i="2"/>
  <c r="J96" i="2"/>
  <c r="H96" i="2"/>
  <c r="I96" i="2"/>
  <c r="I88" i="2"/>
  <c r="J88" i="2"/>
  <c r="H88" i="2"/>
  <c r="I80" i="2"/>
  <c r="H80" i="2"/>
  <c r="J80" i="2"/>
  <c r="H72" i="2"/>
  <c r="I72" i="2"/>
  <c r="J72" i="2"/>
  <c r="I64" i="2"/>
  <c r="J64" i="2"/>
  <c r="H64" i="2"/>
  <c r="H56" i="2"/>
  <c r="I56" i="2"/>
  <c r="J56" i="2"/>
  <c r="H48" i="2"/>
  <c r="I48" i="2"/>
  <c r="J48" i="2"/>
  <c r="H40" i="2"/>
  <c r="I40" i="2"/>
  <c r="J40" i="2"/>
  <c r="J32" i="2"/>
  <c r="H32" i="2"/>
  <c r="I32" i="2"/>
  <c r="H24" i="2"/>
  <c r="I24" i="2"/>
  <c r="J24" i="2"/>
  <c r="H16" i="2"/>
  <c r="I16" i="2"/>
  <c r="J16" i="2"/>
  <c r="J8" i="2"/>
  <c r="H8" i="2"/>
  <c r="I8" i="2"/>
  <c r="G63" i="2"/>
  <c r="G64" i="2" s="1"/>
  <c r="G65" i="2" s="1"/>
  <c r="G66" i="2" s="1"/>
  <c r="G67" i="2" s="1"/>
  <c r="G68" i="2" s="1"/>
  <c r="G69" i="2" s="1"/>
  <c r="G70" i="2"/>
  <c r="F70" i="2"/>
  <c r="F71" i="2" s="1"/>
  <c r="F72" i="2" s="1"/>
  <c r="F73" i="2" s="1"/>
  <c r="F74" i="2" s="1"/>
  <c r="F75" i="2" s="1"/>
  <c r="F76" i="2" s="1"/>
  <c r="F77" i="2" s="1"/>
  <c r="F78" i="2" s="1"/>
  <c r="F79" i="2" s="1"/>
  <c r="F80" i="2" s="1"/>
  <c r="F81" i="2" s="1"/>
  <c r="F82" i="2" s="1"/>
  <c r="F83" i="2" s="1"/>
  <c r="F84" i="2" s="1"/>
  <c r="F85" i="2" s="1"/>
  <c r="F86" i="2" s="1"/>
  <c r="F87" i="2" s="1"/>
  <c r="F62" i="2"/>
  <c r="F63" i="2" s="1"/>
  <c r="F64" i="2" s="1"/>
  <c r="F65" i="2" s="1"/>
  <c r="F66" i="2" s="1"/>
  <c r="F67" i="2" s="1"/>
  <c r="F68" i="2" s="1"/>
  <c r="F69" i="2" s="1"/>
  <c r="G62" i="2"/>
  <c r="G46" i="2"/>
  <c r="G22" i="2"/>
  <c r="G23" i="2" s="1"/>
  <c r="G24" i="2" s="1"/>
  <c r="G25" i="2" s="1"/>
  <c r="G26" i="2" s="1"/>
  <c r="F101" i="2"/>
  <c r="F102" i="2" s="1"/>
  <c r="F103" i="2" s="1"/>
  <c r="G101" i="2"/>
  <c r="G45" i="2"/>
  <c r="F21" i="2"/>
  <c r="F22" i="2" s="1"/>
  <c r="F23" i="2" s="1"/>
  <c r="F24" i="2" s="1"/>
  <c r="F25" i="2" s="1"/>
  <c r="F26" i="2" s="1"/>
  <c r="G21" i="2"/>
  <c r="F47" i="2"/>
  <c r="F48" i="2" s="1"/>
  <c r="F49" i="2" s="1"/>
  <c r="F50" i="2" s="1"/>
  <c r="F51" i="2" s="1"/>
  <c r="F52" i="2" s="1"/>
  <c r="F53" i="2" s="1"/>
  <c r="F54" i="2" s="1"/>
  <c r="F55" i="2" s="1"/>
  <c r="G47" i="2"/>
  <c r="G28" i="2"/>
  <c r="G29" i="2" s="1"/>
  <c r="G30" i="2" s="1"/>
  <c r="G12" i="2"/>
  <c r="G13" i="2" s="1"/>
  <c r="G14" i="2" s="1"/>
  <c r="G15" i="2" s="1"/>
  <c r="G16" i="2" s="1"/>
  <c r="G17" i="2" s="1"/>
  <c r="G18" i="2" s="1"/>
  <c r="G19" i="2" s="1"/>
  <c r="G20" i="2" s="1"/>
  <c r="G4" i="2"/>
  <c r="G5" i="2" s="1"/>
  <c r="G6" i="2" s="1"/>
  <c r="G7" i="2" s="1"/>
  <c r="G8" i="2" s="1"/>
  <c r="G9" i="2" s="1"/>
  <c r="G10" i="2" s="1"/>
  <c r="G27" i="2"/>
  <c r="F27" i="2"/>
  <c r="F28" i="2" s="1"/>
  <c r="F29" i="2" s="1"/>
  <c r="F30" i="2" s="1"/>
  <c r="G11" i="2"/>
  <c r="F11" i="2"/>
  <c r="F12" i="2" s="1"/>
  <c r="F13" i="2" s="1"/>
  <c r="F14" i="2" s="1"/>
  <c r="F15" i="2" s="1"/>
  <c r="F16" i="2" s="1"/>
  <c r="F17" i="2" s="1"/>
  <c r="F18" i="2" s="1"/>
  <c r="F19" i="2" s="1"/>
  <c r="F20" i="2" s="1"/>
  <c r="G3" i="2"/>
  <c r="F3" i="2"/>
  <c r="F4" i="2" s="1"/>
  <c r="F5" i="2" s="1"/>
  <c r="F6" i="2" s="1"/>
  <c r="F7" i="2" s="1"/>
  <c r="F8" i="2" s="1"/>
  <c r="F9" i="2" s="1"/>
  <c r="F10" i="2" s="1"/>
  <c r="G71" i="2"/>
  <c r="G72" i="2" s="1"/>
  <c r="G73" i="2" s="1"/>
  <c r="G74" i="2" s="1"/>
  <c r="G75" i="2" s="1"/>
  <c r="G76" i="2" s="1"/>
  <c r="G77" i="2" s="1"/>
  <c r="G78" i="2" s="1"/>
  <c r="G79" i="2" s="1"/>
  <c r="G80" i="2" s="1"/>
  <c r="G81" i="2" s="1"/>
  <c r="G82" i="2" s="1"/>
  <c r="G83" i="2" s="1"/>
  <c r="G84" i="2" s="1"/>
  <c r="G85" i="2" s="1"/>
  <c r="G86" i="2" s="1"/>
  <c r="G87" i="2" s="1"/>
  <c r="F31" i="2"/>
  <c r="F32" i="2" s="1"/>
  <c r="F33" i="2" s="1"/>
  <c r="F34" i="2" s="1"/>
  <c r="F35" i="2" s="1"/>
  <c r="F36" i="2" s="1"/>
  <c r="F37" i="2" s="1"/>
  <c r="F38" i="2" s="1"/>
  <c r="F39" i="2" s="1"/>
  <c r="F40" i="2" s="1"/>
  <c r="F41" i="2" s="1"/>
  <c r="F42" i="2" s="1"/>
  <c r="F43" i="2" s="1"/>
  <c r="F44" i="2" s="1"/>
  <c r="F45" i="2" s="1"/>
  <c r="F46" i="2" s="1"/>
  <c r="G31" i="2"/>
  <c r="G102" i="2"/>
  <c r="G2" i="2"/>
  <c r="F2" i="2"/>
  <c r="F97" i="2"/>
  <c r="F98" i="2" s="1"/>
  <c r="F99" i="2" s="1"/>
  <c r="F100" i="2" s="1"/>
  <c r="G97" i="2"/>
  <c r="G89" i="2"/>
  <c r="G90" i="2" s="1"/>
  <c r="G91" i="2" s="1"/>
  <c r="G92" i="2" s="1"/>
  <c r="G93" i="2" s="1"/>
  <c r="G94" i="2" s="1"/>
  <c r="G95" i="2" s="1"/>
  <c r="G96" i="2" s="1"/>
  <c r="G57" i="2"/>
  <c r="G58" i="2" s="1"/>
  <c r="G59" i="2" s="1"/>
  <c r="G60" i="2" s="1"/>
  <c r="G61" i="2" s="1"/>
  <c r="G98" i="2"/>
  <c r="G99" i="2" s="1"/>
  <c r="G100" i="2" s="1"/>
  <c r="G88" i="2"/>
  <c r="F88" i="2"/>
  <c r="F89" i="2" s="1"/>
  <c r="F90" i="2" s="1"/>
  <c r="F91" i="2" s="1"/>
  <c r="F92" i="2" s="1"/>
  <c r="F93" i="2" s="1"/>
  <c r="F94" i="2" s="1"/>
  <c r="F95" i="2" s="1"/>
  <c r="F96" i="2" s="1"/>
  <c r="G56" i="2"/>
  <c r="F56" i="2"/>
  <c r="F57" i="2" s="1"/>
  <c r="F58" i="2" s="1"/>
  <c r="F59" i="2" s="1"/>
  <c r="F60" i="2" s="1"/>
  <c r="F61" i="2" s="1"/>
  <c r="G48" i="2"/>
  <c r="G49" i="2" s="1"/>
  <c r="G50" i="2" s="1"/>
  <c r="G51" i="2" s="1"/>
  <c r="G52" i="2" s="1"/>
  <c r="G53" i="2" s="1"/>
  <c r="G54" i="2" s="1"/>
  <c r="G55" i="2" s="1"/>
  <c r="G32" i="2"/>
  <c r="G33" i="2" s="1"/>
  <c r="G34" i="2" s="1"/>
  <c r="G35" i="2" s="1"/>
  <c r="G36" i="2" s="1"/>
  <c r="G37" i="2" s="1"/>
  <c r="G38" i="2" s="1"/>
  <c r="G39" i="2" s="1"/>
  <c r="G40" i="2" s="1"/>
  <c r="G41" i="2" s="1"/>
  <c r="G42" i="2" s="1"/>
  <c r="G43" i="2" s="1"/>
  <c r="G44" i="2" s="1"/>
  <c r="Q12" i="6"/>
  <c r="R11" i="6"/>
  <c r="P9" i="6"/>
  <c r="P10" i="6"/>
  <c r="P12" i="6"/>
  <c r="X3" i="2"/>
  <c r="X4" i="2"/>
  <c r="X5" i="2"/>
  <c r="S11" i="6" l="1"/>
  <c r="R12" i="6"/>
  <c r="T11" i="6" l="1"/>
  <c r="S12" i="6"/>
  <c r="U11" i="6" l="1"/>
  <c r="T12" i="6"/>
  <c r="V11" i="6" l="1"/>
  <c r="U12" i="6"/>
  <c r="W11" i="6" l="1"/>
  <c r="V12" i="6"/>
  <c r="W10" i="6" l="1"/>
  <c r="W9" i="6"/>
  <c r="X11" i="6"/>
  <c r="W12" i="6"/>
  <c r="Y11" i="6" l="1"/>
  <c r="X12" i="6"/>
  <c r="Y12" i="6" l="1"/>
  <c r="Z11" i="6"/>
  <c r="AB3" i="2"/>
  <c r="AB4" i="2" s="1"/>
  <c r="X7" i="2"/>
  <c r="AA11" i="6" l="1"/>
  <c r="Z12" i="6"/>
  <c r="AB11" i="6" l="1"/>
  <c r="AA12" i="6"/>
  <c r="AC11" i="6" l="1"/>
  <c r="AB12" i="6"/>
  <c r="AD11" i="6" l="1"/>
  <c r="AC12" i="6"/>
  <c r="AD9" i="6" l="1"/>
  <c r="AE11" i="6"/>
  <c r="AD12" i="6"/>
  <c r="AD10" i="6"/>
  <c r="AF11" i="6" l="1"/>
  <c r="AE12" i="6"/>
  <c r="AG11" i="6" l="1"/>
  <c r="AF12" i="6"/>
  <c r="AG12" i="6" l="1"/>
  <c r="AH11" i="6"/>
  <c r="AI11" i="6" l="1"/>
  <c r="AH12" i="6"/>
  <c r="AI12" i="6" l="1"/>
  <c r="AJ11" i="6"/>
  <c r="AK11" i="6" l="1"/>
  <c r="AJ12" i="6"/>
  <c r="AL11" i="6" l="1"/>
  <c r="AK9" i="6"/>
  <c r="AK12" i="6"/>
  <c r="AK10" i="6"/>
  <c r="AM11" i="6" l="1"/>
  <c r="AL12" i="6"/>
  <c r="AN11" i="6" l="1"/>
  <c r="AM12" i="6"/>
  <c r="AO11" i="6" l="1"/>
  <c r="AN12" i="6"/>
  <c r="AO12" i="6" l="1"/>
  <c r="AP11" i="6"/>
  <c r="AQ11" i="6" l="1"/>
  <c r="AP12" i="6"/>
  <c r="AQ12" i="6" l="1"/>
  <c r="AR11" i="6"/>
  <c r="AS11" i="6" l="1"/>
  <c r="AR10" i="6"/>
  <c r="AR12" i="6"/>
  <c r="AR9" i="6"/>
  <c r="AT11" i="6" l="1"/>
  <c r="AS12" i="6"/>
  <c r="AU11" i="6" l="1"/>
  <c r="AT12" i="6"/>
  <c r="AV11" i="6" l="1"/>
  <c r="AU12" i="6"/>
  <c r="AW11" i="6" l="1"/>
  <c r="AV12" i="6"/>
  <c r="AW12" i="6" l="1"/>
  <c r="AX11" i="6"/>
  <c r="AY11" i="6" l="1"/>
  <c r="AX12" i="6"/>
  <c r="AY12" i="6" l="1"/>
  <c r="AY10" i="6"/>
  <c r="AY9" i="6"/>
  <c r="AZ11" i="6"/>
  <c r="BA11" i="6" l="1"/>
  <c r="AZ12" i="6"/>
  <c r="BB11" i="6" l="1"/>
  <c r="BA12" i="6"/>
  <c r="BC11" i="6" l="1"/>
  <c r="BB12" i="6"/>
  <c r="BD11" i="6" l="1"/>
  <c r="BC12" i="6"/>
  <c r="BE11" i="6" l="1"/>
  <c r="BD12" i="6"/>
  <c r="BE12" i="6" l="1"/>
  <c r="BF11" i="6"/>
  <c r="BF10" i="6" l="1"/>
  <c r="BF9" i="6"/>
  <c r="BG11" i="6"/>
  <c r="BF12" i="6"/>
  <c r="BG12" i="6" l="1"/>
  <c r="BH11" i="6"/>
  <c r="BI11" i="6" l="1"/>
  <c r="BH12" i="6"/>
  <c r="BJ11" i="6" l="1"/>
  <c r="BI12" i="6"/>
  <c r="BK11" i="6" l="1"/>
  <c r="BJ12" i="6"/>
  <c r="BL11" i="6" l="1"/>
  <c r="BK12" i="6"/>
  <c r="BM11" i="6" l="1"/>
  <c r="BL12" i="6"/>
  <c r="BM12" i="6" l="1"/>
  <c r="BN11" i="6"/>
  <c r="BM10" i="6"/>
  <c r="BM9" i="6"/>
  <c r="BN12" i="6" l="1"/>
  <c r="BO11" i="6"/>
  <c r="BO12" i="6" l="1"/>
  <c r="BP11" i="6"/>
  <c r="BQ11" i="6" l="1"/>
  <c r="BP12" i="6"/>
  <c r="BR11" i="6" l="1"/>
  <c r="BQ12" i="6"/>
  <c r="BS11" i="6" l="1"/>
  <c r="BS12" i="6" s="1"/>
  <c r="BR12" i="6"/>
</calcChain>
</file>

<file path=xl/sharedStrings.xml><?xml version="1.0" encoding="utf-8"?>
<sst xmlns="http://schemas.openxmlformats.org/spreadsheetml/2006/main" count="708" uniqueCount="380">
  <si>
    <t>Project Name</t>
  </si>
  <si>
    <t>Project Sponsor</t>
  </si>
  <si>
    <t>Project Manager</t>
  </si>
  <si>
    <t>PROJECT STATUS</t>
  </si>
  <si>
    <t>PROJECT DETAILS</t>
  </si>
  <si>
    <t>TASK STATUS TRACKING</t>
  </si>
  <si>
    <t>STATUS</t>
  </si>
  <si>
    <t>COUNT</t>
  </si>
  <si>
    <t>PERCENT(%)</t>
  </si>
  <si>
    <t>NOT STARTED</t>
  </si>
  <si>
    <t>IN PROGRESS</t>
  </si>
  <si>
    <t>OVERDUE</t>
  </si>
  <si>
    <t>COMPLETE</t>
  </si>
  <si>
    <t>TOTAL TASKS</t>
  </si>
  <si>
    <t>BUDGET</t>
  </si>
  <si>
    <t>PROJECTED</t>
  </si>
  <si>
    <t>ACTUAL</t>
  </si>
  <si>
    <t>REMAINDER</t>
  </si>
  <si>
    <t>RISKS &amp; PENDING ACTIONS</t>
  </si>
  <si>
    <t>TASK</t>
  </si>
  <si>
    <t>RISKS</t>
  </si>
  <si>
    <t>ISSUES</t>
  </si>
  <si>
    <t>ACTION ITEMS</t>
  </si>
  <si>
    <t>HIGH</t>
  </si>
  <si>
    <t>MEDIUM</t>
  </si>
  <si>
    <t>LOW</t>
  </si>
  <si>
    <t>Closed</t>
  </si>
  <si>
    <t>ON TRACK</t>
  </si>
  <si>
    <t>AT RISK</t>
  </si>
  <si>
    <t>DELAYED</t>
  </si>
  <si>
    <t>DROPDOWN ITEMS</t>
  </si>
  <si>
    <t>Daily Huddle</t>
  </si>
  <si>
    <t>Weekly Huddle</t>
  </si>
  <si>
    <t>Monthly Huddle</t>
  </si>
  <si>
    <t>Email</t>
  </si>
  <si>
    <t>Conference Meeting (Office)</t>
  </si>
  <si>
    <t>Conference Meeting (Online)</t>
  </si>
  <si>
    <t>REQUIRED COMMUNICATION</t>
  </si>
  <si>
    <t>Pending</t>
  </si>
  <si>
    <t>Resolution In Progress</t>
  </si>
  <si>
    <t>RISK/ISSUE STATUS</t>
  </si>
  <si>
    <t>R/I IMPACT</t>
  </si>
  <si>
    <t>COMMUNICATION PLAN STATUS</t>
  </si>
  <si>
    <t>WBS</t>
  </si>
  <si>
    <t>PHASE</t>
  </si>
  <si>
    <t>LEAD</t>
  </si>
  <si>
    <t>PREDECESSOR</t>
  </si>
  <si>
    <t>START</t>
  </si>
  <si>
    <t>END</t>
  </si>
  <si>
    <t>DAYS</t>
  </si>
  <si>
    <t>% DONE</t>
  </si>
  <si>
    <t>WORK DAYS</t>
  </si>
  <si>
    <t>Project Kick-off</t>
  </si>
  <si>
    <t>AC</t>
  </si>
  <si>
    <t>Data Sanitation and training content creation</t>
  </si>
  <si>
    <t>KT/DT/
BP</t>
  </si>
  <si>
    <t>Data Extraction</t>
  </si>
  <si>
    <t>Bpublico</t>
  </si>
  <si>
    <t>Data Clean-up</t>
  </si>
  <si>
    <t>Ktamis</t>
  </si>
  <si>
    <t>Product Update in JDA and My Suki</t>
  </si>
  <si>
    <t>Data Clean-up Sign-off</t>
  </si>
  <si>
    <t>Training Content Creation - Store Operation</t>
  </si>
  <si>
    <t>Training Content Creation - For Customer</t>
  </si>
  <si>
    <t>Training Content Sign-off</t>
  </si>
  <si>
    <t>Development</t>
  </si>
  <si>
    <t>BP</t>
  </si>
  <si>
    <t>Suki App</t>
  </si>
  <si>
    <t>Suki Hub</t>
  </si>
  <si>
    <t>Picker-Checker</t>
  </si>
  <si>
    <t>Barter Middleware (Merging to prod version)</t>
  </si>
  <si>
    <t>POS Interface</t>
  </si>
  <si>
    <t>Core Middleware</t>
  </si>
  <si>
    <t>Barter POS</t>
  </si>
  <si>
    <t>Multiple Branch Capabilities</t>
  </si>
  <si>
    <t>Customer Loyalty Points</t>
  </si>
  <si>
    <t>System Integration Testing</t>
  </si>
  <si>
    <t>Test Scripts Creation</t>
  </si>
  <si>
    <t>Bugs Fixing</t>
  </si>
  <si>
    <t>Re-testing</t>
  </si>
  <si>
    <t>Sign-off</t>
  </si>
  <si>
    <t>Training</t>
  </si>
  <si>
    <t>JM/EA/
AC/BP</t>
  </si>
  <si>
    <t>Acodilla</t>
  </si>
  <si>
    <t>Picker-Checker-Driver</t>
  </si>
  <si>
    <t>PRG Business Process Creation - BRD</t>
  </si>
  <si>
    <t>GS/JV</t>
  </si>
  <si>
    <t>BRD Creation</t>
  </si>
  <si>
    <t>Daily Inventory Uploading and Branch synching</t>
  </si>
  <si>
    <t>Suki Agent</t>
  </si>
  <si>
    <t>Data Management</t>
  </si>
  <si>
    <t>Payment Collections</t>
  </si>
  <si>
    <t>Exceptions and Limitations</t>
  </si>
  <si>
    <t>Support Org Chart</t>
  </si>
  <si>
    <t>Customer Awareness</t>
  </si>
  <si>
    <t>Guidelines and policies</t>
  </si>
  <si>
    <t>BRD Submission</t>
  </si>
  <si>
    <t>BRD Processing</t>
  </si>
  <si>
    <t>Configuration and Migration</t>
  </si>
  <si>
    <t>Configure Business Settings</t>
  </si>
  <si>
    <t>Company Configuration</t>
  </si>
  <si>
    <t>Service Level Agreement</t>
  </si>
  <si>
    <t>Shipping Rates</t>
  </si>
  <si>
    <t>Advanced Configuration</t>
  </si>
  <si>
    <t>Configure User Accesss for Suki Hub</t>
  </si>
  <si>
    <t>Provide complete list of Users</t>
  </si>
  <si>
    <t>Configure Users</t>
  </si>
  <si>
    <t>Data Migration</t>
  </si>
  <si>
    <t>KT</t>
  </si>
  <si>
    <t>Master Products</t>
  </si>
  <si>
    <t>Popular Products</t>
  </si>
  <si>
    <t>Membership Data</t>
  </si>
  <si>
    <t>Inventory</t>
  </si>
  <si>
    <t>Images</t>
  </si>
  <si>
    <t>Infrastructure</t>
  </si>
  <si>
    <t>Stable Internet Connection</t>
  </si>
  <si>
    <t>Wifi acess for entire Store</t>
  </si>
  <si>
    <t>Suki Hardware</t>
  </si>
  <si>
    <t>PDTs</t>
  </si>
  <si>
    <t>LAN Receipt Printer for Picker</t>
  </si>
  <si>
    <t>Dedicated Barter POS</t>
  </si>
  <si>
    <t>Barter POS Hardware</t>
  </si>
  <si>
    <t>Pre Live Checklist/Preparation</t>
  </si>
  <si>
    <t>Install and configure all Hardwares</t>
  </si>
  <si>
    <t>Double check all Hardwares if working</t>
  </si>
  <si>
    <t>Check if all Hardwares if working</t>
  </si>
  <si>
    <t>PDTs and Printer</t>
  </si>
  <si>
    <t>POS</t>
  </si>
  <si>
    <t>Wifi speed and availability in entire Stores</t>
  </si>
  <si>
    <t>Double check and stress test Middleware</t>
  </si>
  <si>
    <t>Checklist</t>
  </si>
  <si>
    <t>Do we have Pickers?</t>
  </si>
  <si>
    <t>Do we have central contact or lines?</t>
  </si>
  <si>
    <t>Do we have Checker?</t>
  </si>
  <si>
    <t>Do we have Delivery vehicle and driver?</t>
  </si>
  <si>
    <t>Do we have dedicated lanes/section for Pickup?</t>
  </si>
  <si>
    <t>Do we have dedicated resource for Money remittances?</t>
  </si>
  <si>
    <t>Dry Run</t>
  </si>
  <si>
    <t>JM/EA/
AC</t>
  </si>
  <si>
    <t>Setup of Hardware and Connectivity</t>
  </si>
  <si>
    <t>Setup of Barter Suki Integration</t>
  </si>
  <si>
    <t>Setup Picker-Checker-Driver Apps</t>
  </si>
  <si>
    <t>Onboard assigned resources for Picker-Checker-Driver</t>
  </si>
  <si>
    <t>Goods Fill Rate</t>
  </si>
  <si>
    <t>Data re-synching</t>
  </si>
  <si>
    <t>Trial Run (Targeted Customers)</t>
  </si>
  <si>
    <t>Hypercare</t>
  </si>
  <si>
    <t>Marketing Advertisements/Promotions</t>
  </si>
  <si>
    <t>DT</t>
  </si>
  <si>
    <t>Flyers</t>
  </si>
  <si>
    <t>Social Sites (Organique)</t>
  </si>
  <si>
    <t>Freebies/GCs</t>
  </si>
  <si>
    <t xml:space="preserve">Go Live </t>
  </si>
  <si>
    <t>JM/EA</t>
  </si>
  <si>
    <t>2.1.1</t>
  </si>
  <si>
    <t>2.1.2</t>
  </si>
  <si>
    <t>2.1.3</t>
  </si>
  <si>
    <t>2.1.4</t>
  </si>
  <si>
    <t>2.1.5</t>
  </si>
  <si>
    <t>2.1.6</t>
  </si>
  <si>
    <t>3.1.1</t>
  </si>
  <si>
    <t>3.1.2</t>
  </si>
  <si>
    <t>3.1.3</t>
  </si>
  <si>
    <t>3.1.4</t>
  </si>
  <si>
    <t>3.1.5</t>
  </si>
  <si>
    <t>3.1.6</t>
  </si>
  <si>
    <t>3.1.7</t>
  </si>
  <si>
    <t>3.1.8</t>
  </si>
  <si>
    <t>4.1.1</t>
  </si>
  <si>
    <t>4.1.2</t>
  </si>
  <si>
    <t>4.1.3</t>
  </si>
  <si>
    <t>4.1.4</t>
  </si>
  <si>
    <t>5.1.1</t>
  </si>
  <si>
    <t>5.1.2</t>
  </si>
  <si>
    <t>6.1.1</t>
  </si>
  <si>
    <t>6.1.2</t>
  </si>
  <si>
    <t>6.1.3</t>
  </si>
  <si>
    <t>6.1.4</t>
  </si>
  <si>
    <t>6.1.5</t>
  </si>
  <si>
    <t>6.1.6</t>
  </si>
  <si>
    <t>6.1.7</t>
  </si>
  <si>
    <t>6.1.8</t>
  </si>
  <si>
    <t>6.1.9</t>
  </si>
  <si>
    <t>6.1.10</t>
  </si>
  <si>
    <t>6.1.11</t>
  </si>
  <si>
    <t>6.1.12</t>
  </si>
  <si>
    <t>7.1.1</t>
  </si>
  <si>
    <t>7.1.2</t>
  </si>
  <si>
    <t>7.1.3</t>
  </si>
  <si>
    <t>7.1.4</t>
  </si>
  <si>
    <t>7.1.5</t>
  </si>
  <si>
    <t>7.1.6</t>
  </si>
  <si>
    <t>7.1.7</t>
  </si>
  <si>
    <t>8.1.1</t>
  </si>
  <si>
    <t>8.1.2</t>
  </si>
  <si>
    <t>8.1.3</t>
  </si>
  <si>
    <t>8.1.4</t>
  </si>
  <si>
    <t>9.1.1</t>
  </si>
  <si>
    <t>9.1.2</t>
  </si>
  <si>
    <t>9.1.3</t>
  </si>
  <si>
    <t>9.1.4</t>
  </si>
  <si>
    <t>9.1.5</t>
  </si>
  <si>
    <t>9.1.6</t>
  </si>
  <si>
    <t>10.1.1</t>
  </si>
  <si>
    <t>10.1.2</t>
  </si>
  <si>
    <t>10.1.3</t>
  </si>
  <si>
    <t>10.1.4</t>
  </si>
  <si>
    <t>10.1.5</t>
  </si>
  <si>
    <t>10.1.6</t>
  </si>
  <si>
    <t>10.1.7</t>
  </si>
  <si>
    <t>10.1.8</t>
  </si>
  <si>
    <t>10.1.9</t>
  </si>
  <si>
    <t>10.1.10</t>
  </si>
  <si>
    <t>10.1.11</t>
  </si>
  <si>
    <t>10.1.12</t>
  </si>
  <si>
    <t>10.1.13</t>
  </si>
  <si>
    <t>10.1.14</t>
  </si>
  <si>
    <t>10.1.15</t>
  </si>
  <si>
    <t>10.1.16</t>
  </si>
  <si>
    <t>11.1.1</t>
  </si>
  <si>
    <t>11.1.2</t>
  </si>
  <si>
    <t>11.1.3</t>
  </si>
  <si>
    <t>11.1.4</t>
  </si>
  <si>
    <t>11.1.5</t>
  </si>
  <si>
    <t>11.1.6</t>
  </si>
  <si>
    <t>11.1.7</t>
  </si>
  <si>
    <t>12.1.1</t>
  </si>
  <si>
    <t>12.1.2</t>
  </si>
  <si>
    <t>Project Start Date</t>
  </si>
  <si>
    <t>Project End Date</t>
  </si>
  <si>
    <t>Current Phase</t>
  </si>
  <si>
    <t>TODAY</t>
  </si>
  <si>
    <t>WBS Level</t>
  </si>
  <si>
    <t xml:space="preserve">PROJECT NAME: </t>
  </si>
  <si>
    <t xml:space="preserve">PROJECT SPONSOR: </t>
  </si>
  <si>
    <t xml:space="preserve">PROJECT MANAGER: </t>
  </si>
  <si>
    <t xml:space="preserve">STATUS DATE:  </t>
  </si>
  <si>
    <t>PROJECT MANAGEMENT REPORT</t>
  </si>
  <si>
    <t xml:space="preserve">PROJECT STATUS:  </t>
  </si>
  <si>
    <t>Project Status:</t>
  </si>
  <si>
    <t>PROJECT HEALTH</t>
  </si>
  <si>
    <t>Complete</t>
  </si>
  <si>
    <t xml:space="preserve">Project Start Date </t>
  </si>
  <si>
    <t xml:space="preserve">Project Sponsor </t>
  </si>
  <si>
    <t xml:space="preserve">Project Manager </t>
  </si>
  <si>
    <t>Project Champion</t>
  </si>
  <si>
    <t xml:space="preserve"> Not Started | In Progress</t>
  </si>
  <si>
    <t>Today</t>
  </si>
  <si>
    <t xml:space="preserve">Display Week </t>
  </si>
  <si>
    <t>PROJECT TIMELINE</t>
  </si>
  <si>
    <t>CMPLT</t>
  </si>
  <si>
    <t>MAIN PHASE</t>
  </si>
  <si>
    <t>SP-1</t>
  </si>
  <si>
    <t>SP-2</t>
  </si>
  <si>
    <t>SP-3</t>
  </si>
  <si>
    <t>SP-4</t>
  </si>
  <si>
    <t>Company Name</t>
  </si>
  <si>
    <t>Name of Project Champion</t>
  </si>
  <si>
    <t>Name of Project Manager</t>
  </si>
  <si>
    <t>Name of Project Sponsor</t>
  </si>
  <si>
    <t>[ Insert Company Logo here]</t>
  </si>
  <si>
    <t>Juan Dela Cruz</t>
  </si>
  <si>
    <t>Pedro Penduko</t>
  </si>
  <si>
    <t>Days Passed</t>
  </si>
  <si>
    <t>Agenda</t>
  </si>
  <si>
    <t>Required Communication</t>
  </si>
  <si>
    <t>Start</t>
  </si>
  <si>
    <t>Finish</t>
  </si>
  <si>
    <t>Duration</t>
  </si>
  <si>
    <t>Status</t>
  </si>
  <si>
    <t>Intitiated By</t>
  </si>
  <si>
    <t>Required Attendance</t>
  </si>
  <si>
    <t>Purpose</t>
  </si>
  <si>
    <t>Name</t>
  </si>
  <si>
    <t>Position</t>
  </si>
  <si>
    <t>Project Role</t>
  </si>
  <si>
    <t>Business Email Address</t>
  </si>
  <si>
    <t>Preferred Communication Type</t>
  </si>
  <si>
    <t>Project Expectations</t>
  </si>
  <si>
    <t>Infuence</t>
  </si>
  <si>
    <t>Comments</t>
  </si>
  <si>
    <t>Department</t>
  </si>
  <si>
    <t>Section</t>
  </si>
  <si>
    <t>Mobile Number</t>
  </si>
  <si>
    <t>Days Available</t>
  </si>
  <si>
    <t>Comment</t>
  </si>
  <si>
    <t>Risks</t>
  </si>
  <si>
    <t>Classifications</t>
  </si>
  <si>
    <t>Mitigation Plan</t>
  </si>
  <si>
    <t>Subject</t>
  </si>
  <si>
    <t>Issues</t>
  </si>
  <si>
    <t>IMPACT</t>
  </si>
  <si>
    <t>Action Plans</t>
  </si>
  <si>
    <t>Owner</t>
  </si>
  <si>
    <t>Date Assigned</t>
  </si>
  <si>
    <t>Deadline</t>
  </si>
  <si>
    <t>Date Closed</t>
  </si>
  <si>
    <t>Remarks</t>
  </si>
  <si>
    <t>SUM</t>
  </si>
  <si>
    <t>CRITERIA</t>
  </si>
  <si>
    <t>DAYS SINCE START</t>
  </si>
  <si>
    <t>Dashboard Date</t>
  </si>
  <si>
    <t>DAYS SINCE TODAY</t>
  </si>
  <si>
    <t>DURATION</t>
  </si>
  <si>
    <t>% COMPLETE</t>
  </si>
  <si>
    <t>COMPLETION</t>
  </si>
  <si>
    <t>HEIGHT</t>
  </si>
  <si>
    <t xml:space="preserve"> </t>
  </si>
  <si>
    <t>ENABLE DASHBOARD MACROS</t>
  </si>
  <si>
    <t>PROJECT DASHBOARD</t>
  </si>
  <si>
    <t>INCOMPLETE:</t>
  </si>
  <si>
    <t>Date</t>
  </si>
  <si>
    <t>Holiday</t>
  </si>
  <si>
    <t>New Year</t>
  </si>
  <si>
    <t>Chinese New Year</t>
  </si>
  <si>
    <t>EDSA Anniversary</t>
  </si>
  <si>
    <t>Day of Valor / Maundy Thursday</t>
  </si>
  <si>
    <t>Good Friday</t>
  </si>
  <si>
    <t>Labor Day</t>
  </si>
  <si>
    <t>Eidul Fitr</t>
  </si>
  <si>
    <t>Independence Day</t>
  </si>
  <si>
    <t>Eidul Adha</t>
  </si>
  <si>
    <t>Ninoy Aquino Day</t>
  </si>
  <si>
    <t>National Heroes Day</t>
  </si>
  <si>
    <t>All Saints' Day</t>
  </si>
  <si>
    <t>Bonifacio Day</t>
  </si>
  <si>
    <t>Immaculate Conception</t>
  </si>
  <si>
    <t>Christmas Day</t>
  </si>
  <si>
    <t>Rizal Day</t>
  </si>
  <si>
    <t>New Year's Eve</t>
  </si>
  <si>
    <t>New Year's Day</t>
  </si>
  <si>
    <t>Maundy Thursday</t>
  </si>
  <si>
    <t>Bataan Day</t>
  </si>
  <si>
    <t>Labour Day</t>
  </si>
  <si>
    <t>Eid al-Fitr</t>
  </si>
  <si>
    <t>Philippines Independence Day</t>
  </si>
  <si>
    <t>Eid al-Adha</t>
  </si>
  <si>
    <t>National Heroes' Day (in Philippines)</t>
  </si>
  <si>
    <t>Row Labels</t>
  </si>
  <si>
    <t>Grand Total</t>
  </si>
  <si>
    <t>COMPANY ABC</t>
  </si>
  <si>
    <t>Project Omicron</t>
  </si>
  <si>
    <t>NONE</t>
  </si>
  <si>
    <t>Sum of WORK DAYS</t>
  </si>
  <si>
    <t>Count of ACTUAL DAYS</t>
  </si>
  <si>
    <t>Sum of PLANNED DAYS</t>
  </si>
  <si>
    <t>Sum of % DONE</t>
  </si>
  <si>
    <t>Team Member A</t>
  </si>
  <si>
    <t>Position A</t>
  </si>
  <si>
    <t>Team Member B</t>
  </si>
  <si>
    <t>Team Member C</t>
  </si>
  <si>
    <t>Team Member D</t>
  </si>
  <si>
    <t>Team Member E</t>
  </si>
  <si>
    <t>Position B</t>
  </si>
  <si>
    <t>Position C</t>
  </si>
  <si>
    <t>Position D</t>
  </si>
  <si>
    <t>Position E</t>
  </si>
  <si>
    <t>X Department</t>
  </si>
  <si>
    <t>Section X1</t>
  </si>
  <si>
    <t>Y Department</t>
  </si>
  <si>
    <t>Section X2</t>
  </si>
  <si>
    <t>Section Y1</t>
  </si>
  <si>
    <t>Section Y2</t>
  </si>
  <si>
    <t>Section Z1</t>
  </si>
  <si>
    <t>Manager</t>
  </si>
  <si>
    <t xml:space="preserve">   PROJECT TEAM</t>
  </si>
  <si>
    <t>E Department</t>
  </si>
  <si>
    <t>MEMBERS:</t>
  </si>
  <si>
    <t>Name of Stakeholder 1</t>
  </si>
  <si>
    <t>Name of Stakeholder 2</t>
  </si>
  <si>
    <t>PHASE 1</t>
  </si>
  <si>
    <t>PLANNED</t>
  </si>
  <si>
    <t># OF DAYS</t>
  </si>
  <si>
    <t>START DATE</t>
  </si>
  <si>
    <t>END DATE</t>
  </si>
  <si>
    <t>OVERALL</t>
  </si>
  <si>
    <t>PHASE / ACTIVITY</t>
  </si>
  <si>
    <t>2nd level</t>
  </si>
  <si>
    <t>3rd level</t>
  </si>
  <si>
    <t>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</si>
</sst>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164" formatCode="_-&quot;$&quot;* #,##0.00_-;\-&quot;$&quot;* #,##0.00_-;_-&quot;$&quot;* &quot;-&quot;??_-;_-@_-"/>
    <numFmt numFmtId="165" formatCode="ddd\ m/dd/yy"/>
    <numFmt numFmtId="166" formatCode="[$-409]mmmm\ d\,\ yyyy;@"/>
    <numFmt numFmtId="167" formatCode="#,#00;;;"/>
    <numFmt numFmtId="168" formatCode="m/d/yyyy\ \(dddd\)"/>
    <numFmt numFmtId="169" formatCode="d\ mmm\ yyyy"/>
    <numFmt numFmtId="170" formatCode="d"/>
    <numFmt numFmtId="171" formatCode="m/d/yyyy;@"/>
    <numFmt numFmtId="172" formatCode="yyyy\-mm\-dd;@"/>
    <numFmt numFmtId="173" formatCode="0&quot;%&quot;"/>
    <numFmt numFmtId="174" formatCode="[$-3409]dd\-mmm\-yy;@"/>
    <numFmt numFmtId="175" formatCode="ddd\,\ mmm\ dd\,\ yyyy"/>
    <numFmt numFmtId="176" formatCode="mmm\ dd\,\ yyyy\ \|\ ddd"/>
  </numFmts>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0"/>
      <color theme="0"/>
      <name val="Arial"/>
      <family val="2"/>
    </font>
    <font>
      <sz val="12"/>
      <color theme="1"/>
      <name val="Calibri"/>
      <family val="2"/>
      <scheme val="minor"/>
    </font>
    <font>
      <sz val="9"/>
      <color theme="0"/>
      <name val="Arial"/>
      <family val="2"/>
    </font>
    <font>
      <sz val="10"/>
      <color theme="1"/>
      <name val="Arial"/>
      <family val="2"/>
    </font>
    <font>
      <b/>
      <sz val="9"/>
      <color theme="1"/>
      <name val="Arial"/>
      <family val="2"/>
    </font>
    <font>
      <b/>
      <sz val="10"/>
      <color theme="1"/>
      <name val="Arial"/>
      <family val="2"/>
    </font>
    <font>
      <sz val="10"/>
      <name val="Arial"/>
      <family val="2"/>
    </font>
    <font>
      <b/>
      <sz val="8"/>
      <color theme="0"/>
      <name val="Arial"/>
      <family val="2"/>
    </font>
    <font>
      <sz val="9"/>
      <color theme="1"/>
      <name val="Arial"/>
      <family val="2"/>
    </font>
    <font>
      <b/>
      <sz val="18"/>
      <color theme="1"/>
      <name val="Calibri"/>
      <family val="2"/>
      <scheme val="minor"/>
    </font>
    <font>
      <b/>
      <sz val="10"/>
      <color theme="1"/>
      <name val="Calibri"/>
      <family val="2"/>
      <scheme val="minor"/>
    </font>
    <font>
      <sz val="10"/>
      <color theme="1"/>
      <name val="Calibri"/>
      <family val="2"/>
      <scheme val="minor"/>
    </font>
    <font>
      <sz val="14"/>
      <name val="Calibri Light"/>
      <family val="2"/>
      <scheme val="major"/>
    </font>
    <font>
      <b/>
      <sz val="16"/>
      <name val="Arial"/>
      <family val="2"/>
    </font>
    <font>
      <u/>
      <sz val="10"/>
      <color indexed="12"/>
      <name val="Arial"/>
      <family val="2"/>
    </font>
    <font>
      <i/>
      <sz val="8"/>
      <name val="Arial"/>
      <family val="2"/>
    </font>
    <font>
      <b/>
      <sz val="10"/>
      <name val="Calibri Light"/>
      <family val="2"/>
      <scheme val="major"/>
    </font>
    <font>
      <sz val="10"/>
      <name val="Calibri"/>
      <family val="2"/>
      <scheme val="minor"/>
    </font>
    <font>
      <sz val="10"/>
      <name val="Calibri Light"/>
      <family val="2"/>
      <scheme val="major"/>
    </font>
    <font>
      <b/>
      <sz val="11"/>
      <name val="Calibri"/>
      <family val="2"/>
      <scheme val="minor"/>
    </font>
    <font>
      <sz val="8"/>
      <name val="Arial"/>
      <family val="2"/>
    </font>
    <font>
      <b/>
      <sz val="9"/>
      <name val="Calibri Light"/>
      <family val="2"/>
      <scheme val="major"/>
    </font>
    <font>
      <sz val="9"/>
      <name val="Calibri"/>
      <family val="2"/>
      <scheme val="minor"/>
    </font>
    <font>
      <b/>
      <sz val="9"/>
      <name val="Calibri"/>
      <family val="2"/>
      <scheme val="minor"/>
    </font>
    <font>
      <sz val="14"/>
      <color rgb="FF000000"/>
      <name val="Calibri"/>
      <family val="2"/>
      <scheme val="minor"/>
    </font>
    <font>
      <sz val="8"/>
      <name val="Calibri"/>
      <family val="2"/>
      <scheme val="minor"/>
    </font>
    <font>
      <sz val="9"/>
      <name val="Calibri Light"/>
      <family val="2"/>
      <scheme val="major"/>
    </font>
    <font>
      <b/>
      <sz val="11"/>
      <name val="Calibri Light"/>
      <family val="2"/>
      <scheme val="major"/>
    </font>
    <font>
      <sz val="11"/>
      <color theme="0" tint="-0.34998626667073579"/>
      <name val="Calibri"/>
      <family val="2"/>
      <scheme val="minor"/>
    </font>
    <font>
      <sz val="14"/>
      <color theme="0" tint="-0.34998626667073579"/>
      <name val="Calibri Light"/>
      <family val="2"/>
      <scheme val="major"/>
    </font>
    <font>
      <b/>
      <sz val="9"/>
      <color theme="0"/>
      <name val="Calibri"/>
      <family val="2"/>
      <scheme val="minor"/>
    </font>
    <font>
      <sz val="9"/>
      <name val="Arial"/>
      <family val="2"/>
    </font>
    <font>
      <b/>
      <sz val="16"/>
      <color theme="0"/>
      <name val="Calibri"/>
      <family val="2"/>
      <scheme val="minor"/>
    </font>
    <font>
      <b/>
      <sz val="9"/>
      <color theme="0"/>
      <name val="Calibri Light"/>
      <family val="2"/>
      <scheme val="major"/>
    </font>
    <font>
      <sz val="10"/>
      <color rgb="FF008000"/>
      <name val="Arial"/>
      <family val="2"/>
    </font>
    <font>
      <sz val="9"/>
      <color rgb="FF008000"/>
      <name val="Arial"/>
      <family val="2"/>
    </font>
    <font>
      <sz val="9"/>
      <color rgb="FF008000"/>
      <name val="Calibri"/>
      <family val="2"/>
      <scheme val="minor"/>
    </font>
    <font>
      <u/>
      <sz val="10"/>
      <color rgb="FF008000"/>
      <name val="Arial"/>
      <family val="2"/>
    </font>
    <font>
      <b/>
      <sz val="9"/>
      <color rgb="FF008000"/>
      <name val="Calibri"/>
      <family val="2"/>
      <scheme val="minor"/>
    </font>
    <font>
      <b/>
      <sz val="36"/>
      <color theme="0"/>
      <name val="Calibri"/>
      <family val="2"/>
      <scheme val="minor"/>
    </font>
    <font>
      <b/>
      <sz val="24"/>
      <color theme="0"/>
      <name val="Calibri"/>
      <family val="2"/>
      <scheme val="minor"/>
    </font>
    <font>
      <b/>
      <sz val="16"/>
      <color theme="9" tint="-0.249977111117893"/>
      <name val="Calibri"/>
      <family val="2"/>
      <scheme val="minor"/>
    </font>
    <font>
      <b/>
      <sz val="8"/>
      <name val="Calibri Light"/>
      <family val="2"/>
      <scheme val="major"/>
    </font>
    <font>
      <b/>
      <sz val="14"/>
      <name val="Calibri Light"/>
      <family val="2"/>
      <scheme val="major"/>
    </font>
    <font>
      <b/>
      <sz val="10"/>
      <name val="Calibri Light"/>
      <family val="1"/>
      <scheme val="major"/>
    </font>
    <font>
      <b/>
      <sz val="9"/>
      <name val="Arial"/>
      <family val="2"/>
    </font>
    <font>
      <b/>
      <sz val="10"/>
      <name val="Arial"/>
      <family val="2"/>
    </font>
  </fonts>
  <fills count="34">
    <fill>
      <patternFill patternType="none"/>
    </fill>
    <fill>
      <patternFill patternType="gray125"/>
    </fill>
    <fill>
      <patternFill patternType="solid">
        <fgColor rgb="FF008000"/>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rgb="FF0070C0"/>
        <bgColor indexed="64"/>
      </patternFill>
    </fill>
    <fill>
      <patternFill patternType="solid">
        <fgColor rgb="FFED7C00"/>
        <bgColor indexed="64"/>
      </patternFill>
    </fill>
    <fill>
      <patternFill patternType="solid">
        <fgColor rgb="FFFF0000"/>
        <bgColor indexed="64"/>
      </patternFill>
    </fill>
    <fill>
      <patternFill patternType="solid">
        <fgColor rgb="FF00B05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499984740745262"/>
        <bgColor indexed="64"/>
      </patternFill>
    </fill>
    <fill>
      <patternFill patternType="solid">
        <fgColor rgb="FFC0000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5" tint="-0.49998474074526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0"/>
        <bgColor rgb="FFD6F4D9"/>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tint="0.79998168889431442"/>
        <bgColor rgb="FFD6F4D9"/>
      </patternFill>
    </fill>
    <fill>
      <patternFill patternType="solid">
        <fgColor rgb="FF0D1629"/>
        <bgColor indexed="64"/>
      </patternFill>
    </fill>
    <fill>
      <patternFill patternType="solid">
        <fgColor rgb="FF203864"/>
        <bgColor indexed="64"/>
      </patternFill>
    </fill>
    <fill>
      <patternFill patternType="solid">
        <fgColor theme="4"/>
        <bgColor theme="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121F3A"/>
        <bgColor indexed="64"/>
      </patternFill>
    </fill>
  </fills>
  <borders count="86">
    <border>
      <left/>
      <right/>
      <top/>
      <bottom/>
      <diagonal/>
    </border>
    <border>
      <left style="thin">
        <color theme="0" tint="-0.499984740745262"/>
      </left>
      <right/>
      <top style="thin">
        <color theme="8" tint="0.59999389629810485"/>
      </top>
      <bottom style="thin">
        <color theme="8" tint="0.59999389629810485"/>
      </bottom>
      <diagonal/>
    </border>
    <border>
      <left/>
      <right/>
      <top style="thin">
        <color theme="8" tint="0.59999389629810485"/>
      </top>
      <bottom style="thin">
        <color theme="8" tint="0.59999389629810485"/>
      </bottom>
      <diagonal/>
    </border>
    <border>
      <left/>
      <right style="thin">
        <color theme="8" tint="0.59999389629810485"/>
      </right>
      <top style="thin">
        <color theme="8" tint="0.59999389629810485"/>
      </top>
      <bottom style="thin">
        <color theme="8" tint="0.59999389629810485"/>
      </bottom>
      <diagonal/>
    </border>
    <border>
      <left style="thin">
        <color theme="0" tint="-0.499984740745262"/>
      </left>
      <right style="thin">
        <color theme="8" tint="0.59999389629810485"/>
      </right>
      <top style="thin">
        <color theme="8" tint="0.59999389629810485"/>
      </top>
      <bottom style="thin">
        <color theme="8" tint="0.59999389629810485"/>
      </bottom>
      <diagonal/>
    </border>
    <border>
      <left style="thin">
        <color theme="8" tint="0.59999389629810485"/>
      </left>
      <right style="thin">
        <color theme="8" tint="0.59999389629810485"/>
      </right>
      <top style="thin">
        <color theme="8" tint="0.59999389629810485"/>
      </top>
      <bottom style="thin">
        <color theme="8" tint="0.59999389629810485"/>
      </bottom>
      <diagonal/>
    </border>
    <border>
      <left style="thin">
        <color theme="0" tint="-0.499984740745262"/>
      </left>
      <right style="thin">
        <color theme="8" tint="0.59999389629810485"/>
      </right>
      <top style="thin">
        <color theme="8" tint="0.59999389629810485"/>
      </top>
      <bottom/>
      <diagonal/>
    </border>
    <border>
      <left style="thin">
        <color theme="0" tint="-0.499984740745262"/>
      </left>
      <right/>
      <top/>
      <bottom/>
      <diagonal/>
    </border>
    <border>
      <left style="thin">
        <color theme="0" tint="-0.499984740745262"/>
      </left>
      <right style="thin">
        <color theme="8" tint="0.59999389629810485"/>
      </right>
      <top/>
      <bottom style="thin">
        <color theme="8" tint="0.59999389629810485"/>
      </bottom>
      <diagonal/>
    </border>
    <border>
      <left style="thin">
        <color theme="8" tint="0.59999389629810485"/>
      </left>
      <right style="thin">
        <color theme="8" tint="0.59999389629810485"/>
      </right>
      <top/>
      <bottom style="thin">
        <color theme="8" tint="0.59999389629810485"/>
      </bottom>
      <diagonal/>
    </border>
    <border>
      <left/>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theme="1"/>
      </bottom>
      <diagonal/>
    </border>
    <border>
      <left/>
      <right/>
      <top/>
      <bottom style="thin">
        <color theme="1"/>
      </bottom>
      <diagonal/>
    </border>
    <border>
      <left/>
      <right style="medium">
        <color indexed="64"/>
      </right>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right style="thin">
        <color theme="1"/>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medium">
        <color rgb="FF008000"/>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rgb="FF008000"/>
      </right>
      <top style="thin">
        <color theme="0" tint="-0.24994659260841701"/>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theme="9" tint="0.59996337778862885"/>
      </right>
      <top style="thin">
        <color theme="9" tint="0.59996337778862885"/>
      </top>
      <bottom/>
      <diagonal/>
    </border>
    <border>
      <left style="thin">
        <color theme="9" tint="0.59996337778862885"/>
      </left>
      <right style="thin">
        <color theme="9" tint="0.59996337778862885"/>
      </right>
      <top style="thin">
        <color theme="9" tint="0.59996337778862885"/>
      </top>
      <bottom/>
      <diagonal/>
    </border>
    <border>
      <left/>
      <right style="thin">
        <color theme="9" tint="0.59996337778862885"/>
      </right>
      <top/>
      <bottom/>
      <diagonal/>
    </border>
    <border>
      <left style="thin">
        <color theme="9" tint="0.59996337778862885"/>
      </left>
      <right style="thin">
        <color theme="9" tint="0.59996337778862885"/>
      </right>
      <top/>
      <bottom/>
      <diagonal/>
    </border>
    <border>
      <left/>
      <right style="thin">
        <color theme="9" tint="0.59996337778862885"/>
      </right>
      <top/>
      <bottom style="thin">
        <color theme="9" tint="0.59996337778862885"/>
      </bottom>
      <diagonal/>
    </border>
    <border>
      <left style="thin">
        <color theme="9" tint="0.59996337778862885"/>
      </left>
      <right style="thin">
        <color theme="9" tint="0.59996337778862885"/>
      </right>
      <top/>
      <bottom style="thin">
        <color theme="9" tint="0.59996337778862885"/>
      </bottom>
      <diagonal/>
    </border>
    <border>
      <left style="thin">
        <color theme="9" tint="0.59996337778862885"/>
      </left>
      <right style="thin">
        <color theme="9" tint="0.59996337778862885"/>
      </right>
      <top style="thin">
        <color theme="9" tint="0.59996337778862885"/>
      </top>
      <bottom style="thin">
        <color theme="9" tint="0.59996337778862885"/>
      </bottom>
      <diagonal/>
    </border>
    <border>
      <left style="thin">
        <color rgb="FFC5E0B3"/>
      </left>
      <right/>
      <top style="thin">
        <color theme="9" tint="0.59996337778862885"/>
      </top>
      <bottom/>
      <diagonal/>
    </border>
    <border>
      <left style="thin">
        <color rgb="FFC5E0B3"/>
      </left>
      <right/>
      <top/>
      <bottom/>
      <diagonal/>
    </border>
    <border>
      <left style="thin">
        <color indexed="64"/>
      </left>
      <right/>
      <top style="medium">
        <color indexed="64"/>
      </top>
      <bottom/>
      <diagonal/>
    </border>
    <border>
      <left/>
      <right/>
      <top style="thin">
        <color theme="9" tint="0.59996337778862885"/>
      </top>
      <bottom style="thin">
        <color theme="9" tint="0.59996337778862885"/>
      </bottom>
      <diagonal/>
    </border>
    <border>
      <left style="thin">
        <color theme="9" tint="0.59996337778862885"/>
      </left>
      <right/>
      <top style="thin">
        <color theme="9" tint="0.59996337778862885"/>
      </top>
      <bottom style="thin">
        <color theme="9" tint="0.59996337778862885"/>
      </bottom>
      <diagonal/>
    </border>
    <border>
      <left style="thin">
        <color theme="9" tint="0.59996337778862885"/>
      </left>
      <right/>
      <top style="thin">
        <color theme="9" tint="0.59996337778862885"/>
      </top>
      <bottom/>
      <diagonal/>
    </border>
    <border>
      <left style="thin">
        <color theme="9" tint="0.59996337778862885"/>
      </left>
      <right/>
      <top/>
      <bottom/>
      <diagonal/>
    </border>
    <border>
      <left style="thin">
        <color theme="0"/>
      </left>
      <right style="thin">
        <color theme="0"/>
      </right>
      <top style="thin">
        <color theme="0"/>
      </top>
      <bottom style="thin">
        <color theme="0"/>
      </bottom>
      <diagonal/>
    </border>
    <border>
      <left/>
      <right style="thin">
        <color theme="9" tint="0.59996337778862885"/>
      </right>
      <top style="thin">
        <color theme="9" tint="0.59996337778862885"/>
      </top>
      <bottom style="thin">
        <color theme="9" tint="0.59996337778862885"/>
      </bottom>
      <diagonal/>
    </border>
    <border>
      <left/>
      <right style="thin">
        <color theme="0"/>
      </right>
      <top style="thin">
        <color theme="0"/>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008000"/>
      </left>
      <right/>
      <top/>
      <bottom/>
      <diagonal/>
    </border>
    <border>
      <left/>
      <right style="thin">
        <color theme="4" tint="0.39997558519241921"/>
      </right>
      <top/>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top style="medium">
        <color theme="9" tint="-0.499984740745262"/>
      </top>
      <bottom style="medium">
        <color rgb="FF008000"/>
      </bottom>
      <diagonal/>
    </border>
    <border>
      <left/>
      <right style="medium">
        <color theme="9" tint="-0.499984740745262"/>
      </right>
      <top style="medium">
        <color theme="9" tint="-0.499984740745262"/>
      </top>
      <bottom style="medium">
        <color rgb="FF008000"/>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style="thin">
        <color theme="0" tint="-0.34998626667073579"/>
      </left>
      <right/>
      <top style="medium">
        <color rgb="FF008000"/>
      </top>
      <bottom style="medium">
        <color theme="9" tint="-0.499984740745262"/>
      </bottom>
      <diagonal/>
    </border>
    <border>
      <left style="thin">
        <color indexed="64"/>
      </left>
      <right/>
      <top style="medium">
        <color rgb="FF008000"/>
      </top>
      <bottom style="medium">
        <color theme="9" tint="-0.499984740745262"/>
      </bottom>
      <diagonal/>
    </border>
    <border>
      <left style="thin">
        <color theme="0" tint="-0.34998626667073579"/>
      </left>
      <right style="medium">
        <color theme="9" tint="-0.499984740745262"/>
      </right>
      <top style="medium">
        <color rgb="FF008000"/>
      </top>
      <bottom style="medium">
        <color theme="9" tint="-0.499984740745262"/>
      </bottom>
      <diagonal/>
    </border>
    <border>
      <left/>
      <right style="thin">
        <color indexed="64"/>
      </right>
      <top style="medium">
        <color theme="9" tint="-0.499984740745262"/>
      </top>
      <bottom/>
      <diagonal/>
    </border>
    <border>
      <left/>
      <right style="thin">
        <color indexed="64"/>
      </right>
      <top/>
      <bottom style="medium">
        <color theme="9" tint="-0.499984740745262"/>
      </bottom>
      <diagonal/>
    </border>
    <border>
      <left/>
      <right/>
      <top style="medium">
        <color rgb="FF008000"/>
      </top>
      <bottom style="medium">
        <color theme="9" tint="-0.499984740745262"/>
      </bottom>
      <diagonal/>
    </border>
    <border>
      <left style="thin">
        <color indexed="64"/>
      </left>
      <right style="thin">
        <color indexed="64"/>
      </right>
      <top style="medium">
        <color theme="9" tint="-0.499984740745262"/>
      </top>
      <bottom/>
      <diagonal/>
    </border>
    <border>
      <left style="thin">
        <color indexed="64"/>
      </left>
      <right style="thin">
        <color indexed="64"/>
      </right>
      <top/>
      <bottom style="medium">
        <color theme="9" tint="-0.499984740745262"/>
      </bottom>
      <diagonal/>
    </border>
    <border>
      <left style="thin">
        <color indexed="64"/>
      </left>
      <right/>
      <top style="medium">
        <color theme="9" tint="-0.499984740745262"/>
      </top>
      <bottom style="medium">
        <color rgb="FF008000"/>
      </bottom>
      <diagonal/>
    </border>
    <border>
      <left/>
      <right style="thin">
        <color indexed="64"/>
      </right>
      <top style="medium">
        <color theme="9" tint="-0.499984740745262"/>
      </top>
      <bottom style="medium">
        <color rgb="FF008000"/>
      </bottom>
      <diagonal/>
    </border>
  </borders>
  <cellStyleXfs count="9">
    <xf numFmtId="0" fontId="0" fillId="0" borderId="0"/>
    <xf numFmtId="9" fontId="1" fillId="0" borderId="0" applyFont="0" applyFill="0" applyBorder="0" applyAlignment="0" applyProtection="0"/>
    <xf numFmtId="0" fontId="5" fillId="0" borderId="0"/>
    <xf numFmtId="9" fontId="5" fillId="0" borderId="0" applyFont="0" applyFill="0" applyBorder="0" applyAlignment="0" applyProtection="0"/>
    <xf numFmtId="164" fontId="5" fillId="0" borderId="0" applyFont="0" applyFill="0" applyBorder="0" applyAlignment="0" applyProtection="0"/>
    <xf numFmtId="0" fontId="10" fillId="0" borderId="0"/>
    <xf numFmtId="0" fontId="18" fillId="0" borderId="0" applyNumberFormat="0" applyFill="0" applyBorder="0" applyAlignment="0" applyProtection="0">
      <alignment vertical="top"/>
      <protection locked="0"/>
    </xf>
    <xf numFmtId="9" fontId="10" fillId="0" borderId="0" applyFont="0" applyFill="0" applyBorder="0" applyAlignment="0" applyProtection="0"/>
    <xf numFmtId="44" fontId="1" fillId="0" borderId="0" applyFont="0" applyFill="0" applyBorder="0" applyAlignment="0" applyProtection="0"/>
  </cellStyleXfs>
  <cellXfs count="362">
    <xf numFmtId="0" fontId="0" fillId="0" borderId="0" xfId="0"/>
    <xf numFmtId="0" fontId="3" fillId="0" borderId="0" xfId="0" applyFont="1"/>
    <xf numFmtId="0" fontId="4" fillId="4" borderId="4" xfId="2" applyFont="1" applyFill="1" applyBorder="1" applyAlignment="1">
      <alignment horizontal="center" vertical="center" wrapText="1"/>
    </xf>
    <xf numFmtId="0" fontId="4" fillId="4" borderId="5" xfId="2" applyFont="1" applyFill="1" applyBorder="1" applyAlignment="1">
      <alignment horizontal="center" vertical="center" wrapText="1"/>
    </xf>
    <xf numFmtId="0" fontId="6" fillId="5" borderId="6" xfId="2" applyFont="1" applyFill="1" applyBorder="1" applyAlignment="1">
      <alignment horizontal="center"/>
    </xf>
    <xf numFmtId="9" fontId="7" fillId="0" borderId="5" xfId="3" applyFont="1" applyBorder="1" applyAlignment="1">
      <alignment horizontal="center"/>
    </xf>
    <xf numFmtId="0" fontId="6" fillId="6" borderId="4" xfId="2" applyFont="1" applyFill="1" applyBorder="1" applyAlignment="1">
      <alignment horizontal="center"/>
    </xf>
    <xf numFmtId="0" fontId="6" fillId="7" borderId="4" xfId="2" applyFont="1" applyFill="1" applyBorder="1" applyAlignment="1">
      <alignment horizontal="center"/>
    </xf>
    <xf numFmtId="0" fontId="6" fillId="8" borderId="4" xfId="2" applyFont="1" applyFill="1" applyBorder="1" applyAlignment="1">
      <alignment horizontal="center"/>
    </xf>
    <xf numFmtId="1" fontId="8" fillId="9" borderId="4" xfId="2" applyNumberFormat="1" applyFont="1" applyFill="1" applyBorder="1" applyAlignment="1">
      <alignment horizontal="center"/>
    </xf>
    <xf numFmtId="1" fontId="9" fillId="9" borderId="5" xfId="2" applyNumberFormat="1" applyFont="1" applyFill="1" applyBorder="1" applyAlignment="1">
      <alignment horizontal="center"/>
    </xf>
    <xf numFmtId="9" fontId="9" fillId="9" borderId="5" xfId="1" applyFont="1" applyFill="1" applyBorder="1" applyAlignment="1">
      <alignment horizontal="center"/>
    </xf>
    <xf numFmtId="0" fontId="4" fillId="10" borderId="8" xfId="2" applyFont="1" applyFill="1" applyBorder="1" applyAlignment="1">
      <alignment horizontal="center" vertical="center" wrapText="1"/>
    </xf>
    <xf numFmtId="0" fontId="4" fillId="10" borderId="9" xfId="2" applyFont="1" applyFill="1" applyBorder="1" applyAlignment="1">
      <alignment horizontal="center" vertical="center" wrapText="1"/>
    </xf>
    <xf numFmtId="0" fontId="9" fillId="9" borderId="13" xfId="2" applyFont="1" applyFill="1" applyBorder="1" applyAlignment="1">
      <alignment horizontal="center" vertical="center"/>
    </xf>
    <xf numFmtId="0" fontId="6" fillId="13" borderId="4" xfId="2" applyFont="1" applyFill="1" applyBorder="1" applyAlignment="1">
      <alignment horizontal="center"/>
    </xf>
    <xf numFmtId="0" fontId="12" fillId="14" borderId="4" xfId="2" applyFont="1" applyFill="1" applyBorder="1" applyAlignment="1">
      <alignment horizontal="center"/>
    </xf>
    <xf numFmtId="0" fontId="4" fillId="0" borderId="10" xfId="2" applyFont="1" applyFill="1" applyBorder="1" applyAlignment="1">
      <alignment vertical="center" wrapText="1"/>
    </xf>
    <xf numFmtId="0" fontId="4" fillId="12" borderId="12" xfId="2" applyFont="1" applyFill="1" applyBorder="1" applyAlignment="1">
      <alignment vertical="center" wrapText="1"/>
    </xf>
    <xf numFmtId="0" fontId="4" fillId="6" borderId="12" xfId="2" applyFont="1" applyFill="1" applyBorder="1" applyAlignment="1">
      <alignment vertical="center" wrapText="1"/>
    </xf>
    <xf numFmtId="0" fontId="0" fillId="0" borderId="0" xfId="0" applyAlignment="1">
      <alignment horizontal="center" vertical="center"/>
    </xf>
    <xf numFmtId="0" fontId="3" fillId="0" borderId="0" xfId="0" applyFont="1" applyAlignment="1">
      <alignment horizontal="center" vertical="center"/>
    </xf>
    <xf numFmtId="166" fontId="0" fillId="0" borderId="0" xfId="0" applyNumberFormat="1" applyAlignment="1">
      <alignment horizontal="center" vertical="center"/>
    </xf>
    <xf numFmtId="166" fontId="3" fillId="0" borderId="0" xfId="0" applyNumberFormat="1" applyFont="1" applyAlignment="1">
      <alignment horizontal="center" vertical="center"/>
    </xf>
    <xf numFmtId="0" fontId="0" fillId="0" borderId="0" xfId="0" applyAlignment="1">
      <alignment horizontal="right" vertical="center"/>
    </xf>
    <xf numFmtId="0" fontId="0" fillId="0" borderId="0" xfId="0" applyNumberFormat="1" applyAlignment="1">
      <alignment horizontal="right" vertical="center"/>
    </xf>
    <xf numFmtId="0" fontId="0" fillId="0" borderId="0" xfId="0" applyAlignment="1">
      <alignment horizontal="center" vertical="center" wrapText="1"/>
    </xf>
    <xf numFmtId="0" fontId="3" fillId="0" borderId="0" xfId="0" applyFont="1" applyAlignment="1">
      <alignment horizontal="center" vertical="center" wrapText="1"/>
    </xf>
    <xf numFmtId="0" fontId="0" fillId="15" borderId="0" xfId="0" applyFill="1"/>
    <xf numFmtId="14" fontId="0" fillId="0" borderId="0" xfId="0" applyNumberFormat="1"/>
    <xf numFmtId="9" fontId="0" fillId="0" borderId="0" xfId="1" applyFont="1"/>
    <xf numFmtId="9" fontId="3" fillId="0" borderId="0" xfId="0" applyNumberFormat="1" applyFont="1" applyAlignment="1">
      <alignment horizontal="center" vertical="center"/>
    </xf>
    <xf numFmtId="167" fontId="7" fillId="0" borderId="5" xfId="2" applyNumberFormat="1" applyFont="1" applyBorder="1" applyAlignment="1">
      <alignment horizontal="center"/>
    </xf>
    <xf numFmtId="0" fontId="0" fillId="17" borderId="21" xfId="0" applyFill="1" applyBorder="1"/>
    <xf numFmtId="0" fontId="13" fillId="17" borderId="22" xfId="0" applyFont="1" applyFill="1" applyBorder="1" applyAlignment="1">
      <alignment horizontal="center" vertical="center"/>
    </xf>
    <xf numFmtId="0" fontId="13" fillId="17" borderId="19" xfId="0" applyFont="1" applyFill="1" applyBorder="1" applyAlignment="1">
      <alignment horizontal="center" vertical="center"/>
    </xf>
    <xf numFmtId="0" fontId="13" fillId="17" borderId="23" xfId="0" applyFont="1" applyFill="1" applyBorder="1" applyAlignment="1">
      <alignment horizontal="center" vertical="center"/>
    </xf>
    <xf numFmtId="0" fontId="0" fillId="17" borderId="24" xfId="0" applyFill="1" applyBorder="1"/>
    <xf numFmtId="0" fontId="0" fillId="17" borderId="25" xfId="0" applyFill="1" applyBorder="1"/>
    <xf numFmtId="0" fontId="0" fillId="17" borderId="26" xfId="0" applyFill="1" applyBorder="1"/>
    <xf numFmtId="0" fontId="15" fillId="17" borderId="0" xfId="0" applyFont="1" applyFill="1" applyBorder="1"/>
    <xf numFmtId="0" fontId="14" fillId="17" borderId="0" xfId="0" applyFont="1" applyFill="1" applyBorder="1" applyAlignment="1">
      <alignment horizontal="right"/>
    </xf>
    <xf numFmtId="0" fontId="14" fillId="17" borderId="0" xfId="0" applyFont="1" applyFill="1" applyBorder="1" applyAlignment="1">
      <alignment vertical="top" wrapText="1"/>
    </xf>
    <xf numFmtId="0" fontId="0" fillId="20" borderId="0" xfId="0" applyFill="1"/>
    <xf numFmtId="0" fontId="19" fillId="0" borderId="35" xfId="6" applyFont="1" applyBorder="1" applyAlignment="1" applyProtection="1">
      <alignment vertical="center"/>
    </xf>
    <xf numFmtId="0" fontId="19" fillId="0" borderId="0" xfId="6" applyFont="1" applyBorder="1" applyAlignment="1" applyProtection="1">
      <alignment vertical="center"/>
    </xf>
    <xf numFmtId="0" fontId="19" fillId="13" borderId="0" xfId="6" applyFont="1" applyFill="1" applyBorder="1" applyAlignment="1" applyProtection="1">
      <alignment horizontal="left" vertical="center"/>
    </xf>
    <xf numFmtId="0" fontId="19" fillId="0" borderId="0" xfId="6" applyFont="1" applyBorder="1" applyAlignment="1" applyProtection="1">
      <alignment horizontal="left" vertical="center"/>
    </xf>
    <xf numFmtId="0" fontId="19" fillId="2" borderId="0" xfId="6" applyFont="1" applyFill="1" applyBorder="1" applyAlignment="1" applyProtection="1">
      <alignment horizontal="left" vertical="center"/>
    </xf>
    <xf numFmtId="170" fontId="24" fillId="0" borderId="38" xfId="5" applyNumberFormat="1" applyFont="1" applyBorder="1" applyAlignment="1" applyProtection="1">
      <alignment horizontal="center" vertical="center" shrinkToFit="1"/>
      <protection hidden="1"/>
    </xf>
    <xf numFmtId="0" fontId="3" fillId="0" borderId="0" xfId="0" applyFont="1" applyFill="1" applyBorder="1" applyAlignment="1">
      <alignment vertical="center"/>
    </xf>
    <xf numFmtId="0" fontId="3" fillId="0" borderId="0" xfId="0" applyFont="1" applyAlignment="1">
      <alignment horizontal="center" vertical="center"/>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center"/>
    </xf>
    <xf numFmtId="0" fontId="26" fillId="0" borderId="41" xfId="5" applyFont="1" applyBorder="1" applyAlignment="1" applyProtection="1">
      <alignment horizontal="center" vertical="top" shrinkToFit="1"/>
      <protection hidden="1"/>
    </xf>
    <xf numFmtId="0" fontId="26" fillId="0" borderId="19" xfId="5" applyFont="1" applyBorder="1" applyAlignment="1" applyProtection="1">
      <alignment horizontal="center" vertical="center" shrinkToFit="1"/>
      <protection hidden="1"/>
    </xf>
    <xf numFmtId="0" fontId="26" fillId="0" borderId="0" xfId="5" applyFont="1" applyBorder="1" applyAlignment="1" applyProtection="1">
      <alignment horizontal="center" vertical="center" shrinkToFit="1"/>
      <protection hidden="1"/>
    </xf>
    <xf numFmtId="0" fontId="19" fillId="0" borderId="42" xfId="6" applyFont="1" applyFill="1" applyBorder="1" applyAlignment="1" applyProtection="1">
      <alignment horizontal="left" vertical="center"/>
    </xf>
    <xf numFmtId="0" fontId="19" fillId="0" borderId="43" xfId="6" applyFont="1" applyFill="1" applyBorder="1" applyAlignment="1" applyProtection="1">
      <alignment horizontal="left" vertical="center"/>
    </xf>
    <xf numFmtId="1" fontId="0" fillId="0" borderId="0" xfId="0" applyNumberFormat="1" applyAlignment="1">
      <alignment horizontal="center" vertical="center"/>
    </xf>
    <xf numFmtId="1" fontId="3" fillId="0" borderId="0" xfId="0" applyNumberFormat="1" applyFont="1" applyAlignment="1">
      <alignment horizontal="center" vertical="center"/>
    </xf>
    <xf numFmtId="1" fontId="3" fillId="0" borderId="0" xfId="0" applyNumberFormat="1" applyFont="1" applyAlignment="1">
      <alignment horizontal="center" vertical="center" wrapText="1"/>
    </xf>
    <xf numFmtId="1" fontId="0" fillId="0" borderId="0" xfId="0" applyNumberFormat="1" applyAlignment="1">
      <alignment horizontal="center" vertical="center" wrapText="1"/>
    </xf>
    <xf numFmtId="0" fontId="0" fillId="0" borderId="0" xfId="0" applyAlignment="1"/>
    <xf numFmtId="0" fontId="11" fillId="4" borderId="4" xfId="2" applyFont="1" applyFill="1" applyBorder="1" applyAlignment="1">
      <alignment vertical="center" wrapText="1"/>
    </xf>
    <xf numFmtId="0" fontId="3" fillId="0" borderId="0" xfId="0" applyFont="1" applyAlignment="1"/>
    <xf numFmtId="9" fontId="0" fillId="0" borderId="0" xfId="1" applyFont="1" applyAlignment="1">
      <alignment horizontal="center" vertical="center"/>
    </xf>
    <xf numFmtId="9" fontId="3" fillId="0" borderId="0" xfId="1" applyFont="1" applyAlignment="1">
      <alignment horizontal="center" vertical="center"/>
    </xf>
    <xf numFmtId="0" fontId="0" fillId="0" borderId="0" xfId="0" applyFill="1" applyAlignment="1">
      <alignment horizontal="right" vertical="center"/>
    </xf>
    <xf numFmtId="0" fontId="0" fillId="0" borderId="0" xfId="0" applyFill="1" applyAlignment="1">
      <alignment horizontal="center" vertical="center" wrapText="1"/>
    </xf>
    <xf numFmtId="1" fontId="0" fillId="0" borderId="0" xfId="0" applyNumberFormat="1" applyFill="1" applyAlignment="1">
      <alignment horizontal="center" vertical="center" wrapText="1"/>
    </xf>
    <xf numFmtId="0" fontId="0" fillId="0" borderId="0" xfId="0" applyFill="1" applyAlignment="1">
      <alignment horizontal="center" vertical="center"/>
    </xf>
    <xf numFmtId="166" fontId="0" fillId="0" borderId="0" xfId="0" applyNumberFormat="1" applyFill="1" applyAlignment="1">
      <alignment horizontal="center" vertical="center"/>
    </xf>
    <xf numFmtId="0" fontId="0" fillId="0" borderId="0" xfId="0" applyBorder="1"/>
    <xf numFmtId="0" fontId="0" fillId="0" borderId="0" xfId="0" applyFill="1" applyBorder="1"/>
    <xf numFmtId="1" fontId="3" fillId="0" borderId="0" xfId="0" applyNumberFormat="1" applyFont="1" applyFill="1" applyBorder="1" applyAlignment="1">
      <alignment horizontal="center" vertical="center" wrapText="1"/>
    </xf>
    <xf numFmtId="166"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center" vertical="center" wrapText="1"/>
    </xf>
    <xf numFmtId="1" fontId="2" fillId="0" borderId="0" xfId="0" applyNumberFormat="1" applyFont="1" applyFill="1" applyBorder="1" applyAlignment="1">
      <alignment horizontal="center" vertical="center" wrapText="1"/>
    </xf>
    <xf numFmtId="166" fontId="2" fillId="0" borderId="0" xfId="0" applyNumberFormat="1" applyFont="1" applyFill="1" applyBorder="1" applyAlignment="1">
      <alignment horizontal="center" vertical="center"/>
    </xf>
    <xf numFmtId="0" fontId="0" fillId="0" borderId="0" xfId="0" applyFill="1" applyBorder="1" applyAlignment="1">
      <alignment horizontal="right" vertical="center"/>
    </xf>
    <xf numFmtId="0" fontId="0" fillId="0" borderId="0" xfId="0" applyFill="1" applyBorder="1" applyAlignment="1">
      <alignment horizontal="center" vertical="center" wrapText="1"/>
    </xf>
    <xf numFmtId="1" fontId="0" fillId="0" borderId="0" xfId="0" applyNumberFormat="1" applyFill="1" applyBorder="1" applyAlignment="1">
      <alignment horizontal="center" vertical="center" wrapText="1"/>
    </xf>
    <xf numFmtId="0" fontId="0" fillId="0" borderId="0" xfId="0" applyFill="1" applyBorder="1" applyAlignment="1">
      <alignment horizontal="center" vertical="center"/>
    </xf>
    <xf numFmtId="166" fontId="0" fillId="0" borderId="0" xfId="0" applyNumberFormat="1" applyFill="1" applyBorder="1" applyAlignment="1">
      <alignment horizontal="center" vertical="center"/>
    </xf>
    <xf numFmtId="0" fontId="10" fillId="0" borderId="0" xfId="5" applyProtection="1"/>
    <xf numFmtId="0" fontId="10" fillId="0" borderId="35" xfId="5" applyFill="1" applyBorder="1" applyProtection="1"/>
    <xf numFmtId="0" fontId="10" fillId="0" borderId="35" xfId="5" applyBorder="1" applyProtection="1"/>
    <xf numFmtId="0" fontId="10" fillId="0" borderId="0" xfId="5" applyFill="1" applyProtection="1"/>
    <xf numFmtId="0" fontId="16" fillId="0" borderId="0" xfId="5" applyFont="1" applyAlignment="1" applyProtection="1">
      <alignment vertical="center"/>
    </xf>
    <xf numFmtId="0" fontId="16" fillId="0" borderId="0" xfId="5" applyFont="1" applyAlignment="1" applyProtection="1">
      <alignment horizontal="center" vertical="center"/>
    </xf>
    <xf numFmtId="171" fontId="16" fillId="0" borderId="0" xfId="5" applyNumberFormat="1" applyFont="1" applyAlignment="1" applyProtection="1">
      <alignment horizontal="center" vertical="center"/>
    </xf>
    <xf numFmtId="172" fontId="16" fillId="0" borderId="0" xfId="5" applyNumberFormat="1" applyFont="1" applyAlignment="1" applyProtection="1">
      <alignment horizontal="center" vertical="center"/>
    </xf>
    <xf numFmtId="173" fontId="16" fillId="0" borderId="0" xfId="5" applyNumberFormat="1" applyFont="1" applyAlignment="1" applyProtection="1">
      <alignment horizontal="center" vertical="center"/>
    </xf>
    <xf numFmtId="0" fontId="31" fillId="0" borderId="0" xfId="5" applyFont="1" applyAlignment="1" applyProtection="1">
      <alignment horizontal="right"/>
    </xf>
    <xf numFmtId="0" fontId="10" fillId="0" borderId="0" xfId="5" applyBorder="1" applyProtection="1"/>
    <xf numFmtId="171" fontId="10" fillId="0" borderId="0" xfId="5" applyNumberFormat="1" applyProtection="1"/>
    <xf numFmtId="172" fontId="10" fillId="0" borderId="0" xfId="5" applyNumberFormat="1" applyAlignment="1" applyProtection="1">
      <alignment horizontal="center" vertical="center"/>
    </xf>
    <xf numFmtId="0" fontId="10" fillId="0" borderId="0" xfId="5" applyAlignment="1" applyProtection="1">
      <alignment horizontal="center" vertical="center"/>
    </xf>
    <xf numFmtId="173" fontId="10" fillId="0" borderId="0" xfId="5" applyNumberFormat="1" applyProtection="1"/>
    <xf numFmtId="0" fontId="22" fillId="0" borderId="0" xfId="5" applyFont="1" applyFill="1" applyProtection="1"/>
    <xf numFmtId="172" fontId="22" fillId="0" borderId="0" xfId="5" applyNumberFormat="1" applyFont="1" applyAlignment="1" applyProtection="1">
      <alignment horizontal="center" vertical="center"/>
    </xf>
    <xf numFmtId="0" fontId="22" fillId="0" borderId="0" xfId="5" applyFont="1" applyAlignment="1" applyProtection="1">
      <alignment horizontal="center" vertical="center"/>
    </xf>
    <xf numFmtId="173" fontId="22" fillId="0" borderId="0" xfId="5" applyNumberFormat="1" applyFont="1" applyProtection="1"/>
    <xf numFmtId="0" fontId="25" fillId="0" borderId="0" xfId="5" applyFont="1" applyFill="1" applyAlignment="1" applyProtection="1">
      <alignment horizontal="center" vertical="top" wrapText="1"/>
    </xf>
    <xf numFmtId="0" fontId="25" fillId="0" borderId="22" xfId="5" applyFont="1" applyFill="1" applyBorder="1" applyAlignment="1" applyProtection="1">
      <alignment horizontal="center" vertical="center" wrapText="1"/>
    </xf>
    <xf numFmtId="172" fontId="10" fillId="0" borderId="0" xfId="5" applyNumberFormat="1" applyBorder="1" applyAlignment="1" applyProtection="1">
      <alignment horizontal="center" vertical="center"/>
    </xf>
    <xf numFmtId="0" fontId="35" fillId="0" borderId="0" xfId="5" applyFont="1" applyBorder="1" applyProtection="1"/>
    <xf numFmtId="165" fontId="35" fillId="22" borderId="0" xfId="5" applyNumberFormat="1" applyFont="1" applyFill="1" applyBorder="1" applyProtection="1"/>
    <xf numFmtId="165" fontId="35" fillId="22" borderId="0" xfId="5" applyNumberFormat="1" applyFont="1" applyFill="1" applyBorder="1" applyAlignment="1" applyProtection="1">
      <alignment horizontal="center" vertical="center"/>
    </xf>
    <xf numFmtId="1" fontId="29" fillId="22" borderId="0" xfId="5" applyNumberFormat="1" applyFont="1" applyFill="1" applyBorder="1" applyAlignment="1" applyProtection="1">
      <alignment horizontal="center" vertical="center"/>
    </xf>
    <xf numFmtId="173" fontId="35" fillId="22" borderId="0" xfId="1" applyNumberFormat="1" applyFont="1" applyFill="1" applyBorder="1" applyAlignment="1" applyProtection="1">
      <alignment horizontal="center" vertical="center"/>
    </xf>
    <xf numFmtId="174" fontId="0" fillId="0" borderId="0" xfId="0" applyNumberFormat="1"/>
    <xf numFmtId="1" fontId="0" fillId="0" borderId="0" xfId="0" applyNumberFormat="1"/>
    <xf numFmtId="0" fontId="38" fillId="0" borderId="50" xfId="0" applyFont="1" applyBorder="1" applyAlignment="1">
      <alignment horizontal="center" vertical="center"/>
    </xf>
    <xf numFmtId="0" fontId="39" fillId="25" borderId="50" xfId="0" applyFont="1" applyFill="1" applyBorder="1" applyAlignment="1">
      <alignment horizontal="center" vertical="center"/>
    </xf>
    <xf numFmtId="175" fontId="38" fillId="0" borderId="50" xfId="0" applyNumberFormat="1" applyFont="1" applyBorder="1" applyAlignment="1">
      <alignment horizontal="center" vertical="center"/>
    </xf>
    <xf numFmtId="0" fontId="38" fillId="25" borderId="50" xfId="0" applyFont="1" applyFill="1" applyBorder="1" applyAlignment="1">
      <alignment horizontal="center" vertical="center"/>
    </xf>
    <xf numFmtId="0" fontId="38" fillId="0" borderId="50" xfId="0" applyFont="1" applyBorder="1" applyAlignment="1">
      <alignment horizontal="center" vertical="center" wrapText="1"/>
    </xf>
    <xf numFmtId="0" fontId="38" fillId="0" borderId="0" xfId="0" applyFont="1"/>
    <xf numFmtId="165" fontId="40" fillId="27" borderId="50" xfId="0" applyNumberFormat="1" applyFont="1" applyFill="1" applyBorder="1" applyAlignment="1">
      <alignment horizontal="center" vertical="center" wrapText="1"/>
    </xf>
    <xf numFmtId="165" fontId="41" fillId="27" borderId="50" xfId="6" applyNumberFormat="1" applyFont="1" applyFill="1" applyBorder="1" applyAlignment="1" applyProtection="1">
      <alignment horizontal="center" vertical="center" wrapText="1"/>
    </xf>
    <xf numFmtId="165" fontId="42" fillId="27" borderId="50" xfId="0" applyNumberFormat="1" applyFont="1" applyFill="1" applyBorder="1" applyAlignment="1">
      <alignment horizontal="center" vertical="center" wrapText="1"/>
    </xf>
    <xf numFmtId="165" fontId="18" fillId="27" borderId="50" xfId="6" applyNumberFormat="1" applyFill="1" applyBorder="1" applyAlignment="1" applyProtection="1">
      <alignment horizontal="center" vertical="center" wrapText="1"/>
    </xf>
    <xf numFmtId="49" fontId="42" fillId="27" borderId="50" xfId="0" applyNumberFormat="1" applyFont="1" applyFill="1" applyBorder="1"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0" fillId="0" borderId="0" xfId="0" applyNumberFormat="1" applyAlignment="1">
      <alignment horizontal="center" vertical="center" wrapText="1"/>
    </xf>
    <xf numFmtId="0" fontId="0" fillId="0" borderId="0" xfId="0" applyNumberFormat="1" applyAlignment="1">
      <alignment horizontal="center" vertical="center"/>
    </xf>
    <xf numFmtId="0" fontId="26" fillId="0" borderId="53" xfId="5" applyFont="1" applyBorder="1" applyAlignment="1" applyProtection="1">
      <alignment horizontal="center" vertical="center" shrinkToFit="1"/>
      <protection hidden="1"/>
    </xf>
    <xf numFmtId="44" fontId="7" fillId="0" borderId="4" xfId="8" applyFont="1" applyBorder="1" applyAlignment="1">
      <alignment horizontal="center"/>
    </xf>
    <xf numFmtId="44" fontId="7" fillId="0" borderId="5" xfId="8" applyFont="1" applyBorder="1" applyAlignment="1">
      <alignment horizontal="center"/>
    </xf>
    <xf numFmtId="174" fontId="0" fillId="0" borderId="0" xfId="0" applyNumberFormat="1" applyAlignment="1">
      <alignment horizontal="center" vertical="center"/>
    </xf>
    <xf numFmtId="0" fontId="0" fillId="28" borderId="0" xfId="0" applyFill="1"/>
    <xf numFmtId="0" fontId="4" fillId="0" borderId="0" xfId="2" applyFont="1" applyFill="1" applyBorder="1" applyAlignment="1">
      <alignment vertical="center" wrapText="1"/>
    </xf>
    <xf numFmtId="0" fontId="4" fillId="0" borderId="0" xfId="2" applyFont="1" applyFill="1" applyBorder="1" applyAlignment="1">
      <alignment horizontal="center" vertical="center" wrapText="1"/>
    </xf>
    <xf numFmtId="0" fontId="9" fillId="0" borderId="0" xfId="2" applyFont="1" applyFill="1" applyBorder="1" applyAlignment="1">
      <alignment horizontal="center" vertical="center"/>
    </xf>
    <xf numFmtId="0" fontId="4" fillId="5" borderId="11" xfId="2" applyFont="1" applyFill="1" applyBorder="1" applyAlignment="1">
      <alignment vertical="center" wrapText="1"/>
    </xf>
    <xf numFmtId="0" fontId="4" fillId="7" borderId="14" xfId="2" applyFont="1" applyFill="1" applyBorder="1" applyAlignment="1">
      <alignment vertical="center" wrapText="1"/>
    </xf>
    <xf numFmtId="0" fontId="4" fillId="7" borderId="15" xfId="2" applyFont="1" applyFill="1" applyBorder="1" applyAlignment="1">
      <alignment vertical="center" wrapText="1"/>
    </xf>
    <xf numFmtId="0" fontId="4" fillId="2" borderId="47" xfId="0" applyFont="1" applyFill="1" applyBorder="1" applyAlignment="1">
      <alignment horizontal="center" vertical="center" wrapText="1"/>
    </xf>
    <xf numFmtId="165" fontId="42" fillId="27" borderId="50" xfId="0" applyNumberFormat="1" applyFont="1" applyFill="1" applyBorder="1" applyAlignment="1">
      <alignment horizontal="left" vertical="center" wrapText="1"/>
    </xf>
    <xf numFmtId="165" fontId="42" fillId="27" borderId="50"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3" fillId="28" borderId="0" xfId="0" applyFont="1" applyFill="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NumberFormat="1"/>
    <xf numFmtId="165" fontId="42" fillId="27" borderId="55" xfId="0" applyNumberFormat="1" applyFont="1" applyFill="1" applyBorder="1" applyAlignment="1">
      <alignment horizontal="center" vertical="center" wrapText="1"/>
    </xf>
    <xf numFmtId="165" fontId="42" fillId="27" borderId="45" xfId="0" applyNumberFormat="1" applyFont="1" applyFill="1" applyBorder="1" applyAlignment="1">
      <alignment horizontal="center" vertical="center" wrapText="1"/>
    </xf>
    <xf numFmtId="49" fontId="42" fillId="27" borderId="45" xfId="0" applyNumberFormat="1"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0" borderId="0" xfId="0" applyFont="1" applyFill="1" applyBorder="1" applyAlignment="1">
      <alignment horizontal="center" vertical="center" wrapText="1"/>
    </xf>
    <xf numFmtId="165" fontId="42" fillId="0" borderId="0" xfId="0" applyNumberFormat="1" applyFont="1" applyFill="1" applyBorder="1" applyAlignment="1">
      <alignment horizontal="center" vertical="center" wrapText="1"/>
    </xf>
    <xf numFmtId="0" fontId="37" fillId="2" borderId="46" xfId="0" applyFont="1" applyFill="1" applyBorder="1" applyAlignment="1">
      <alignment horizontal="center" vertical="center" wrapText="1"/>
    </xf>
    <xf numFmtId="165" fontId="42" fillId="27" borderId="59" xfId="0" applyNumberFormat="1" applyFont="1" applyFill="1" applyBorder="1" applyAlignment="1">
      <alignment horizontal="center" vertical="center" wrapText="1"/>
    </xf>
    <xf numFmtId="165" fontId="42" fillId="27" borderId="44" xfId="0" applyNumberFormat="1" applyFont="1" applyFill="1" applyBorder="1" applyAlignment="1">
      <alignment horizontal="center" vertical="center" wrapText="1"/>
    </xf>
    <xf numFmtId="165" fontId="42" fillId="27" borderId="50" xfId="0" applyNumberFormat="1" applyFont="1" applyFill="1" applyBorder="1" applyAlignment="1">
      <alignment horizontal="center" vertical="top" wrapText="1"/>
    </xf>
    <xf numFmtId="165" fontId="42" fillId="27" borderId="55" xfId="0" applyNumberFormat="1" applyFont="1" applyFill="1" applyBorder="1" applyAlignment="1">
      <alignment horizontal="center" vertical="center"/>
    </xf>
    <xf numFmtId="165" fontId="42" fillId="27" borderId="56" xfId="0" applyNumberFormat="1" applyFont="1" applyFill="1" applyBorder="1" applyAlignment="1">
      <alignment horizontal="center" vertical="center"/>
    </xf>
    <xf numFmtId="0" fontId="0" fillId="0" borderId="0" xfId="0" applyAlignment="1">
      <alignment wrapText="1"/>
    </xf>
    <xf numFmtId="0" fontId="0" fillId="29" borderId="0" xfId="0" applyFill="1" applyBorder="1"/>
    <xf numFmtId="0" fontId="3" fillId="29" borderId="0" xfId="0" applyFont="1" applyFill="1" applyBorder="1" applyAlignment="1">
      <alignment horizontal="center" vertical="center" wrapText="1"/>
    </xf>
    <xf numFmtId="0" fontId="0" fillId="29" borderId="60" xfId="0" applyFill="1" applyBorder="1"/>
    <xf numFmtId="0" fontId="0" fillId="29" borderId="58" xfId="0" applyFill="1" applyBorder="1"/>
    <xf numFmtId="17" fontId="0" fillId="0" borderId="0" xfId="0" applyNumberFormat="1" applyAlignment="1">
      <alignment horizontal="left" vertical="center" wrapText="1"/>
    </xf>
    <xf numFmtId="2" fontId="16" fillId="0" borderId="0" xfId="1" applyNumberFormat="1" applyFont="1" applyAlignment="1" applyProtection="1">
      <alignment horizontal="center" vertical="center"/>
    </xf>
    <xf numFmtId="165" fontId="26" fillId="23" borderId="0" xfId="5" applyNumberFormat="1" applyFont="1" applyFill="1" applyBorder="1" applyAlignment="1" applyProtection="1">
      <alignment horizontal="left" vertical="center" wrapText="1"/>
      <protection locked="0"/>
    </xf>
    <xf numFmtId="0" fontId="26" fillId="22" borderId="0" xfId="5" applyFont="1" applyFill="1" applyBorder="1" applyAlignment="1" applyProtection="1">
      <alignment vertical="center"/>
      <protection locked="0"/>
    </xf>
    <xf numFmtId="0" fontId="26" fillId="22" borderId="0" xfId="5" applyFont="1" applyFill="1" applyBorder="1" applyAlignment="1" applyProtection="1">
      <alignment horizontal="center" vertical="center"/>
      <protection locked="0"/>
    </xf>
    <xf numFmtId="165" fontId="26" fillId="22" borderId="0" xfId="5" applyNumberFormat="1" applyFont="1" applyFill="1" applyBorder="1" applyAlignment="1" applyProtection="1">
      <alignment horizontal="center" vertical="center"/>
    </xf>
    <xf numFmtId="165" fontId="26" fillId="22" borderId="0" xfId="5" applyNumberFormat="1" applyFont="1" applyFill="1" applyBorder="1" applyAlignment="1" applyProtection="1">
      <alignment vertical="center"/>
      <protection locked="0"/>
    </xf>
    <xf numFmtId="9" fontId="26" fillId="22" borderId="0" xfId="1" applyFont="1" applyFill="1" applyBorder="1" applyAlignment="1" applyProtection="1">
      <alignment horizontal="center" vertical="center"/>
      <protection locked="0"/>
    </xf>
    <xf numFmtId="1" fontId="29" fillId="22" borderId="0" xfId="5" applyNumberFormat="1" applyFont="1" applyFill="1" applyBorder="1" applyAlignment="1" applyProtection="1">
      <alignment horizontal="center" vertical="center"/>
      <protection locked="0"/>
    </xf>
    <xf numFmtId="0" fontId="10" fillId="0" borderId="0" xfId="5" applyBorder="1" applyAlignment="1" applyProtection="1">
      <alignment horizontal="center" vertical="center"/>
    </xf>
    <xf numFmtId="173" fontId="10" fillId="0" borderId="0" xfId="5" applyNumberFormat="1" applyBorder="1" applyProtection="1"/>
    <xf numFmtId="0" fontId="25" fillId="0" borderId="0" xfId="5" applyFont="1" applyFill="1" applyBorder="1" applyAlignment="1" applyProtection="1">
      <alignment horizontal="left" vertical="center"/>
      <protection locked="0"/>
    </xf>
    <xf numFmtId="0" fontId="30" fillId="0" borderId="0" xfId="5" applyFont="1" applyFill="1" applyBorder="1" applyAlignment="1" applyProtection="1">
      <alignment horizontal="left" vertical="center" wrapText="1"/>
      <protection locked="0"/>
    </xf>
    <xf numFmtId="0" fontId="25" fillId="0" borderId="0" xfId="5" applyFont="1" applyFill="1" applyBorder="1" applyAlignment="1" applyProtection="1">
      <alignment horizontal="left" vertical="center" wrapText="1"/>
      <protection locked="0"/>
    </xf>
    <xf numFmtId="165" fontId="25" fillId="0" borderId="0" xfId="5" applyNumberFormat="1" applyFont="1" applyFill="1" applyBorder="1" applyAlignment="1" applyProtection="1">
      <alignment horizontal="center" vertical="center" wrapText="1"/>
    </xf>
    <xf numFmtId="165" fontId="25" fillId="0" borderId="0" xfId="5" applyNumberFormat="1" applyFont="1" applyFill="1" applyBorder="1" applyAlignment="1" applyProtection="1">
      <alignment horizontal="left" vertical="center" wrapText="1"/>
      <protection locked="0"/>
    </xf>
    <xf numFmtId="0" fontId="30" fillId="0" borderId="0" xfId="5" applyFont="1" applyFill="1" applyBorder="1" applyAlignment="1" applyProtection="1">
      <alignment horizontal="center" vertical="center" wrapText="1"/>
      <protection locked="0"/>
    </xf>
    <xf numFmtId="0" fontId="30" fillId="0" borderId="0" xfId="5" applyFont="1" applyFill="1" applyBorder="1" applyAlignment="1" applyProtection="1">
      <alignment horizontal="left" vertical="center"/>
      <protection locked="0"/>
    </xf>
    <xf numFmtId="0" fontId="26" fillId="0" borderId="0" xfId="5" applyFont="1" applyFill="1" applyAlignment="1" applyProtection="1">
      <alignment vertical="center"/>
    </xf>
    <xf numFmtId="165" fontId="27" fillId="0" borderId="0" xfId="5" applyNumberFormat="1" applyFont="1" applyFill="1" applyBorder="1" applyAlignment="1" applyProtection="1">
      <alignment horizontal="left" vertical="center" wrapText="1"/>
      <protection locked="0"/>
    </xf>
    <xf numFmtId="0" fontId="26" fillId="0" borderId="0" xfId="5" applyFont="1" applyFill="1" applyBorder="1" applyAlignment="1" applyProtection="1">
      <alignment vertical="center" wrapText="1"/>
      <protection locked="0"/>
    </xf>
    <xf numFmtId="0" fontId="27" fillId="0" borderId="0" xfId="5" applyFont="1" applyFill="1" applyBorder="1" applyAlignment="1" applyProtection="1">
      <alignment horizontal="center" vertical="center"/>
      <protection locked="0"/>
    </xf>
    <xf numFmtId="165" fontId="27" fillId="0" borderId="0" xfId="5" applyNumberFormat="1" applyFont="1" applyFill="1" applyBorder="1" applyAlignment="1" applyProtection="1">
      <alignment horizontal="center" vertical="center" wrapText="1"/>
    </xf>
    <xf numFmtId="165" fontId="27" fillId="0" borderId="0" xfId="5" applyNumberFormat="1" applyFont="1" applyFill="1" applyBorder="1" applyAlignment="1" applyProtection="1">
      <alignment vertical="center" wrapText="1"/>
      <protection locked="0"/>
    </xf>
    <xf numFmtId="0" fontId="26" fillId="0" borderId="0" xfId="5" applyFont="1" applyFill="1" applyBorder="1" applyAlignment="1" applyProtection="1">
      <alignment horizontal="center" vertical="center"/>
      <protection locked="0"/>
    </xf>
    <xf numFmtId="165" fontId="26" fillId="0" borderId="0" xfId="5" applyNumberFormat="1" applyFont="1" applyFill="1" applyBorder="1" applyAlignment="1" applyProtection="1">
      <alignment horizontal="left" vertical="center" wrapText="1"/>
      <protection locked="0"/>
    </xf>
    <xf numFmtId="0" fontId="26" fillId="0" borderId="0" xfId="5" applyFont="1" applyFill="1" applyBorder="1" applyAlignment="1" applyProtection="1">
      <alignment vertical="center"/>
      <protection locked="0"/>
    </xf>
    <xf numFmtId="165" fontId="26" fillId="0" borderId="0" xfId="5" applyNumberFormat="1" applyFont="1" applyFill="1" applyBorder="1" applyAlignment="1" applyProtection="1">
      <alignment horizontal="center" vertical="center"/>
    </xf>
    <xf numFmtId="165" fontId="26" fillId="0" borderId="0" xfId="5" applyNumberFormat="1" applyFont="1" applyFill="1" applyBorder="1" applyAlignment="1" applyProtection="1">
      <alignment vertical="center"/>
      <protection locked="0"/>
    </xf>
    <xf numFmtId="0" fontId="10" fillId="0" borderId="0" xfId="5" applyFill="1" applyBorder="1" applyProtection="1"/>
    <xf numFmtId="1" fontId="29" fillId="0" borderId="0" xfId="5" applyNumberFormat="1" applyFont="1" applyFill="1" applyBorder="1" applyAlignment="1" applyProtection="1">
      <alignment horizontal="center" vertical="center"/>
      <protection locked="0"/>
    </xf>
    <xf numFmtId="9" fontId="25" fillId="0" borderId="0" xfId="1" applyFont="1" applyFill="1" applyBorder="1" applyAlignment="1" applyProtection="1">
      <alignment horizontal="center" vertical="center" wrapText="1"/>
      <protection locked="0"/>
    </xf>
    <xf numFmtId="9" fontId="27" fillId="0" borderId="0" xfId="1" applyFont="1" applyFill="1" applyBorder="1" applyAlignment="1" applyProtection="1">
      <alignment horizontal="center" vertical="center"/>
      <protection locked="0"/>
    </xf>
    <xf numFmtId="0" fontId="25" fillId="0" borderId="0" xfId="5" applyNumberFormat="1" applyFont="1" applyFill="1" applyBorder="1" applyAlignment="1" applyProtection="1">
      <alignment horizontal="left" vertical="center"/>
    </xf>
    <xf numFmtId="0" fontId="27" fillId="0" borderId="0" xfId="5" applyNumberFormat="1" applyFont="1" applyFill="1" applyBorder="1" applyAlignment="1" applyProtection="1">
      <alignment horizontal="left" vertical="center"/>
      <protection hidden="1"/>
    </xf>
    <xf numFmtId="0" fontId="47" fillId="0" borderId="0" xfId="5" applyNumberFormat="1" applyFont="1" applyAlignment="1" applyProtection="1">
      <alignment horizontal="left" vertical="center"/>
    </xf>
    <xf numFmtId="0" fontId="20" fillId="0" borderId="0" xfId="5" applyNumberFormat="1" applyFont="1" applyBorder="1" applyAlignment="1" applyProtection="1">
      <alignment horizontal="left"/>
    </xf>
    <xf numFmtId="0" fontId="27" fillId="22" borderId="0" xfId="5" applyNumberFormat="1" applyFont="1" applyFill="1" applyBorder="1" applyAlignment="1" applyProtection="1">
      <alignment horizontal="left" vertical="center"/>
      <protection hidden="1"/>
    </xf>
    <xf numFmtId="0" fontId="49" fillId="0" borderId="0" xfId="5" applyNumberFormat="1" applyFont="1" applyBorder="1" applyAlignment="1" applyProtection="1">
      <alignment horizontal="left"/>
    </xf>
    <xf numFmtId="0" fontId="50" fillId="0" borderId="0" xfId="5" applyNumberFormat="1" applyFont="1" applyBorder="1" applyAlignment="1" applyProtection="1">
      <alignment horizontal="left"/>
    </xf>
    <xf numFmtId="0" fontId="25" fillId="0" borderId="0" xfId="5" applyFont="1" applyFill="1" applyBorder="1" applyAlignment="1" applyProtection="1">
      <alignment horizontal="center" vertical="center" wrapText="1"/>
    </xf>
    <xf numFmtId="1" fontId="28" fillId="0" borderId="0" xfId="5" applyNumberFormat="1" applyFont="1" applyFill="1" applyBorder="1" applyAlignment="1" applyProtection="1">
      <alignment horizontal="center" vertical="center"/>
    </xf>
    <xf numFmtId="0" fontId="26" fillId="0" borderId="0" xfId="5" applyFont="1" applyBorder="1" applyAlignment="1" applyProtection="1">
      <alignment horizontal="left" vertical="center"/>
    </xf>
    <xf numFmtId="0" fontId="26" fillId="0" borderId="0" xfId="5" applyFont="1" applyBorder="1" applyAlignment="1" applyProtection="1">
      <alignment vertical="center"/>
    </xf>
    <xf numFmtId="17" fontId="10" fillId="0" borderId="0" xfId="5" applyNumberFormat="1" applyBorder="1" applyProtection="1"/>
    <xf numFmtId="1" fontId="16" fillId="0" borderId="0" xfId="5" applyNumberFormat="1" applyFont="1" applyAlignment="1" applyProtection="1">
      <alignment horizontal="center" vertical="center"/>
    </xf>
    <xf numFmtId="1" fontId="10" fillId="0" borderId="0" xfId="5" applyNumberFormat="1" applyProtection="1"/>
    <xf numFmtId="1" fontId="25" fillId="0" borderId="0" xfId="5" applyNumberFormat="1" applyFont="1" applyFill="1" applyBorder="1" applyAlignment="1" applyProtection="1">
      <alignment horizontal="center" vertical="center" wrapText="1"/>
      <protection locked="0"/>
    </xf>
    <xf numFmtId="1" fontId="27" fillId="0" borderId="0" xfId="5" applyNumberFormat="1" applyFont="1" applyFill="1" applyBorder="1" applyAlignment="1" applyProtection="1">
      <alignment horizontal="center" vertical="center" wrapText="1"/>
      <protection locked="0"/>
    </xf>
    <xf numFmtId="1" fontId="26" fillId="0" borderId="0" xfId="5" applyNumberFormat="1" applyFont="1" applyFill="1" applyBorder="1" applyAlignment="1" applyProtection="1">
      <alignment horizontal="center" vertical="center"/>
      <protection locked="0"/>
    </xf>
    <xf numFmtId="1" fontId="26" fillId="22" borderId="0" xfId="5" applyNumberFormat="1" applyFont="1" applyFill="1" applyBorder="1" applyAlignment="1" applyProtection="1">
      <alignment horizontal="center" vertical="center"/>
      <protection locked="0"/>
    </xf>
    <xf numFmtId="1" fontId="35" fillId="22" borderId="0" xfId="5" applyNumberFormat="1" applyFont="1" applyFill="1" applyBorder="1" applyAlignment="1" applyProtection="1">
      <alignment horizontal="center" vertical="center"/>
      <protection hidden="1"/>
    </xf>
    <xf numFmtId="1" fontId="10" fillId="0" borderId="0" xfId="5" applyNumberFormat="1" applyBorder="1" applyProtection="1">
      <protection hidden="1"/>
    </xf>
    <xf numFmtId="176" fontId="25" fillId="0" borderId="0" xfId="5" applyNumberFormat="1" applyFont="1" applyFill="1" applyBorder="1" applyAlignment="1" applyProtection="1">
      <alignment horizontal="center" vertical="center" wrapText="1"/>
      <protection locked="0"/>
    </xf>
    <xf numFmtId="176" fontId="27" fillId="0" borderId="0" xfId="5" applyNumberFormat="1" applyFont="1" applyFill="1" applyBorder="1" applyAlignment="1" applyProtection="1">
      <alignment horizontal="center" vertical="center" wrapText="1"/>
      <protection locked="0"/>
    </xf>
    <xf numFmtId="176" fontId="10" fillId="0" borderId="0" xfId="5" applyNumberFormat="1" applyBorder="1" applyProtection="1"/>
    <xf numFmtId="176" fontId="47" fillId="0" borderId="0" xfId="5" applyNumberFormat="1" applyFont="1" applyAlignment="1" applyProtection="1">
      <alignment horizontal="center" vertical="center"/>
    </xf>
    <xf numFmtId="176" fontId="50" fillId="0" borderId="0" xfId="5" applyNumberFormat="1" applyFont="1" applyProtection="1"/>
    <xf numFmtId="176" fontId="27" fillId="0" borderId="0" xfId="5" applyNumberFormat="1" applyFont="1" applyFill="1" applyBorder="1" applyAlignment="1" applyProtection="1">
      <alignment horizontal="center" vertical="center"/>
      <protection locked="0"/>
    </xf>
    <xf numFmtId="176" fontId="27" fillId="22" borderId="0" xfId="5" applyNumberFormat="1" applyFont="1" applyFill="1" applyBorder="1" applyAlignment="1" applyProtection="1">
      <alignment horizontal="center" vertical="center"/>
      <protection locked="0"/>
    </xf>
    <xf numFmtId="176" fontId="49" fillId="22" borderId="0" xfId="5" applyNumberFormat="1" applyFont="1" applyFill="1" applyBorder="1" applyAlignment="1" applyProtection="1">
      <alignment horizontal="center" vertical="center"/>
    </xf>
    <xf numFmtId="176" fontId="50" fillId="0" borderId="0" xfId="5" applyNumberFormat="1" applyFont="1" applyBorder="1" applyProtection="1"/>
    <xf numFmtId="176" fontId="25" fillId="0" borderId="0" xfId="5" applyNumberFormat="1" applyFont="1" applyFill="1" applyBorder="1" applyAlignment="1" applyProtection="1">
      <alignment horizontal="center" vertical="center" wrapText="1"/>
    </xf>
    <xf numFmtId="176" fontId="27" fillId="0" borderId="0" xfId="5" applyNumberFormat="1" applyFont="1" applyFill="1" applyBorder="1" applyAlignment="1" applyProtection="1">
      <alignment horizontal="center" vertical="center" wrapText="1"/>
    </xf>
    <xf numFmtId="176" fontId="26" fillId="0" borderId="0" xfId="5" applyNumberFormat="1" applyFont="1" applyFill="1" applyBorder="1" applyAlignment="1" applyProtection="1">
      <alignment horizontal="center" vertical="center"/>
    </xf>
    <xf numFmtId="176" fontId="27" fillId="0" borderId="0" xfId="5" applyNumberFormat="1" applyFont="1" applyFill="1" applyBorder="1" applyAlignment="1" applyProtection="1">
      <alignment horizontal="center" vertical="center"/>
    </xf>
    <xf numFmtId="176" fontId="27" fillId="22" borderId="0" xfId="5" applyNumberFormat="1" applyFont="1" applyFill="1" applyBorder="1" applyAlignment="1" applyProtection="1">
      <alignment horizontal="center" vertical="center"/>
    </xf>
    <xf numFmtId="0" fontId="10" fillId="0" borderId="0" xfId="5" applyAlignment="1" applyProtection="1">
      <alignment horizontal="center" vertical="top"/>
    </xf>
    <xf numFmtId="170" fontId="24" fillId="0" borderId="63" xfId="5" applyNumberFormat="1" applyFont="1" applyBorder="1" applyAlignment="1" applyProtection="1">
      <alignment horizontal="center" vertical="center" shrinkToFit="1"/>
      <protection hidden="1"/>
    </xf>
    <xf numFmtId="0" fontId="26" fillId="0" borderId="64" xfId="5" applyFont="1" applyBorder="1" applyAlignment="1" applyProtection="1">
      <alignment horizontal="center" vertical="top" shrinkToFit="1"/>
      <protection hidden="1"/>
    </xf>
    <xf numFmtId="0" fontId="10" fillId="0" borderId="0" xfId="5" applyBorder="1" applyAlignment="1" applyProtection="1">
      <alignment horizontal="center" vertical="top"/>
    </xf>
    <xf numFmtId="1" fontId="10" fillId="0" borderId="0" xfId="5" applyNumberFormat="1" applyProtection="1">
      <protection hidden="1"/>
    </xf>
    <xf numFmtId="1" fontId="22" fillId="0" borderId="0" xfId="5" applyNumberFormat="1" applyFont="1" applyProtection="1">
      <protection hidden="1"/>
    </xf>
    <xf numFmtId="0" fontId="26" fillId="0" borderId="0" xfId="5" applyFont="1" applyFill="1" applyBorder="1" applyAlignment="1" applyProtection="1">
      <alignment horizontal="center" vertical="center" shrinkToFit="1"/>
      <protection hidden="1"/>
    </xf>
    <xf numFmtId="0" fontId="25" fillId="0" borderId="0" xfId="5" applyNumberFormat="1" applyFont="1" applyFill="1" applyBorder="1" applyAlignment="1">
      <alignment horizontal="left" vertical="center"/>
    </xf>
    <xf numFmtId="0" fontId="30" fillId="0" borderId="0" xfId="5" applyNumberFormat="1" applyFont="1" applyFill="1" applyBorder="1" applyAlignment="1">
      <alignment horizontal="left" vertical="center"/>
    </xf>
    <xf numFmtId="0" fontId="30" fillId="0" borderId="0" xfId="5" applyNumberFormat="1" applyFont="1" applyFill="1" applyBorder="1" applyAlignment="1">
      <alignment horizontal="left" vertical="center" wrapText="1"/>
    </xf>
    <xf numFmtId="0" fontId="25" fillId="0" borderId="0" xfId="5" applyNumberFormat="1" applyFont="1" applyFill="1" applyBorder="1" applyAlignment="1">
      <alignment horizontal="left" vertical="center" wrapText="1"/>
    </xf>
    <xf numFmtId="176" fontId="25" fillId="0" borderId="0" xfId="5" applyNumberFormat="1" applyFont="1" applyFill="1" applyBorder="1" applyAlignment="1">
      <alignment horizontal="center" vertical="center" wrapText="1"/>
    </xf>
    <xf numFmtId="1" fontId="30" fillId="0" borderId="0" xfId="5" applyNumberFormat="1" applyFont="1" applyFill="1" applyBorder="1" applyAlignment="1">
      <alignment horizontal="center" vertical="center" wrapText="1"/>
    </xf>
    <xf numFmtId="176" fontId="27" fillId="0" borderId="0" xfId="5" applyNumberFormat="1" applyFont="1" applyFill="1" applyBorder="1" applyAlignment="1">
      <alignment horizontal="center" vertical="center"/>
    </xf>
    <xf numFmtId="165" fontId="25" fillId="0" borderId="0" xfId="5" applyNumberFormat="1" applyFont="1" applyFill="1" applyBorder="1" applyAlignment="1">
      <alignment horizontal="left" vertical="center" wrapText="1"/>
    </xf>
    <xf numFmtId="1" fontId="25" fillId="0" borderId="0" xfId="5" applyNumberFormat="1" applyFont="1" applyFill="1" applyBorder="1" applyAlignment="1">
      <alignment horizontal="center" vertical="center" wrapText="1"/>
    </xf>
    <xf numFmtId="165" fontId="25" fillId="0" borderId="0" xfId="5" applyNumberFormat="1" applyFont="1" applyFill="1" applyBorder="1" applyAlignment="1">
      <alignment horizontal="center" vertical="center" wrapText="1"/>
    </xf>
    <xf numFmtId="1" fontId="29" fillId="0" borderId="0" xfId="5" applyNumberFormat="1" applyFont="1" applyFill="1" applyBorder="1" applyAlignment="1">
      <alignment horizontal="center" vertical="center"/>
    </xf>
    <xf numFmtId="9" fontId="25" fillId="0" borderId="0" xfId="1" applyNumberFormat="1" applyFont="1" applyFill="1" applyBorder="1" applyAlignment="1">
      <alignment horizontal="center" vertical="center" wrapText="1"/>
    </xf>
    <xf numFmtId="0" fontId="33" fillId="0" borderId="0" xfId="5" applyFont="1" applyBorder="1" applyAlignment="1" applyProtection="1">
      <alignment horizontal="center" vertical="center"/>
    </xf>
    <xf numFmtId="168" fontId="21" fillId="0" borderId="37" xfId="5" applyNumberFormat="1" applyFont="1" applyBorder="1" applyAlignment="1" applyProtection="1">
      <alignment horizontal="left" vertical="center" shrinkToFit="1"/>
      <protection locked="0"/>
    </xf>
    <xf numFmtId="168" fontId="21" fillId="0" borderId="36" xfId="5" applyNumberFormat="1" applyFont="1" applyBorder="1" applyAlignment="1" applyProtection="1">
      <alignment horizontal="left" vertical="center" shrinkToFit="1"/>
      <protection locked="0"/>
    </xf>
    <xf numFmtId="0" fontId="17"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169" fontId="21" fillId="20" borderId="38" xfId="5" applyNumberFormat="1" applyFont="1" applyFill="1" applyBorder="1" applyAlignment="1" applyProtection="1">
      <alignment horizontal="center" vertical="center"/>
      <protection hidden="1"/>
    </xf>
    <xf numFmtId="169" fontId="21" fillId="20" borderId="39" xfId="5" applyNumberFormat="1" applyFont="1" applyFill="1" applyBorder="1" applyAlignment="1" applyProtection="1">
      <alignment horizontal="center" vertical="center"/>
      <protection hidden="1"/>
    </xf>
    <xf numFmtId="0" fontId="23" fillId="14" borderId="38" xfId="5" applyFont="1" applyFill="1" applyBorder="1" applyAlignment="1" applyProtection="1">
      <alignment horizontal="center" vertical="center"/>
      <protection hidden="1"/>
    </xf>
    <xf numFmtId="0" fontId="20" fillId="0" borderId="0" xfId="5" applyFont="1" applyAlignment="1" applyProtection="1">
      <alignment horizontal="right" vertical="center"/>
    </xf>
    <xf numFmtId="0" fontId="21" fillId="0" borderId="40" xfId="5" applyFont="1" applyBorder="1" applyAlignment="1" applyProtection="1">
      <alignment horizontal="center" vertical="center"/>
      <protection locked="0"/>
    </xf>
    <xf numFmtId="0" fontId="23" fillId="14" borderId="39" xfId="5" applyFont="1" applyFill="1" applyBorder="1" applyAlignment="1" applyProtection="1">
      <alignment horizontal="center" vertical="center"/>
      <protection hidden="1"/>
    </xf>
    <xf numFmtId="0" fontId="4" fillId="3" borderId="1" xfId="2" applyFont="1" applyFill="1" applyBorder="1" applyAlignment="1">
      <alignment horizontal="center" vertical="center" wrapText="1"/>
    </xf>
    <xf numFmtId="0" fontId="4" fillId="3" borderId="2" xfId="2" applyFont="1" applyFill="1" applyBorder="1" applyAlignment="1">
      <alignment horizontal="center" vertical="center" wrapText="1"/>
    </xf>
    <xf numFmtId="0" fontId="4" fillId="3" borderId="3" xfId="2" applyFont="1" applyFill="1" applyBorder="1" applyAlignment="1">
      <alignment horizontal="center" vertical="center" wrapText="1"/>
    </xf>
    <xf numFmtId="0" fontId="4" fillId="8" borderId="7" xfId="2" applyFont="1" applyFill="1" applyBorder="1" applyAlignment="1">
      <alignment horizontal="center" vertical="center" wrapText="1"/>
    </xf>
    <xf numFmtId="0" fontId="4" fillId="8" borderId="0" xfId="2" applyFont="1" applyFill="1" applyBorder="1" applyAlignment="1">
      <alignment horizontal="center" vertical="center" wrapText="1"/>
    </xf>
    <xf numFmtId="0" fontId="4" fillId="11" borderId="7" xfId="2" applyFont="1" applyFill="1" applyBorder="1" applyAlignment="1">
      <alignment horizontal="center" vertical="center" wrapText="1"/>
    </xf>
    <xf numFmtId="0" fontId="4" fillId="11" borderId="0" xfId="2" applyFont="1" applyFill="1" applyBorder="1" applyAlignment="1">
      <alignment horizontal="center" vertical="center" wrapText="1"/>
    </xf>
    <xf numFmtId="0" fontId="3" fillId="0" borderId="0" xfId="0" applyFont="1" applyAlignment="1">
      <alignment horizontal="center" vertical="center"/>
    </xf>
    <xf numFmtId="0" fontId="3" fillId="0" borderId="0" xfId="0" applyFont="1" applyFill="1" applyBorder="1" applyAlignment="1">
      <alignment horizontal="center" vertical="center" wrapText="1"/>
    </xf>
    <xf numFmtId="0" fontId="4" fillId="2" borderId="45" xfId="0" applyFont="1" applyFill="1" applyBorder="1" applyAlignment="1">
      <alignment horizontal="center" vertical="center"/>
    </xf>
    <xf numFmtId="0" fontId="4" fillId="2" borderId="47"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45" xfId="0" applyFont="1" applyFill="1" applyBorder="1" applyAlignment="1">
      <alignment horizontal="center" vertical="center" wrapText="1"/>
    </xf>
    <xf numFmtId="0" fontId="4" fillId="2" borderId="47" xfId="0" applyFont="1" applyFill="1" applyBorder="1" applyAlignment="1">
      <alignment horizontal="center" vertical="center" wrapText="1"/>
    </xf>
    <xf numFmtId="0" fontId="4" fillId="2" borderId="49" xfId="0" applyFont="1" applyFill="1" applyBorder="1" applyAlignment="1">
      <alignment horizontal="center" vertical="center" wrapText="1"/>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37" fillId="2" borderId="44" xfId="0" applyFont="1" applyFill="1" applyBorder="1" applyAlignment="1">
      <alignment horizontal="center" vertical="center"/>
    </xf>
    <xf numFmtId="0" fontId="37" fillId="2" borderId="46" xfId="0" applyFont="1" applyFill="1" applyBorder="1" applyAlignment="1">
      <alignment horizontal="center" vertical="center"/>
    </xf>
    <xf numFmtId="0" fontId="37" fillId="2" borderId="48" xfId="0" applyFont="1" applyFill="1" applyBorder="1" applyAlignment="1">
      <alignment horizontal="center" vertical="center"/>
    </xf>
    <xf numFmtId="0" fontId="44" fillId="29" borderId="61" xfId="0" applyFont="1" applyFill="1" applyBorder="1" applyAlignment="1">
      <alignment horizontal="center" vertical="center"/>
    </xf>
    <xf numFmtId="0" fontId="44" fillId="29" borderId="62"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0" xfId="0" applyFont="1" applyFill="1" applyBorder="1" applyAlignment="1">
      <alignment horizontal="center" vertical="center" wrapText="1"/>
    </xf>
    <xf numFmtId="0" fontId="45" fillId="9" borderId="54" xfId="0" applyFont="1" applyFill="1" applyBorder="1" applyAlignment="1">
      <alignment horizontal="center"/>
    </xf>
    <xf numFmtId="0" fontId="3" fillId="16" borderId="32" xfId="0" applyFont="1" applyFill="1" applyBorder="1" applyAlignment="1">
      <alignment horizontal="center"/>
    </xf>
    <xf numFmtId="0" fontId="3" fillId="16" borderId="33" xfId="0" applyFont="1" applyFill="1" applyBorder="1" applyAlignment="1">
      <alignment horizontal="center"/>
    </xf>
    <xf numFmtId="0" fontId="3" fillId="16" borderId="34" xfId="0" applyFont="1" applyFill="1" applyBorder="1" applyAlignment="1">
      <alignment horizontal="center"/>
    </xf>
    <xf numFmtId="166" fontId="14" fillId="17" borderId="0" xfId="0" applyNumberFormat="1" applyFont="1" applyFill="1" applyBorder="1" applyAlignment="1">
      <alignment horizontal="center"/>
    </xf>
    <xf numFmtId="0" fontId="2" fillId="19" borderId="27" xfId="0" applyFont="1" applyFill="1" applyBorder="1" applyAlignment="1">
      <alignment horizontal="center" vertical="center"/>
    </xf>
    <xf numFmtId="0" fontId="2" fillId="19" borderId="28" xfId="0" applyFont="1" applyFill="1" applyBorder="1" applyAlignment="1">
      <alignment horizontal="center" vertical="center"/>
    </xf>
    <xf numFmtId="0" fontId="2" fillId="19" borderId="29" xfId="0" applyFont="1" applyFill="1" applyBorder="1" applyAlignment="1">
      <alignment horizontal="center" vertical="center"/>
    </xf>
    <xf numFmtId="0" fontId="2" fillId="19" borderId="30" xfId="0" applyFont="1" applyFill="1" applyBorder="1" applyAlignment="1">
      <alignment horizontal="center" vertical="center"/>
    </xf>
    <xf numFmtId="0" fontId="15" fillId="17" borderId="0" xfId="0" applyFont="1" applyFill="1" applyBorder="1" applyAlignment="1">
      <alignment horizontal="left" vertical="center"/>
    </xf>
    <xf numFmtId="0" fontId="14" fillId="17" borderId="0" xfId="0" applyFont="1" applyFill="1" applyBorder="1" applyAlignment="1">
      <alignment horizontal="right" vertical="top"/>
    </xf>
    <xf numFmtId="0" fontId="14" fillId="17" borderId="31" xfId="0" applyFont="1" applyFill="1" applyBorder="1" applyAlignment="1">
      <alignment horizontal="right" vertical="top"/>
    </xf>
    <xf numFmtId="0" fontId="13" fillId="18" borderId="16" xfId="0" applyFont="1" applyFill="1" applyBorder="1" applyAlignment="1">
      <alignment horizontal="center" vertical="center"/>
    </xf>
    <xf numFmtId="0" fontId="13" fillId="18" borderId="17" xfId="0" applyFont="1" applyFill="1" applyBorder="1" applyAlignment="1">
      <alignment horizontal="center" vertical="center"/>
    </xf>
    <xf numFmtId="0" fontId="13" fillId="18" borderId="18" xfId="0" applyFont="1" applyFill="1" applyBorder="1" applyAlignment="1">
      <alignment horizontal="center" vertical="center"/>
    </xf>
    <xf numFmtId="0" fontId="14" fillId="17" borderId="20" xfId="0" applyFont="1" applyFill="1" applyBorder="1" applyAlignment="1">
      <alignment horizontal="right" vertical="center"/>
    </xf>
    <xf numFmtId="0" fontId="14" fillId="17" borderId="0" xfId="0" applyFont="1" applyFill="1" applyBorder="1" applyAlignment="1">
      <alignment horizontal="right" vertical="center"/>
    </xf>
    <xf numFmtId="0" fontId="25" fillId="0" borderId="68" xfId="5" applyNumberFormat="1" applyFont="1" applyBorder="1" applyAlignment="1">
      <alignment horizontal="left" vertical="center"/>
    </xf>
    <xf numFmtId="0" fontId="25" fillId="0" borderId="0" xfId="5" applyNumberFormat="1" applyFont="1" applyBorder="1" applyAlignment="1">
      <alignment horizontal="left" vertical="center"/>
    </xf>
    <xf numFmtId="0" fontId="30" fillId="0" borderId="0" xfId="5" applyNumberFormat="1" applyFont="1" applyBorder="1" applyAlignment="1">
      <alignment horizontal="left" vertical="center" wrapText="1"/>
    </xf>
    <xf numFmtId="0" fontId="25" fillId="0" borderId="0" xfId="5" applyNumberFormat="1" applyFont="1" applyBorder="1" applyAlignment="1">
      <alignment horizontal="left" vertical="center" wrapText="1"/>
    </xf>
    <xf numFmtId="176" fontId="25" fillId="0" borderId="0" xfId="5" applyNumberFormat="1" applyFont="1" applyBorder="1" applyAlignment="1">
      <alignment horizontal="center" vertical="center" wrapText="1"/>
    </xf>
    <xf numFmtId="1" fontId="25" fillId="0" borderId="0" xfId="5" applyNumberFormat="1" applyFont="1" applyBorder="1" applyAlignment="1">
      <alignment horizontal="center" vertical="center" wrapText="1"/>
    </xf>
    <xf numFmtId="165" fontId="25" fillId="0" borderId="0" xfId="5" applyNumberFormat="1" applyFont="1" applyBorder="1" applyAlignment="1">
      <alignment horizontal="left" vertical="center" wrapText="1"/>
    </xf>
    <xf numFmtId="165" fontId="25" fillId="0" borderId="0" xfId="5" applyNumberFormat="1" applyFont="1" applyBorder="1" applyAlignment="1">
      <alignment horizontal="center" vertical="center" wrapText="1"/>
    </xf>
    <xf numFmtId="0" fontId="30" fillId="0" borderId="0" xfId="5" applyNumberFormat="1" applyFont="1" applyBorder="1" applyAlignment="1">
      <alignment horizontal="center" vertical="center" wrapText="1"/>
    </xf>
    <xf numFmtId="9" fontId="25" fillId="21" borderId="69" xfId="1" applyNumberFormat="1" applyFont="1" applyFill="1" applyBorder="1" applyAlignment="1">
      <alignment horizontal="center" vertical="center" wrapText="1"/>
    </xf>
    <xf numFmtId="0" fontId="10" fillId="0" borderId="70" xfId="5" applyBorder="1" applyProtection="1"/>
    <xf numFmtId="0" fontId="46" fillId="24" borderId="71" xfId="5" applyNumberFormat="1" applyFont="1" applyFill="1" applyBorder="1" applyAlignment="1">
      <alignment horizontal="center" vertical="center" wrapText="1"/>
    </xf>
    <xf numFmtId="176" fontId="48" fillId="31" borderId="72" xfId="5" applyNumberFormat="1" applyFont="1" applyFill="1" applyBorder="1" applyAlignment="1" applyProtection="1">
      <alignment horizontal="center"/>
    </xf>
    <xf numFmtId="0" fontId="20" fillId="32" borderId="72" xfId="5" applyFont="1" applyFill="1" applyBorder="1" applyAlignment="1" applyProtection="1">
      <alignment horizontal="center"/>
    </xf>
    <xf numFmtId="172" fontId="20" fillId="18" borderId="72" xfId="5" applyNumberFormat="1" applyFont="1" applyFill="1" applyBorder="1" applyAlignment="1" applyProtection="1">
      <alignment horizontal="center" vertical="center"/>
    </xf>
    <xf numFmtId="172" fontId="20" fillId="18" borderId="73" xfId="5" applyNumberFormat="1" applyFont="1" applyFill="1" applyBorder="1" applyAlignment="1" applyProtection="1">
      <alignment horizontal="center" vertical="center"/>
    </xf>
    <xf numFmtId="0" fontId="10" fillId="0" borderId="74" xfId="5" applyBorder="1" applyAlignment="1" applyProtection="1">
      <alignment horizontal="center" vertical="top"/>
    </xf>
    <xf numFmtId="0" fontId="46" fillId="24" borderId="75" xfId="5" applyNumberFormat="1" applyFont="1" applyFill="1" applyBorder="1" applyAlignment="1">
      <alignment horizontal="center" vertical="center" wrapText="1"/>
    </xf>
    <xf numFmtId="1" fontId="46" fillId="25" borderId="76" xfId="5" applyNumberFormat="1" applyFont="1" applyFill="1" applyBorder="1" applyAlignment="1">
      <alignment horizontal="center" vertical="center" wrapText="1"/>
    </xf>
    <xf numFmtId="171" fontId="46" fillId="25" borderId="76" xfId="5" applyNumberFormat="1" applyFont="1" applyFill="1" applyBorder="1" applyAlignment="1">
      <alignment horizontal="center" vertical="center" wrapText="1"/>
    </xf>
    <xf numFmtId="0" fontId="46" fillId="26" borderId="77" xfId="5" applyNumberFormat="1" applyFont="1" applyFill="1" applyBorder="1" applyAlignment="1">
      <alignment horizontal="center" vertical="center" wrapText="1"/>
    </xf>
    <xf numFmtId="1" fontId="46" fillId="26" borderId="76" xfId="5" applyNumberFormat="1" applyFont="1" applyFill="1" applyBorder="1" applyAlignment="1">
      <alignment horizontal="center" vertical="center" wrapText="1"/>
    </xf>
    <xf numFmtId="172" fontId="46" fillId="26" borderId="76" xfId="5" applyNumberFormat="1" applyFont="1" applyFill="1" applyBorder="1" applyAlignment="1">
      <alignment horizontal="center" vertical="center" wrapText="1"/>
    </xf>
    <xf numFmtId="172" fontId="46" fillId="16" borderId="77" xfId="5" applyNumberFormat="1" applyFont="1" applyFill="1" applyBorder="1" applyAlignment="1">
      <alignment horizontal="center" vertical="center" wrapText="1"/>
    </xf>
    <xf numFmtId="0" fontId="46" fillId="16" borderId="76" xfId="5" applyNumberFormat="1" applyFont="1" applyFill="1" applyBorder="1" applyAlignment="1">
      <alignment horizontal="center" vertical="center" wrapText="1"/>
    </xf>
    <xf numFmtId="173" fontId="46" fillId="16" borderId="78" xfId="5" applyNumberFormat="1" applyFont="1" applyFill="1" applyBorder="1" applyAlignment="1">
      <alignment horizontal="center" vertical="center" wrapText="1"/>
    </xf>
    <xf numFmtId="0" fontId="26" fillId="0" borderId="19" xfId="5" applyFont="1" applyFill="1" applyBorder="1" applyAlignment="1" applyProtection="1">
      <alignment horizontal="center" vertical="center" shrinkToFit="1"/>
      <protection hidden="1"/>
    </xf>
    <xf numFmtId="0" fontId="2" fillId="30" borderId="65" xfId="0" applyFont="1" applyFill="1" applyBorder="1" applyAlignment="1">
      <alignment horizontal="center" vertical="center"/>
    </xf>
    <xf numFmtId="0" fontId="2" fillId="30" borderId="66" xfId="0" applyFont="1" applyFill="1" applyBorder="1" applyAlignment="1">
      <alignment horizontal="center" vertical="center" wrapText="1"/>
    </xf>
    <xf numFmtId="1" fontId="2" fillId="30" borderId="66" xfId="0" applyNumberFormat="1" applyFont="1" applyFill="1" applyBorder="1" applyAlignment="1">
      <alignment horizontal="center" vertical="center" wrapText="1"/>
    </xf>
    <xf numFmtId="0" fontId="2" fillId="30" borderId="66" xfId="0" applyFont="1" applyFill="1" applyBorder="1" applyAlignment="1">
      <alignment horizontal="center" vertical="center"/>
    </xf>
    <xf numFmtId="166" fontId="2" fillId="30" borderId="66" xfId="0" applyNumberFormat="1" applyFont="1" applyFill="1" applyBorder="1" applyAlignment="1">
      <alignment horizontal="center" vertical="center"/>
    </xf>
    <xf numFmtId="1" fontId="2" fillId="30" borderId="66" xfId="0" applyNumberFormat="1" applyFont="1" applyFill="1" applyBorder="1" applyAlignment="1">
      <alignment horizontal="center" vertical="center"/>
    </xf>
    <xf numFmtId="9" fontId="2" fillId="30" borderId="66" xfId="1" applyNumberFormat="1" applyFont="1" applyFill="1" applyBorder="1" applyAlignment="1">
      <alignment horizontal="center" vertical="center"/>
    </xf>
    <xf numFmtId="0" fontId="2" fillId="30" borderId="67" xfId="0" applyFont="1" applyFill="1" applyBorder="1" applyAlignment="1">
      <alignment horizontal="center" vertical="center"/>
    </xf>
    <xf numFmtId="0" fontId="32" fillId="33" borderId="0" xfId="0" applyFont="1" applyFill="1" applyBorder="1" applyAlignment="1">
      <alignment vertical="center"/>
    </xf>
    <xf numFmtId="0" fontId="43" fillId="33" borderId="0" xfId="0" applyFont="1" applyFill="1" applyBorder="1" applyAlignment="1">
      <alignment horizontal="left" vertical="center"/>
    </xf>
    <xf numFmtId="0" fontId="43" fillId="33" borderId="0" xfId="0" applyFont="1" applyFill="1" applyBorder="1" applyAlignment="1">
      <alignment vertical="center"/>
    </xf>
    <xf numFmtId="0" fontId="0" fillId="33" borderId="0" xfId="0" applyFill="1" applyBorder="1"/>
    <xf numFmtId="0" fontId="36" fillId="33" borderId="0" xfId="0" applyNumberFormat="1" applyFont="1" applyFill="1" applyBorder="1" applyAlignment="1">
      <alignment horizontal="right" vertical="center"/>
    </xf>
    <xf numFmtId="176" fontId="36" fillId="33" borderId="0" xfId="0" applyNumberFormat="1" applyFont="1" applyFill="1" applyBorder="1" applyAlignment="1">
      <alignment horizontal="right" vertical="center"/>
    </xf>
    <xf numFmtId="0" fontId="32" fillId="33" borderId="0" xfId="0" applyFont="1" applyFill="1" applyBorder="1" applyAlignment="1">
      <alignment horizontal="center" vertical="center"/>
    </xf>
    <xf numFmtId="0" fontId="34" fillId="33" borderId="0" xfId="0" applyFont="1" applyFill="1" applyBorder="1" applyAlignment="1">
      <alignment horizontal="left" vertical="top"/>
    </xf>
    <xf numFmtId="176" fontId="36" fillId="33" borderId="0" xfId="0" applyNumberFormat="1" applyFont="1" applyFill="1" applyBorder="1" applyAlignment="1">
      <alignment horizontal="right" vertical="center"/>
    </xf>
    <xf numFmtId="0" fontId="0" fillId="33" borderId="0" xfId="0" applyFill="1"/>
    <xf numFmtId="0" fontId="3" fillId="33" borderId="0" xfId="0" applyFont="1" applyFill="1"/>
    <xf numFmtId="0" fontId="2" fillId="33" borderId="0" xfId="0" applyFont="1" applyFill="1" applyAlignment="1">
      <alignment horizontal="center"/>
    </xf>
    <xf numFmtId="0" fontId="46" fillId="24" borderId="79" xfId="5" applyNumberFormat="1" applyFont="1" applyFill="1" applyBorder="1" applyAlignment="1">
      <alignment horizontal="center" vertical="center" wrapText="1"/>
    </xf>
    <xf numFmtId="0" fontId="46" fillId="24" borderId="80" xfId="5" applyNumberFormat="1" applyFont="1" applyFill="1" applyBorder="1" applyAlignment="1">
      <alignment horizontal="center" vertical="center" wrapText="1"/>
    </xf>
    <xf numFmtId="176" fontId="46" fillId="25" borderId="81" xfId="5" applyNumberFormat="1" applyFont="1" applyFill="1" applyBorder="1" applyAlignment="1">
      <alignment horizontal="center" vertical="center" wrapText="1"/>
    </xf>
    <xf numFmtId="0" fontId="46" fillId="24" borderId="82" xfId="5" applyNumberFormat="1" applyFont="1" applyFill="1" applyBorder="1" applyAlignment="1">
      <alignment horizontal="center" vertical="center" wrapText="1"/>
    </xf>
    <xf numFmtId="0" fontId="46" fillId="24" borderId="83" xfId="5" applyNumberFormat="1" applyFont="1" applyFill="1" applyBorder="1" applyAlignment="1">
      <alignment horizontal="center" vertical="center" wrapText="1"/>
    </xf>
    <xf numFmtId="176" fontId="48" fillId="31" borderId="84" xfId="5" applyNumberFormat="1" applyFont="1" applyFill="1" applyBorder="1" applyAlignment="1" applyProtection="1">
      <alignment horizontal="center"/>
    </xf>
    <xf numFmtId="176" fontId="48" fillId="31" borderId="85" xfId="5" applyNumberFormat="1" applyFont="1" applyFill="1" applyBorder="1" applyAlignment="1" applyProtection="1">
      <alignment horizontal="center"/>
    </xf>
    <xf numFmtId="0" fontId="20" fillId="32" borderId="84" xfId="5" applyFont="1" applyFill="1" applyBorder="1" applyAlignment="1" applyProtection="1">
      <alignment horizontal="center"/>
    </xf>
    <xf numFmtId="0" fontId="20" fillId="32" borderId="85" xfId="5" applyFont="1" applyFill="1" applyBorder="1" applyAlignment="1" applyProtection="1">
      <alignment horizontal="center"/>
    </xf>
  </cellXfs>
  <cellStyles count="9">
    <cellStyle name="Currency" xfId="8" builtinId="4"/>
    <cellStyle name="Currency 2" xfId="4" xr:uid="{7AFC20C0-9B21-4B99-886E-682F986D0623}"/>
    <cellStyle name="Hyperlink 2" xfId="6" xr:uid="{08D507C0-4AB9-42B1-95FE-6595C91F02B5}"/>
    <cellStyle name="Normal" xfId="0" builtinId="0"/>
    <cellStyle name="Normal 2" xfId="2" xr:uid="{0509A13A-80A6-4783-BCF2-612F62D3B752}"/>
    <cellStyle name="Normal 3" xfId="5" xr:uid="{A9C9E406-6A08-4D46-BECB-2777730909BB}"/>
    <cellStyle name="Percent" xfId="1" builtinId="5"/>
    <cellStyle name="Percent 2" xfId="3" xr:uid="{B886B46D-15E2-4FB4-AD6C-8888150278F8}"/>
    <cellStyle name="Percent 3" xfId="7" xr:uid="{B6BA8DFE-E2FE-4E1B-B089-4616C138884C}"/>
  </cellStyles>
  <dxfs count="58">
    <dxf>
      <border>
        <left style="thin">
          <color theme="0" tint="-0.499984740745262"/>
        </left>
      </border>
    </dxf>
    <dxf>
      <border>
        <right style="thin">
          <color theme="0" tint="-0.499984740745262"/>
        </right>
        <vertical/>
        <horizontal/>
      </border>
    </dxf>
    <dxf>
      <border>
        <left style="thin">
          <color rgb="FFC00000"/>
        </left>
        <right style="thin">
          <color rgb="FFC00000"/>
        </right>
        <vertical/>
        <horizontal/>
      </border>
    </dxf>
    <dxf>
      <fill>
        <patternFill>
          <bgColor theme="0" tint="-0.14996795556505021"/>
        </patternFill>
      </fill>
    </dxf>
    <dxf>
      <fill>
        <patternFill>
          <bgColor theme="9" tint="-0.24994659260841701"/>
        </patternFill>
      </fill>
    </dxf>
    <dxf>
      <fill>
        <patternFill>
          <bgColor theme="0" tint="-0.24994659260841701"/>
        </patternFill>
      </fill>
    </dxf>
    <dxf>
      <fill>
        <patternFill>
          <bgColor theme="0" tint="-4.9989318521683403E-2"/>
        </patternFill>
      </fill>
    </dxf>
    <dxf>
      <fill>
        <patternFill>
          <bgColor theme="0"/>
        </patternFill>
      </fill>
    </dxf>
    <dxf>
      <border>
        <top style="thin">
          <color theme="0" tint="-0.14996795556505021"/>
        </top>
        <vertical/>
        <horizontal/>
      </border>
    </dxf>
    <dxf>
      <fill>
        <patternFill>
          <bgColor theme="0" tint="-0.499984740745262"/>
        </patternFill>
      </fill>
    </dxf>
    <dxf>
      <border>
        <left style="thin">
          <color theme="1"/>
        </left>
        <right style="thin">
          <color theme="1"/>
        </right>
        <vertical/>
        <horizontal/>
      </border>
    </dxf>
    <dxf>
      <border>
        <right style="thin">
          <color theme="1"/>
        </right>
        <vertical/>
        <horizontal/>
      </border>
    </dxf>
    <dxf>
      <border>
        <bottom style="thin">
          <color auto="1"/>
        </bottom>
        <vertical/>
        <horizontal/>
      </border>
    </dxf>
    <dxf>
      <border>
        <top style="thin">
          <color theme="0" tint="-0.14996795556505021"/>
        </top>
        <vertical/>
        <horizontal/>
      </border>
    </dxf>
    <dxf>
      <font>
        <color theme="0"/>
      </font>
      <fill>
        <patternFill>
          <bgColor theme="5"/>
        </patternFill>
      </fill>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indexed="64"/>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30" formatCode="@"/>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font>
        <b/>
        <i val="0"/>
        <strike val="0"/>
        <condense val="0"/>
        <extend val="0"/>
        <outline val="0"/>
        <shadow val="0"/>
        <u val="none"/>
        <vertAlign val="baseline"/>
        <sz val="9"/>
        <color rgb="FF008000"/>
        <name val="Calibri"/>
        <family val="2"/>
        <scheme val="minor"/>
      </font>
      <numFmt numFmtId="165" formatCode="ddd\ m/dd/yy"/>
      <fill>
        <patternFill patternType="solid">
          <fgColor rgb="FFD6F4D9"/>
          <bgColor theme="9" tint="0.79998168889431442"/>
        </patternFill>
      </fill>
      <alignment horizontal="center" vertical="center" textRotation="0" wrapText="1" indent="0" justifyLastLine="0" shrinkToFit="0" readingOrder="0"/>
      <border diagonalUp="0" diagonalDown="0">
        <left style="thin">
          <color theme="9" tint="0.59996337778862885"/>
        </left>
        <right style="thin">
          <color theme="9" tint="0.59996337778862885"/>
        </right>
        <top style="thin">
          <color theme="9" tint="0.59996337778862885"/>
        </top>
        <bottom style="thin">
          <color theme="9" tint="0.59996337778862885"/>
        </bottom>
        <vertical/>
        <horizontal/>
      </border>
    </dxf>
    <dxf>
      <border outline="0">
        <right style="thin">
          <color theme="9" tint="0.59996337778862885"/>
        </right>
        <top style="thin">
          <color theme="9" tint="0.59996337778862885"/>
        </top>
        <bottom style="thin">
          <color theme="9" tint="0.59996337778862885"/>
        </bottom>
      </border>
    </dxf>
    <dxf>
      <font>
        <b/>
        <i val="0"/>
        <strike val="0"/>
        <condense val="0"/>
        <extend val="0"/>
        <outline val="0"/>
        <shadow val="0"/>
        <u val="none"/>
        <vertAlign val="baseline"/>
        <sz val="9"/>
        <color rgb="FF008000"/>
        <name val="Calibri"/>
        <family val="2"/>
        <scheme val="minor"/>
      </font>
      <fill>
        <patternFill patternType="solid">
          <fgColor rgb="FFD6F4D9"/>
          <bgColor theme="9"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rgb="FF008000"/>
        </patternFill>
      </fill>
      <alignment horizontal="center" vertical="center" textRotation="0" wrapText="1" indent="0" justifyLastLine="0" shrinkToFit="0" readingOrder="0"/>
      <border diagonalUp="0" diagonalDown="0" outline="0">
        <left style="thin">
          <color theme="9" tint="0.59996337778862885"/>
        </left>
        <right style="thin">
          <color theme="9" tint="0.59996337778862885"/>
        </right>
        <top/>
        <bottom/>
      </border>
    </dxf>
    <dxf>
      <alignment horizontal="center" vertical="center" textRotation="0" wrapText="0" indent="0" justifyLastLine="0" shrinkToFit="0" readingOrder="0"/>
    </dxf>
    <dxf>
      <numFmt numFmtId="174" formatCode="[$-3409]dd\-mmm\-yy;@"/>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74" formatCode="[$-3409]dd\-mmm\-yy;@"/>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166" formatCode="[$-409]mmmm\ d\,\ yy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121F3A"/>
      <color rgb="FF333F56"/>
      <color rgb="FF161D20"/>
      <color rgb="FFFFFFFF"/>
      <color rgb="FF203864"/>
      <color rgb="FF000066"/>
      <color rgb="FFECF5E7"/>
      <color rgb="FF0D1629"/>
      <color rgb="FF007E3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275877306831805"/>
          <c:y val="8.5261240570758165E-2"/>
          <c:w val="0.67386072174633194"/>
          <c:h val="0.87431015252900179"/>
        </c:manualLayout>
      </c:layout>
      <c:barChart>
        <c:barDir val="bar"/>
        <c:grouping val="stacked"/>
        <c:varyColors val="0"/>
        <c:ser>
          <c:idx val="0"/>
          <c:order val="0"/>
          <c:tx>
            <c:v>Start Date</c:v>
          </c:tx>
          <c:spPr>
            <a:noFill/>
            <a:ln>
              <a:noFill/>
            </a:ln>
            <a:effectLst/>
          </c:spPr>
          <c:invertIfNegative val="0"/>
          <c:cat>
            <c:strRef>
              <c:f>'Project Data'!$AS$4:$AS$16</c:f>
              <c:strCache>
                <c:ptCount val="13"/>
                <c:pt idx="0">
                  <c:v>Project Kick-off</c:v>
                </c:pt>
                <c:pt idx="1">
                  <c:v>Data Sanitation and training content creation</c:v>
                </c:pt>
                <c:pt idx="2">
                  <c:v>Development</c:v>
                </c:pt>
                <c:pt idx="3">
                  <c:v>System Integration Testing</c:v>
                </c:pt>
                <c:pt idx="4">
                  <c:v>Training</c:v>
                </c:pt>
                <c:pt idx="5">
                  <c:v>PRG Business Process Creation - BRD</c:v>
                </c:pt>
                <c:pt idx="6">
                  <c:v>Configuration and Migration</c:v>
                </c:pt>
                <c:pt idx="7">
                  <c:v>Data Migration</c:v>
                </c:pt>
                <c:pt idx="8">
                  <c:v>Infrastructure</c:v>
                </c:pt>
                <c:pt idx="9">
                  <c:v>Pre Live Checklist/Preparation</c:v>
                </c:pt>
                <c:pt idx="10">
                  <c:v>Dry Run</c:v>
                </c:pt>
                <c:pt idx="11">
                  <c:v>Marketing Advertisements/Promotions</c:v>
                </c:pt>
                <c:pt idx="12">
                  <c:v>Go Live </c:v>
                </c:pt>
              </c:strCache>
            </c:strRef>
          </c:cat>
          <c: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val>
          <c:extLst>
            <c:ext xmlns:c16="http://schemas.microsoft.com/office/drawing/2014/chart" uri="{C3380CC4-5D6E-409C-BE32-E72D297353CC}">
              <c16:uniqueId val="{00000000-F19A-4040-8699-083266C6420B}"/>
            </c:ext>
          </c:extLst>
        </c:ser>
        <c:ser>
          <c:idx val="1"/>
          <c:order val="1"/>
          <c:tx>
            <c:v>Duration</c:v>
          </c:tx>
          <c:spPr>
            <a:solidFill>
              <a:schemeClr val="accent4">
                <a:lumMod val="40000"/>
                <a:lumOff val="60000"/>
              </a:schemeClr>
            </a:solidFill>
            <a:ln>
              <a:noFill/>
            </a:ln>
            <a:effectLst/>
          </c:spPr>
          <c:invertIfNegative val="0"/>
          <c:cat>
            <c:strRef>
              <c:f>'Project Data'!$AS$4:$AS$16</c:f>
              <c:strCache>
                <c:ptCount val="13"/>
                <c:pt idx="0">
                  <c:v>Project Kick-off</c:v>
                </c:pt>
                <c:pt idx="1">
                  <c:v>Data Sanitation and training content creation</c:v>
                </c:pt>
                <c:pt idx="2">
                  <c:v>Development</c:v>
                </c:pt>
                <c:pt idx="3">
                  <c:v>System Integration Testing</c:v>
                </c:pt>
                <c:pt idx="4">
                  <c:v>Training</c:v>
                </c:pt>
                <c:pt idx="5">
                  <c:v>PRG Business Process Creation - BRD</c:v>
                </c:pt>
                <c:pt idx="6">
                  <c:v>Configuration and Migration</c:v>
                </c:pt>
                <c:pt idx="7">
                  <c:v>Data Migration</c:v>
                </c:pt>
                <c:pt idx="8">
                  <c:v>Infrastructure</c:v>
                </c:pt>
                <c:pt idx="9">
                  <c:v>Pre Live Checklist/Preparation</c:v>
                </c:pt>
                <c:pt idx="10">
                  <c:v>Dry Run</c:v>
                </c:pt>
                <c:pt idx="11">
                  <c:v>Marketing Advertisements/Promotions</c:v>
                </c:pt>
                <c:pt idx="12">
                  <c:v>Go Live </c:v>
                </c:pt>
              </c:strCache>
            </c:strRef>
          </c:cat>
          <c:val>
            <c:numRef>
              <c:f>'Project Data'!$AU$4:$AU$16</c:f>
              <c:numCache>
                <c:formatCode>General</c:formatCode>
                <c:ptCount val="13"/>
                <c:pt idx="0">
                  <c:v>4</c:v>
                </c:pt>
                <c:pt idx="1">
                  <c:v>29</c:v>
                </c:pt>
                <c:pt idx="2">
                  <c:v>30</c:v>
                </c:pt>
                <c:pt idx="3">
                  <c:v>10</c:v>
                </c:pt>
                <c:pt idx="4">
                  <c:v>5</c:v>
                </c:pt>
                <c:pt idx="5">
                  <c:v>26</c:v>
                </c:pt>
                <c:pt idx="6">
                  <c:v>4</c:v>
                </c:pt>
                <c:pt idx="7">
                  <c:v>4</c:v>
                </c:pt>
                <c:pt idx="8">
                  <c:v>12</c:v>
                </c:pt>
                <c:pt idx="9">
                  <c:v>4</c:v>
                </c:pt>
                <c:pt idx="10">
                  <c:v>15</c:v>
                </c:pt>
                <c:pt idx="11">
                  <c:v>1</c:v>
                </c:pt>
                <c:pt idx="12">
                  <c:v>206</c:v>
                </c:pt>
              </c:numCache>
            </c:numRef>
          </c:val>
          <c:extLst>
            <c:ext xmlns:c16="http://schemas.microsoft.com/office/drawing/2014/chart" uri="{C3380CC4-5D6E-409C-BE32-E72D297353CC}">
              <c16:uniqueId val="{00000001-F19A-4040-8699-083266C6420B}"/>
            </c:ext>
          </c:extLst>
        </c:ser>
        <c:dLbls>
          <c:showLegendKey val="0"/>
          <c:showVal val="0"/>
          <c:showCatName val="0"/>
          <c:showSerName val="0"/>
          <c:showPercent val="0"/>
          <c:showBubbleSize val="0"/>
        </c:dLbls>
        <c:gapWidth val="150"/>
        <c:overlap val="100"/>
        <c:axId val="540994984"/>
        <c:axId val="540994656"/>
      </c:barChart>
      <c:catAx>
        <c:axId val="540994984"/>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lumMod val="85000"/>
                  </a:schemeClr>
                </a:solidFill>
                <a:latin typeface="+mn-lt"/>
                <a:ea typeface="+mn-ea"/>
                <a:cs typeface="+mn-cs"/>
              </a:defRPr>
            </a:pPr>
            <a:endParaRPr lang="en-US"/>
          </a:p>
        </c:txPr>
        <c:crossAx val="540994656"/>
        <c:crosses val="autoZero"/>
        <c:auto val="1"/>
        <c:lblAlgn val="ctr"/>
        <c:lblOffset val="100"/>
        <c:noMultiLvlLbl val="0"/>
      </c:catAx>
      <c:valAx>
        <c:axId val="540994656"/>
        <c:scaling>
          <c:orientation val="minMax"/>
        </c:scaling>
        <c:delete val="0"/>
        <c:axPos val="t"/>
        <c:majorGridlines>
          <c:spPr>
            <a:ln w="9525" cap="flat" cmpd="sng" algn="ctr">
              <a:solidFill>
                <a:schemeClr val="tx1">
                  <a:lumMod val="15000"/>
                  <a:lumOff val="85000"/>
                </a:schemeClr>
              </a:solidFill>
              <a:round/>
            </a:ln>
            <a:effectLst/>
          </c:spPr>
        </c:majorGridlines>
        <c:numFmt formatCode="[$-3409]dd\-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5">
                    <a:lumMod val="20000"/>
                    <a:lumOff val="80000"/>
                  </a:schemeClr>
                </a:solidFill>
                <a:latin typeface="+mn-lt"/>
                <a:ea typeface="+mn-ea"/>
                <a:cs typeface="+mn-cs"/>
              </a:defRPr>
            </a:pPr>
            <a:endParaRPr lang="en-US"/>
          </a:p>
        </c:txPr>
        <c:crossAx val="540994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406533984811045E-2"/>
          <c:y val="6.3893265961350589E-4"/>
          <c:w val="0.95601523282218581"/>
          <c:h val="0.99696792054643235"/>
        </c:manualLayout>
      </c:layout>
      <c:scatterChart>
        <c:scatterStyle val="lineMarker"/>
        <c:varyColors val="0"/>
        <c:ser>
          <c:idx val="0"/>
          <c:order val="0"/>
          <c:tx>
            <c:strRef>
              <c:f>'Project Data'!$AU$1</c:f>
              <c:strCache>
                <c:ptCount val="1"/>
                <c:pt idx="0">
                  <c:v>DURATION</c:v>
                </c:pt>
              </c:strCache>
            </c:strRef>
          </c:tx>
          <c:spPr>
            <a:ln w="25400" cap="rnd">
              <a:noFill/>
              <a:round/>
            </a:ln>
            <a:effectLst/>
          </c:spPr>
          <c:marker>
            <c:symbol val="diamond"/>
            <c:size val="10"/>
            <c:spPr>
              <a:solidFill>
                <a:schemeClr val="accent6">
                  <a:lumMod val="75000"/>
                </a:schemeClr>
              </a:solidFill>
              <a:ln w="9525">
                <a:solidFill>
                  <a:schemeClr val="accent1"/>
                </a:solidFill>
              </a:ln>
              <a:effectLst/>
            </c:spPr>
          </c:marker>
          <c:dLbls>
            <c:dLbl>
              <c:idx val="0"/>
              <c:tx>
                <c:rich>
                  <a:bodyPr/>
                  <a:lstStyle/>
                  <a:p>
                    <a:r>
                      <a:rPr lang="en-US"/>
                      <a:t>Project</a:t>
                    </a:r>
                    <a:r>
                      <a:rPr lang="en-US" baseline="0"/>
                      <a:t> Kick-off</a:t>
                    </a:r>
                    <a:endParaRPr lang="en-US"/>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A2E-4731-AFDA-3CE0BCBB1988}"/>
                </c:ext>
              </c:extLst>
            </c:dLbl>
            <c:dLbl>
              <c:idx val="1"/>
              <c:tx>
                <c:rich>
                  <a:bodyPr/>
                  <a:lstStyle/>
                  <a:p>
                    <a:r>
                      <a:rPr lang="en-US"/>
                      <a:t>Data Sanitation</a:t>
                    </a:r>
                    <a:r>
                      <a:rPr lang="en-US" baseline="0"/>
                      <a:t> and training content creation</a:t>
                    </a:r>
                    <a:endParaRPr lang="en-US"/>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A2E-4731-AFDA-3CE0BCBB1988}"/>
                </c:ext>
              </c:extLst>
            </c:dLbl>
            <c:dLbl>
              <c:idx val="2"/>
              <c:tx>
                <c:rich>
                  <a:bodyPr/>
                  <a:lstStyle/>
                  <a:p>
                    <a:r>
                      <a:rPr lang="en-US"/>
                      <a:t>Development</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A2E-4731-AFDA-3CE0BCBB1988}"/>
                </c:ext>
              </c:extLst>
            </c:dLbl>
            <c:dLbl>
              <c:idx val="3"/>
              <c:tx>
                <c:rich>
                  <a:bodyPr/>
                  <a:lstStyle/>
                  <a:p>
                    <a:r>
                      <a:rPr lang="en-US"/>
                      <a:t>System</a:t>
                    </a:r>
                    <a:r>
                      <a:rPr lang="en-US" baseline="0"/>
                      <a:t> Integration Testing</a:t>
                    </a:r>
                    <a:endParaRPr lang="en-US"/>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A2E-4731-AFDA-3CE0BCBB1988}"/>
                </c:ext>
              </c:extLst>
            </c:dLbl>
            <c:dLbl>
              <c:idx val="4"/>
              <c:tx>
                <c:rich>
                  <a:bodyPr/>
                  <a:lstStyle/>
                  <a:p>
                    <a:r>
                      <a:rPr lang="en-US"/>
                      <a:t>Training</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A2E-4731-AFDA-3CE0BCBB198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12700" cap="flat" cmpd="sng" algn="ctr">
                <a:solidFill>
                  <a:schemeClr val="accent1">
                    <a:lumMod val="75000"/>
                  </a:schemeClr>
                </a:solidFill>
                <a:prstDash val="dash"/>
                <a:round/>
              </a:ln>
              <a:effectLst/>
            </c:spPr>
          </c:errBars>
          <c:errBars>
            <c:errDir val="x"/>
            <c:errBarType val="plus"/>
            <c:errValType val="cust"/>
            <c:noEndCap val="0"/>
            <c:plus>
              <c:numRef>
                <c:f>'Project Data'!$AU$4:$AU$16</c:f>
                <c:numCache>
                  <c:formatCode>General</c:formatCode>
                  <c:ptCount val="13"/>
                  <c:pt idx="0">
                    <c:v>4</c:v>
                  </c:pt>
                  <c:pt idx="1">
                    <c:v>29</c:v>
                  </c:pt>
                  <c:pt idx="2">
                    <c:v>30</c:v>
                  </c:pt>
                  <c:pt idx="3">
                    <c:v>10</c:v>
                  </c:pt>
                  <c:pt idx="4">
                    <c:v>5</c:v>
                  </c:pt>
                  <c:pt idx="5">
                    <c:v>26</c:v>
                  </c:pt>
                  <c:pt idx="6">
                    <c:v>4</c:v>
                  </c:pt>
                  <c:pt idx="7">
                    <c:v>4</c:v>
                  </c:pt>
                  <c:pt idx="8">
                    <c:v>12</c:v>
                  </c:pt>
                  <c:pt idx="9">
                    <c:v>4</c:v>
                  </c:pt>
                  <c:pt idx="10">
                    <c:v>15</c:v>
                  </c:pt>
                  <c:pt idx="11">
                    <c:v>1</c:v>
                  </c:pt>
                  <c:pt idx="12">
                    <c:v>206</c:v>
                  </c:pt>
                </c:numCache>
              </c:numRef>
            </c:plus>
            <c:minus>
              <c:numLit>
                <c:formatCode>General</c:formatCode>
                <c:ptCount val="1"/>
                <c:pt idx="0">
                  <c:v>1</c:v>
                </c:pt>
              </c:numLit>
            </c:minus>
            <c:spPr>
              <a:noFill/>
              <a:ln w="101600" cap="flat" cmpd="sng" algn="ctr">
                <a:solidFill>
                  <a:schemeClr val="accent1">
                    <a:lumMod val="75000"/>
                  </a:schemeClr>
                </a:solidFill>
                <a:round/>
              </a:ln>
              <a:effectLst/>
            </c:spPr>
          </c:errBars>
          <c:x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xVal>
          <c:yVal>
            <c:numRef>
              <c:f>'Project Data'!$AX$4:$AX$16</c:f>
              <c:numCache>
                <c:formatCode>General</c:formatCode>
                <c:ptCount val="13"/>
                <c:pt idx="0">
                  <c:v>120</c:v>
                </c:pt>
                <c:pt idx="1">
                  <c:v>100</c:v>
                </c:pt>
                <c:pt idx="2">
                  <c:v>80</c:v>
                </c:pt>
                <c:pt idx="3">
                  <c:v>60</c:v>
                </c:pt>
                <c:pt idx="4">
                  <c:v>40</c:v>
                </c:pt>
                <c:pt idx="5">
                  <c:v>20</c:v>
                </c:pt>
                <c:pt idx="6">
                  <c:v>-40</c:v>
                </c:pt>
                <c:pt idx="7">
                  <c:v>-60</c:v>
                </c:pt>
                <c:pt idx="8">
                  <c:v>-80</c:v>
                </c:pt>
                <c:pt idx="9">
                  <c:v>-100</c:v>
                </c:pt>
                <c:pt idx="10">
                  <c:v>-120</c:v>
                </c:pt>
                <c:pt idx="11">
                  <c:v>-140</c:v>
                </c:pt>
                <c:pt idx="12">
                  <c:v>-160</c:v>
                </c:pt>
              </c:numCache>
            </c:numRef>
          </c:yVal>
          <c:smooth val="0"/>
          <c:extLst>
            <c:ext xmlns:c16="http://schemas.microsoft.com/office/drawing/2014/chart" uri="{C3380CC4-5D6E-409C-BE32-E72D297353CC}">
              <c16:uniqueId val="{00000000-4BA6-4C40-9797-5850699EF70E}"/>
            </c:ext>
          </c:extLst>
        </c:ser>
        <c:ser>
          <c:idx val="1"/>
          <c:order val="1"/>
          <c:tx>
            <c:strRef>
              <c:f>'Project Data'!$AW$1</c:f>
              <c:strCache>
                <c:ptCount val="1"/>
                <c:pt idx="0">
                  <c:v>COMPLETION</c:v>
                </c:pt>
              </c:strCache>
            </c:strRef>
          </c:tx>
          <c:spPr>
            <a:ln w="25400" cap="rnd">
              <a:noFill/>
              <a:round/>
            </a:ln>
            <a:effectLst/>
          </c:spPr>
          <c:marker>
            <c:symbol val="dot"/>
            <c:size val="4"/>
            <c:spPr>
              <a:solidFill>
                <a:schemeClr val="accent4">
                  <a:lumMod val="75000"/>
                </a:schemeClr>
              </a:solidFill>
              <a:ln w="9525">
                <a:noFill/>
              </a:ln>
              <a:effectLst/>
            </c:spPr>
          </c:marker>
          <c:dLbls>
            <c:delete val="1"/>
          </c:dLbls>
          <c:errBars>
            <c:errDir val="y"/>
            <c:errBarType val="both"/>
            <c:errValType val="fixedVal"/>
            <c:noEndCap val="0"/>
            <c:val val="0"/>
            <c:spPr>
              <a:noFill/>
              <a:ln w="9525" cap="flat" cmpd="sng" algn="ctr">
                <a:solidFill>
                  <a:schemeClr val="tx1">
                    <a:lumMod val="65000"/>
                    <a:lumOff val="35000"/>
                  </a:schemeClr>
                </a:solidFill>
                <a:round/>
              </a:ln>
              <a:effectLst/>
            </c:spPr>
          </c:errBars>
          <c:errBars>
            <c:errDir val="x"/>
            <c:errBarType val="plus"/>
            <c:errValType val="cust"/>
            <c:noEndCap val="1"/>
            <c:plus>
              <c:numRef>
                <c:f>'Project Data'!$AV$4:$AV$16</c:f>
                <c:numCache>
                  <c:formatCode>General</c:formatCode>
                  <c:ptCount val="13"/>
                  <c:pt idx="0">
                    <c:v>40</c:v>
                  </c:pt>
                  <c:pt idx="1">
                    <c:v>50</c:v>
                  </c:pt>
                  <c:pt idx="2">
                    <c:v>80</c:v>
                  </c:pt>
                  <c:pt idx="3">
                    <c:v>90</c:v>
                  </c:pt>
                  <c:pt idx="4">
                    <c:v>100</c:v>
                  </c:pt>
                  <c:pt idx="5">
                    <c:v>100</c:v>
                  </c:pt>
                  <c:pt idx="6">
                    <c:v>100</c:v>
                  </c:pt>
                  <c:pt idx="7">
                    <c:v>100</c:v>
                  </c:pt>
                  <c:pt idx="8">
                    <c:v>100</c:v>
                  </c:pt>
                  <c:pt idx="9">
                    <c:v>100</c:v>
                  </c:pt>
                  <c:pt idx="10">
                    <c:v>10</c:v>
                  </c:pt>
                  <c:pt idx="11">
                    <c:v>100</c:v>
                  </c:pt>
                  <c:pt idx="12">
                    <c:v>100</c:v>
                  </c:pt>
                </c:numCache>
              </c:numRef>
            </c:plus>
            <c:minus>
              <c:numLit>
                <c:formatCode>General</c:formatCode>
                <c:ptCount val="1"/>
                <c:pt idx="0">
                  <c:v>1</c:v>
                </c:pt>
              </c:numLit>
            </c:minus>
            <c:spPr>
              <a:noFill/>
              <a:ln w="63500" cap="flat" cmpd="sng" algn="ctr">
                <a:solidFill>
                  <a:schemeClr val="accent1">
                    <a:lumMod val="50000"/>
                  </a:schemeClr>
                </a:solidFill>
                <a:round/>
              </a:ln>
              <a:effectLst/>
            </c:spPr>
          </c:errBars>
          <c:xVal>
            <c:numRef>
              <c:f>'Project Data'!$AT$4:$AT$16</c:f>
              <c:numCache>
                <c:formatCode>[$-3409]dd\-mmm\-yy;@</c:formatCode>
                <c:ptCount val="13"/>
                <c:pt idx="0">
                  <c:v>43915</c:v>
                </c:pt>
                <c:pt idx="1">
                  <c:v>43934</c:v>
                </c:pt>
                <c:pt idx="2">
                  <c:v>43929</c:v>
                </c:pt>
                <c:pt idx="3">
                  <c:v>43952</c:v>
                </c:pt>
                <c:pt idx="4">
                  <c:v>43958</c:v>
                </c:pt>
                <c:pt idx="5">
                  <c:v>43938</c:v>
                </c:pt>
                <c:pt idx="6">
                  <c:v>43962</c:v>
                </c:pt>
                <c:pt idx="7">
                  <c:v>43962</c:v>
                </c:pt>
                <c:pt idx="8">
                  <c:v>43951</c:v>
                </c:pt>
                <c:pt idx="9">
                  <c:v>43962</c:v>
                </c:pt>
                <c:pt idx="10">
                  <c:v>43962</c:v>
                </c:pt>
                <c:pt idx="11">
                  <c:v>43979</c:v>
                </c:pt>
                <c:pt idx="12">
                  <c:v>43966</c:v>
                </c:pt>
              </c:numCache>
            </c:numRef>
          </c:xVal>
          <c:yVal>
            <c:numRef>
              <c:f>'Project Data'!$AX$4:$AX$16</c:f>
              <c:numCache>
                <c:formatCode>General</c:formatCode>
                <c:ptCount val="13"/>
                <c:pt idx="0">
                  <c:v>120</c:v>
                </c:pt>
                <c:pt idx="1">
                  <c:v>100</c:v>
                </c:pt>
                <c:pt idx="2">
                  <c:v>80</c:v>
                </c:pt>
                <c:pt idx="3">
                  <c:v>60</c:v>
                </c:pt>
                <c:pt idx="4">
                  <c:v>40</c:v>
                </c:pt>
                <c:pt idx="5">
                  <c:v>20</c:v>
                </c:pt>
                <c:pt idx="6">
                  <c:v>-40</c:v>
                </c:pt>
                <c:pt idx="7">
                  <c:v>-60</c:v>
                </c:pt>
                <c:pt idx="8">
                  <c:v>-80</c:v>
                </c:pt>
                <c:pt idx="9">
                  <c:v>-100</c:v>
                </c:pt>
                <c:pt idx="10">
                  <c:v>-120</c:v>
                </c:pt>
                <c:pt idx="11">
                  <c:v>-140</c:v>
                </c:pt>
                <c:pt idx="12">
                  <c:v>-160</c:v>
                </c:pt>
              </c:numCache>
            </c:numRef>
          </c:yVal>
          <c:smooth val="0"/>
          <c:extLst>
            <c:ext xmlns:c16="http://schemas.microsoft.com/office/drawing/2014/chart" uri="{C3380CC4-5D6E-409C-BE32-E72D297353CC}">
              <c16:uniqueId val="{00000001-4BA6-4C40-9797-5850699EF70E}"/>
            </c:ext>
          </c:extLst>
        </c:ser>
        <c:ser>
          <c:idx val="2"/>
          <c:order val="2"/>
          <c:tx>
            <c:strRef>
              <c:f>'Project Data'!$AS$2</c:f>
              <c:strCache>
                <c:ptCount val="1"/>
                <c:pt idx="0">
                  <c:v>TODAY</c:v>
                </c:pt>
              </c:strCache>
            </c:strRef>
          </c:tx>
          <c:spPr>
            <a:ln w="25400" cap="rnd">
              <a:noFill/>
              <a:round/>
            </a:ln>
            <a:effectLst/>
          </c:spPr>
          <c:marker>
            <c:symbol val="triangle"/>
            <c:size val="8"/>
            <c:spPr>
              <a:solidFill>
                <a:srgbClr val="C00000"/>
              </a:solidFill>
              <a:ln w="9525">
                <a:solidFill>
                  <a:schemeClr val="accent3"/>
                </a:solidFill>
              </a:ln>
              <a:effectLst/>
            </c:spPr>
          </c:marker>
          <c:dLbls>
            <c:dLbl>
              <c:idx val="0"/>
              <c:tx>
                <c:rich>
                  <a:bodyPr/>
                  <a:lstStyle/>
                  <a:p>
                    <a:r>
                      <a:rPr lang="en-US"/>
                      <a:t>TODAY</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BA6-4C40-9797-5850699EF70E}"/>
                </c:ext>
              </c:extLst>
            </c:dLbl>
            <c:dLbl>
              <c:idx val="1"/>
              <c:delete val="1"/>
              <c:extLst>
                <c:ext xmlns:c15="http://schemas.microsoft.com/office/drawing/2012/chart" uri="{CE6537A1-D6FC-4f65-9D91-7224C49458BB}"/>
                <c:ext xmlns:c16="http://schemas.microsoft.com/office/drawing/2014/chart" uri="{C3380CC4-5D6E-409C-BE32-E72D297353CC}">
                  <c16:uniqueId val="{00000003-4BA6-4C40-9797-5850699EF7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percentage"/>
            <c:noEndCap val="1"/>
            <c:val val="100"/>
            <c:spPr>
              <a:noFill/>
              <a:ln w="12700" cap="flat" cmpd="sng" algn="ctr">
                <a:solidFill>
                  <a:schemeClr val="bg2">
                    <a:lumMod val="50000"/>
                  </a:schemeClr>
                </a:solidFill>
                <a:prstDash val="lgDash"/>
                <a:round/>
              </a:ln>
              <a:effectLst/>
            </c:spPr>
          </c:errBars>
          <c:errBars>
            <c:errDir val="x"/>
            <c:errBarType val="both"/>
            <c:errValType val="fixedVal"/>
            <c:noEndCap val="0"/>
            <c:val val="1"/>
            <c:spPr>
              <a:noFill/>
              <a:ln w="9525" cap="flat" cmpd="sng" algn="ctr">
                <a:solidFill>
                  <a:schemeClr val="tx1">
                    <a:lumMod val="65000"/>
                    <a:lumOff val="35000"/>
                  </a:schemeClr>
                </a:solidFill>
                <a:round/>
              </a:ln>
              <a:effectLst/>
            </c:spPr>
          </c:errBars>
          <c:xVal>
            <c:numRef>
              <c:f>'Project Data'!$AT$2:$AT$3</c:f>
              <c:numCache>
                <c:formatCode>[$-3409]dd\-mmm\-yy;@</c:formatCode>
                <c:ptCount val="2"/>
                <c:pt idx="0">
                  <c:v>43941</c:v>
                </c:pt>
                <c:pt idx="1">
                  <c:v>43941</c:v>
                </c:pt>
              </c:numCache>
            </c:numRef>
          </c:xVal>
          <c:yVal>
            <c:numRef>
              <c:f>'Project Data'!$AX$2:$AX$3</c:f>
              <c:numCache>
                <c:formatCode>General</c:formatCode>
                <c:ptCount val="2"/>
                <c:pt idx="0">
                  <c:v>140</c:v>
                </c:pt>
                <c:pt idx="1">
                  <c:v>-140</c:v>
                </c:pt>
              </c:numCache>
            </c:numRef>
          </c:yVal>
          <c:smooth val="0"/>
          <c:extLst>
            <c:ext xmlns:c16="http://schemas.microsoft.com/office/drawing/2014/chart" uri="{C3380CC4-5D6E-409C-BE32-E72D297353CC}">
              <c16:uniqueId val="{00000004-4BA6-4C40-9797-5850699EF70E}"/>
            </c:ext>
          </c:extLst>
        </c:ser>
        <c:dLbls>
          <c:dLblPos val="l"/>
          <c:showLegendKey val="0"/>
          <c:showVal val="1"/>
          <c:showCatName val="0"/>
          <c:showSerName val="0"/>
          <c:showPercent val="0"/>
          <c:showBubbleSize val="0"/>
        </c:dLbls>
        <c:axId val="540938240"/>
        <c:axId val="540944472"/>
      </c:scatterChart>
      <c:valAx>
        <c:axId val="540938240"/>
        <c:scaling>
          <c:orientation val="minMax"/>
          <c:max val="44100"/>
        </c:scaling>
        <c:delete val="0"/>
        <c:axPos val="b"/>
        <c:numFmt formatCode="[$-3409]dd\-mmm\-yy;@" sourceLinked="1"/>
        <c:majorTickMark val="none"/>
        <c:minorTickMark val="cross"/>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bg1">
                    <a:lumMod val="65000"/>
                  </a:schemeClr>
                </a:solidFill>
                <a:latin typeface="+mn-lt"/>
                <a:ea typeface="+mn-ea"/>
                <a:cs typeface="+mn-cs"/>
              </a:defRPr>
            </a:pPr>
            <a:endParaRPr lang="en-US"/>
          </a:p>
        </c:txPr>
        <c:crossAx val="540944472"/>
        <c:crosses val="autoZero"/>
        <c:crossBetween val="midCat"/>
      </c:valAx>
      <c:valAx>
        <c:axId val="540944472"/>
        <c:scaling>
          <c:orientation val="minMax"/>
        </c:scaling>
        <c:delete val="1"/>
        <c:axPos val="l"/>
        <c:numFmt formatCode="General" sourceLinked="1"/>
        <c:majorTickMark val="none"/>
        <c:minorTickMark val="none"/>
        <c:tickLblPos val="nextTo"/>
        <c:crossAx val="5409382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22-44B8-A32D-4796126E2F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22-44B8-A32D-4796126E2F7B}"/>
              </c:ext>
            </c:extLst>
          </c:dPt>
          <c:val>
            <c:numRef>
              <c:f>('Project Data'!$X$6,'Project Data'!$X$8)</c:f>
              <c:numCache>
                <c:formatCode>0%</c:formatCode>
                <c:ptCount val="2"/>
                <c:pt idx="0">
                  <c:v>0.47619047619047616</c:v>
                </c:pt>
                <c:pt idx="1">
                  <c:v>0.52380952380952384</c:v>
                </c:pt>
              </c:numCache>
            </c:numRef>
          </c:val>
          <c:extLst>
            <c:ext xmlns:c16="http://schemas.microsoft.com/office/drawing/2014/chart" uri="{C3380CC4-5D6E-409C-BE32-E72D297353CC}">
              <c16:uniqueId val="{00000004-4529-4BE8-9132-651743BA2119}"/>
            </c:ext>
          </c:extLst>
        </c:ser>
        <c:dLbls>
          <c:showLegendKey val="0"/>
          <c:showVal val="0"/>
          <c:showCatName val="0"/>
          <c:showSerName val="0"/>
          <c:showPercent val="0"/>
          <c:showBubbleSize val="0"/>
          <c:showLeaderLines val="1"/>
        </c:dLbls>
        <c:firstSliceAng val="18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200" b="1" i="0" u="none" strike="noStrike" kern="1200" spc="0" baseline="0">
                <a:solidFill>
                  <a:schemeClr val="bg1">
                    <a:lumMod val="95000"/>
                  </a:schemeClr>
                </a:solidFill>
                <a:latin typeface="+mn-lt"/>
                <a:ea typeface="+mn-ea"/>
                <a:cs typeface="+mn-cs"/>
              </a:defRPr>
            </a:pPr>
            <a:r>
              <a:rPr lang="en-PH" sz="1200" b="1">
                <a:solidFill>
                  <a:schemeClr val="bg1">
                    <a:lumMod val="95000"/>
                  </a:schemeClr>
                </a:solidFill>
              </a:rPr>
              <a:t>TASKS</a:t>
            </a:r>
          </a:p>
        </c:rich>
      </c:tx>
      <c:layout>
        <c:manualLayout>
          <c:xMode val="edge"/>
          <c:yMode val="edge"/>
          <c:x val="4.6205711659683513E-2"/>
          <c:y val="0.28212973963691157"/>
        </c:manualLayout>
      </c:layout>
      <c:overlay val="0"/>
      <c:spPr>
        <a:noFill/>
        <a:ln>
          <a:noFill/>
        </a:ln>
        <a:effectLst/>
      </c:spPr>
      <c:txPr>
        <a:bodyPr rot="0" spcFirstLastPara="1" vertOverflow="ellipsis" vert="horz" wrap="square" anchor="ctr" anchorCtr="1"/>
        <a:lstStyle/>
        <a:p>
          <a:pPr algn="r">
            <a:defRPr sz="1200" b="1" i="0" u="none" strike="noStrike" kern="1200" spc="0" baseline="0">
              <a:solidFill>
                <a:schemeClr val="bg1">
                  <a:lumMod val="95000"/>
                </a:schemeClr>
              </a:solidFill>
              <a:latin typeface="+mn-lt"/>
              <a:ea typeface="+mn-ea"/>
              <a:cs typeface="+mn-cs"/>
            </a:defRPr>
          </a:pPr>
          <a:endParaRPr lang="en-US"/>
        </a:p>
      </c:txPr>
    </c:title>
    <c:autoTitleDeleted val="0"/>
    <c:plotArea>
      <c:layout>
        <c:manualLayout>
          <c:layoutTarget val="inner"/>
          <c:xMode val="edge"/>
          <c:yMode val="edge"/>
          <c:x val="0.14340747593321926"/>
          <c:y val="0.15651215607296542"/>
          <c:w val="0.6541699786089693"/>
          <c:h val="0.46223903990799736"/>
        </c:manualLayout>
      </c:layout>
      <c:barChart>
        <c:barDir val="bar"/>
        <c:grouping val="stacked"/>
        <c:varyColors val="0"/>
        <c:ser>
          <c:idx val="0"/>
          <c:order val="0"/>
          <c:tx>
            <c:strRef>
              <c:f>'Project Data'!$V$3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Data'!$W$3</c:f>
              <c:numCache>
                <c:formatCode>#,#00;;;</c:formatCode>
                <c:ptCount val="1"/>
                <c:pt idx="0">
                  <c:v>4</c:v>
                </c:pt>
              </c:numCache>
            </c:numRef>
          </c:val>
          <c:extLst>
            <c:ext xmlns:c16="http://schemas.microsoft.com/office/drawing/2014/chart" uri="{C3380CC4-5D6E-409C-BE32-E72D297353CC}">
              <c16:uniqueId val="{00000000-DA32-4383-A0EC-1F27AB947318}"/>
            </c:ext>
          </c:extLst>
        </c:ser>
        <c:ser>
          <c:idx val="1"/>
          <c:order val="1"/>
          <c:tx>
            <c:strRef>
              <c:f>'Project Data'!$V$4</c:f>
              <c:strCache>
                <c:ptCount val="1"/>
                <c:pt idx="0">
                  <c:v>IN PROGRESS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Data'!$W$4</c:f>
              <c:numCache>
                <c:formatCode>#,#00;;;</c:formatCode>
                <c:ptCount val="1"/>
                <c:pt idx="0">
                  <c:v>8</c:v>
                </c:pt>
              </c:numCache>
            </c:numRef>
          </c:val>
          <c:extLst>
            <c:ext xmlns:c16="http://schemas.microsoft.com/office/drawing/2014/chart" uri="{C3380CC4-5D6E-409C-BE32-E72D297353CC}">
              <c16:uniqueId val="{00000001-DA32-4383-A0EC-1F27AB947318}"/>
            </c:ext>
          </c:extLst>
        </c:ser>
        <c:ser>
          <c:idx val="3"/>
          <c:order val="2"/>
          <c:tx>
            <c:strRef>
              <c:f>'Project Data'!$V$6</c:f>
              <c:strCache>
                <c:ptCount val="1"/>
                <c:pt idx="0">
                  <c:v>COMPLETE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Data'!$W$6</c:f>
              <c:numCache>
                <c:formatCode>#,#00;;;</c:formatCode>
                <c:ptCount val="1"/>
                <c:pt idx="0">
                  <c:v>20</c:v>
                </c:pt>
              </c:numCache>
            </c:numRef>
          </c:val>
          <c:extLst>
            <c:ext xmlns:c16="http://schemas.microsoft.com/office/drawing/2014/chart" uri="{C3380CC4-5D6E-409C-BE32-E72D297353CC}">
              <c16:uniqueId val="{00000003-DA32-4383-A0EC-1F27AB947318}"/>
            </c:ext>
          </c:extLst>
        </c:ser>
        <c:ser>
          <c:idx val="2"/>
          <c:order val="3"/>
          <c:tx>
            <c:strRef>
              <c:f>'Project Data'!$V$5</c:f>
              <c:strCache>
                <c:ptCount val="1"/>
                <c:pt idx="0">
                  <c:v>OVERDUE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Data'!$W$5</c:f>
              <c:numCache>
                <c:formatCode>#,#00;;;</c:formatCode>
                <c:ptCount val="1"/>
                <c:pt idx="0">
                  <c:v>10</c:v>
                </c:pt>
              </c:numCache>
            </c:numRef>
          </c:val>
          <c:extLst>
            <c:ext xmlns:c16="http://schemas.microsoft.com/office/drawing/2014/chart" uri="{C3380CC4-5D6E-409C-BE32-E72D297353CC}">
              <c16:uniqueId val="{00000002-DA32-4383-A0EC-1F27AB947318}"/>
            </c:ext>
          </c:extLst>
        </c:ser>
        <c:dLbls>
          <c:dLblPos val="ctr"/>
          <c:showLegendKey val="0"/>
          <c:showVal val="1"/>
          <c:showCatName val="0"/>
          <c:showSerName val="0"/>
          <c:showPercent val="0"/>
          <c:showBubbleSize val="0"/>
        </c:dLbls>
        <c:gapWidth val="150"/>
        <c:overlap val="100"/>
        <c:axId val="510650688"/>
        <c:axId val="510648064"/>
      </c:barChart>
      <c:catAx>
        <c:axId val="510650688"/>
        <c:scaling>
          <c:orientation val="minMax"/>
        </c:scaling>
        <c:delete val="1"/>
        <c:axPos val="l"/>
        <c:numFmt formatCode="General" sourceLinked="1"/>
        <c:majorTickMark val="out"/>
        <c:minorTickMark val="none"/>
        <c:tickLblPos val="nextTo"/>
        <c:crossAx val="510648064"/>
        <c:crosses val="autoZero"/>
        <c:auto val="1"/>
        <c:lblAlgn val="ctr"/>
        <c:lblOffset val="100"/>
        <c:noMultiLvlLbl val="0"/>
      </c:catAx>
      <c:valAx>
        <c:axId val="510648064"/>
        <c:scaling>
          <c:orientation val="minMax"/>
        </c:scaling>
        <c:delete val="1"/>
        <c:axPos val="b"/>
        <c:numFmt formatCode="#,#00;;;" sourceLinked="1"/>
        <c:majorTickMark val="out"/>
        <c:minorTickMark val="none"/>
        <c:tickLblPos val="nextTo"/>
        <c:crossAx val="510650688"/>
        <c:crosses val="autoZero"/>
        <c:crossBetween val="between"/>
      </c:valAx>
      <c:spPr>
        <a:noFill/>
        <a:ln>
          <a:noFill/>
        </a:ln>
        <a:effectLst/>
      </c:spPr>
    </c:plotArea>
    <c:legend>
      <c:legendPos val="r"/>
      <c:layout>
        <c:manualLayout>
          <c:xMode val="edge"/>
          <c:yMode val="edge"/>
          <c:x val="0.66304411282608589"/>
          <c:y val="0.1765709442327475"/>
          <c:w val="0.27470531180359081"/>
          <c:h val="0.425413431712644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766451602411E-3"/>
          <c:y val="0"/>
          <c:w val="0.80342355776543206"/>
          <c:h val="1"/>
        </c:manualLayout>
      </c:layout>
      <c:barChart>
        <c:barDir val="bar"/>
        <c:grouping val="stacked"/>
        <c:varyColors val="0"/>
        <c:ser>
          <c:idx val="0"/>
          <c:order val="0"/>
          <c:spPr>
            <a:solidFill>
              <a:schemeClr val="accent1"/>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3-F95B-47B8-AC8A-93AB365DFB49}"/>
              </c:ext>
            </c:extLst>
          </c:dPt>
          <c:val>
            <c:numRef>
              <c:f>'Project Data'!$X$6</c:f>
              <c:numCache>
                <c:formatCode>0%</c:formatCode>
                <c:ptCount val="1"/>
                <c:pt idx="0">
                  <c:v>0.47619047619047616</c:v>
                </c:pt>
              </c:numCache>
            </c:numRef>
          </c:val>
          <c:extLst>
            <c:ext xmlns:c16="http://schemas.microsoft.com/office/drawing/2014/chart" uri="{C3380CC4-5D6E-409C-BE32-E72D297353CC}">
              <c16:uniqueId val="{00000000-F95B-47B8-AC8A-93AB365DFB49}"/>
            </c:ext>
          </c:extLst>
        </c:ser>
        <c:ser>
          <c:idx val="1"/>
          <c:order val="1"/>
          <c:spPr>
            <a:solidFill>
              <a:schemeClr val="accent1">
                <a:lumMod val="50000"/>
              </a:schemeClr>
            </a:solidFill>
            <a:ln>
              <a:noFill/>
            </a:ln>
            <a:effectLst/>
          </c:spPr>
          <c:invertIfNegative val="0"/>
          <c:val>
            <c:numRef>
              <c:f>'Project Data'!$X$8</c:f>
              <c:numCache>
                <c:formatCode>0%</c:formatCode>
                <c:ptCount val="1"/>
                <c:pt idx="0">
                  <c:v>0.52380952380952384</c:v>
                </c:pt>
              </c:numCache>
            </c:numRef>
          </c:val>
          <c:extLst>
            <c:ext xmlns:c16="http://schemas.microsoft.com/office/drawing/2014/chart" uri="{C3380CC4-5D6E-409C-BE32-E72D297353CC}">
              <c16:uniqueId val="{00000001-F95B-47B8-AC8A-93AB365DFB49}"/>
            </c:ext>
          </c:extLst>
        </c:ser>
        <c:dLbls>
          <c:showLegendKey val="0"/>
          <c:showVal val="0"/>
          <c:showCatName val="0"/>
          <c:showSerName val="0"/>
          <c:showPercent val="0"/>
          <c:showBubbleSize val="0"/>
        </c:dLbls>
        <c:gapWidth val="283"/>
        <c:overlap val="100"/>
        <c:axId val="553807840"/>
        <c:axId val="553811448"/>
      </c:barChart>
      <c:catAx>
        <c:axId val="553807840"/>
        <c:scaling>
          <c:orientation val="minMax"/>
        </c:scaling>
        <c:delete val="1"/>
        <c:axPos val="l"/>
        <c:numFmt formatCode="General" sourceLinked="1"/>
        <c:majorTickMark val="none"/>
        <c:minorTickMark val="none"/>
        <c:tickLblPos val="nextTo"/>
        <c:crossAx val="553811448"/>
        <c:crosses val="autoZero"/>
        <c:auto val="1"/>
        <c:lblAlgn val="ctr"/>
        <c:lblOffset val="100"/>
        <c:noMultiLvlLbl val="0"/>
      </c:catAx>
      <c:valAx>
        <c:axId val="553811448"/>
        <c:scaling>
          <c:orientation val="minMax"/>
        </c:scaling>
        <c:delete val="1"/>
        <c:axPos val="b"/>
        <c:numFmt formatCode="0%" sourceLinked="1"/>
        <c:majorTickMark val="none"/>
        <c:minorTickMark val="none"/>
        <c:tickLblPos val="nextTo"/>
        <c:crossAx val="5538078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870210742827782"/>
          <c:y val="0.31934130552704215"/>
          <c:w val="0.51957259542749168"/>
          <c:h val="0.68065853273624666"/>
        </c:manualLayout>
      </c:layout>
      <c:doughnutChart>
        <c:varyColors val="1"/>
        <c:ser>
          <c:idx val="0"/>
          <c:order val="0"/>
          <c:dPt>
            <c:idx val="0"/>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4B65-4E5B-83D9-ECB313A59CEC}"/>
              </c:ext>
            </c:extLst>
          </c:dPt>
          <c:dPt>
            <c:idx val="1"/>
            <c:bubble3D val="0"/>
            <c:spPr>
              <a:solidFill>
                <a:schemeClr val="accent6">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B65-4E5B-83D9-ECB313A59CEC}"/>
              </c:ext>
            </c:extLst>
          </c:dPt>
          <c:dLbls>
            <c:dLbl>
              <c:idx val="0"/>
              <c:layout>
                <c:manualLayout>
                  <c:x val="-0.3885250006804758"/>
                  <c:y val="0.10667617255674612"/>
                </c:manualLayout>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no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7889755283518205E-2"/>
                      <c:h val="0.10777376830732883"/>
                    </c:manualLayout>
                  </c15:layout>
                </c:ext>
                <c:ext xmlns:c16="http://schemas.microsoft.com/office/drawing/2014/chart" uri="{C3380CC4-5D6E-409C-BE32-E72D297353CC}">
                  <c16:uniqueId val="{00000002-4B65-4E5B-83D9-ECB313A59CEC}"/>
                </c:ext>
              </c:extLst>
            </c:dLbl>
            <c:dLbl>
              <c:idx val="1"/>
              <c:layout>
                <c:manualLayout>
                  <c:x val="0.12134105722384043"/>
                  <c:y val="0.12219355511251841"/>
                </c:manualLayout>
              </c:layout>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B65-4E5B-83D9-ECB313A59CE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2"/>
              <c:pt idx="0">
                <c:v>Actual </c:v>
              </c:pt>
              <c:pt idx="1">
                <c:v>Budget </c:v>
              </c:pt>
            </c:strLit>
          </c:cat>
          <c:val>
            <c:numRef>
              <c:f>'Project Data'!$AA$3:$AB$3</c:f>
              <c:numCache>
                <c:formatCode>_("₱"* #,##0.00_);_("₱"* \(#,##0.00\);_("₱"* "-"??_);_(@_)</c:formatCode>
                <c:ptCount val="2"/>
                <c:pt idx="0">
                  <c:v>1000</c:v>
                </c:pt>
                <c:pt idx="1">
                  <c:v>4000</c:v>
                </c:pt>
              </c:numCache>
            </c:numRef>
          </c:val>
          <c:extLst>
            <c:ext xmlns:c16="http://schemas.microsoft.com/office/drawing/2014/chart" uri="{C3380CC4-5D6E-409C-BE32-E72D297353CC}">
              <c16:uniqueId val="{00000004-9D37-4B29-AF02-A70FD853667F}"/>
            </c:ext>
          </c:extLst>
        </c:ser>
        <c:dLbls>
          <c:showLegendKey val="0"/>
          <c:showVal val="0"/>
          <c:showCatName val="0"/>
          <c:showSerName val="0"/>
          <c:showPercent val="1"/>
          <c:showBubbleSize val="0"/>
          <c:showLeaderLines val="1"/>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cat>
            <c:strRef>
              <c:f>'Project Data'!$AE$2:$AG$2</c:f>
              <c:strCache>
                <c:ptCount val="3"/>
                <c:pt idx="0">
                  <c:v>HIGH</c:v>
                </c:pt>
                <c:pt idx="1">
                  <c:v>MEDIUM</c:v>
                </c:pt>
                <c:pt idx="2">
                  <c:v>LOW</c:v>
                </c:pt>
              </c:strCache>
            </c:strRef>
          </c:cat>
          <c:val>
            <c:numRef>
              <c:f>'Project Data'!$AE$9:$AG$9</c:f>
              <c:numCache>
                <c:formatCode>General</c:formatCode>
                <c:ptCount val="3"/>
              </c:numCache>
              <c:extLst xmlns:c15="http://schemas.microsoft.com/office/drawing/2012/chart"/>
            </c:numRef>
          </c:val>
          <c:extLst xmlns:c15="http://schemas.microsoft.com/office/drawing/2012/chart">
            <c:ext xmlns:c16="http://schemas.microsoft.com/office/drawing/2014/chart" uri="{C3380CC4-5D6E-409C-BE32-E72D297353CC}">
              <c16:uniqueId val="{00000036-303A-4DFC-8CCC-6232CCCDDDA6}"/>
            </c:ext>
          </c:extLst>
        </c:ser>
        <c:ser>
          <c:idx val="0"/>
          <c:order val="1"/>
          <c:spPr>
            <a:solidFill>
              <a:schemeClr val="accent1">
                <a:lumMod val="60000"/>
                <a:lumOff val="40000"/>
              </a:schemeClr>
            </a:solidFill>
          </c:spPr>
          <c:dPt>
            <c:idx val="0"/>
            <c:bubble3D val="0"/>
            <c:spPr>
              <a:solidFill>
                <a:schemeClr val="accent2">
                  <a:lumMod val="60000"/>
                  <a:lumOff val="40000"/>
                </a:schemeClr>
              </a:solidFill>
            </c:spPr>
            <c:extLst>
              <c:ext xmlns:c16="http://schemas.microsoft.com/office/drawing/2014/chart" uri="{C3380CC4-5D6E-409C-BE32-E72D297353CC}">
                <c16:uniqueId val="{00000001-08BB-4826-821B-A9EA43FA2A60}"/>
              </c:ext>
            </c:extLst>
          </c:dPt>
          <c:dPt>
            <c:idx val="1"/>
            <c:bubble3D val="0"/>
            <c:spPr>
              <a:solidFill>
                <a:schemeClr val="accent2">
                  <a:lumMod val="50000"/>
                </a:schemeClr>
              </a:solidFill>
            </c:spPr>
            <c:extLst>
              <c:ext xmlns:c16="http://schemas.microsoft.com/office/drawing/2014/chart" uri="{C3380CC4-5D6E-409C-BE32-E72D297353CC}">
                <c16:uniqueId val="{00000003-08BB-4826-821B-A9EA43FA2A60}"/>
              </c:ext>
            </c:extLst>
          </c:dPt>
          <c:dPt>
            <c:idx val="2"/>
            <c:bubble3D val="0"/>
            <c:spPr>
              <a:solidFill>
                <a:schemeClr val="accent2">
                  <a:lumMod val="75000"/>
                </a:schemeClr>
              </a:solidFill>
            </c:spPr>
            <c:extLst>
              <c:ext xmlns:c16="http://schemas.microsoft.com/office/drawing/2014/chart" uri="{C3380CC4-5D6E-409C-BE32-E72D297353CC}">
                <c16:uniqueId val="{00000002-08BB-4826-821B-A9EA43FA2A60}"/>
              </c:ext>
            </c:extLst>
          </c:dPt>
          <c:dLbls>
            <c:dLbl>
              <c:idx val="0"/>
              <c:spPr>
                <a:noFill/>
                <a:ln>
                  <a:noFill/>
                </a:ln>
                <a:effectLst/>
              </c:spPr>
              <c:txPr>
                <a:bodyPr wrap="square" lIns="38100" tIns="19050" rIns="38100" bIns="19050" anchor="ctr">
                  <a:spAutoFit/>
                </a:bodyPr>
                <a:lstStyle/>
                <a:p>
                  <a:pPr>
                    <a:defRPr>
                      <a:solidFill>
                        <a:schemeClr val="accent2">
                          <a:lumMod val="50000"/>
                        </a:schemeClr>
                      </a:solidFill>
                    </a:defRPr>
                  </a:pPr>
                  <a:endParaRPr lang="en-US"/>
                </a:p>
              </c:txPr>
              <c:showLegendKey val="0"/>
              <c:showVal val="1"/>
              <c:showCatName val="0"/>
              <c:showSerName val="0"/>
              <c:showPercent val="0"/>
              <c:showBubbleSize val="0"/>
              <c:extLst>
                <c:ext xmlns:c16="http://schemas.microsoft.com/office/drawing/2014/chart" uri="{C3380CC4-5D6E-409C-BE32-E72D297353CC}">
                  <c16:uniqueId val="{00000001-08BB-4826-821B-A9EA43FA2A60}"/>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'Project Data'!$AE$2:$AG$2</c:f>
              <c:strCache>
                <c:ptCount val="3"/>
                <c:pt idx="0">
                  <c:v>HIGH</c:v>
                </c:pt>
                <c:pt idx="1">
                  <c:v>MEDIUM</c:v>
                </c:pt>
                <c:pt idx="2">
                  <c:v>LOW</c:v>
                </c:pt>
              </c:strCache>
            </c:strRef>
          </c:cat>
          <c:val>
            <c:numRef>
              <c:f>'Project Data'!$AE$3:$AG$3</c:f>
              <c:numCache>
                <c:formatCode>General</c:formatCode>
                <c:ptCount val="3"/>
                <c:pt idx="0">
                  <c:v>2</c:v>
                </c:pt>
                <c:pt idx="1">
                  <c:v>5</c:v>
                </c:pt>
                <c:pt idx="2">
                  <c:v>8</c:v>
                </c:pt>
              </c:numCache>
            </c:numRef>
          </c:val>
          <c:extLst>
            <c:ext xmlns:c16="http://schemas.microsoft.com/office/drawing/2014/chart" uri="{C3380CC4-5D6E-409C-BE32-E72D297353CC}">
              <c16:uniqueId val="{0000003B-303A-4DFC-8CCC-6232CCCDDDA6}"/>
            </c:ext>
          </c:extLst>
        </c:ser>
        <c:dLbls>
          <c:showLegendKey val="0"/>
          <c:showVal val="0"/>
          <c:showCatName val="0"/>
          <c:showSerName val="0"/>
          <c:showPercent val="0"/>
          <c:showBubbleSize val="0"/>
          <c:showLeaderLines val="1"/>
        </c:dLbls>
        <c:firstSliceAng val="0"/>
        <c:holeSize val="12"/>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dPt>
            <c:idx val="0"/>
            <c:bubble3D val="0"/>
            <c:spPr>
              <a:solidFill>
                <a:schemeClr val="accent4">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1C7-4172-A811-12DB4F87B445}"/>
              </c:ext>
            </c:extLst>
          </c:dPt>
          <c:dPt>
            <c:idx val="1"/>
            <c:bubble3D val="0"/>
            <c:spPr>
              <a:solidFill>
                <a:schemeClr val="accent4">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1C7-4172-A811-12DB4F87B445}"/>
              </c:ext>
            </c:extLst>
          </c:dPt>
          <c:dPt>
            <c:idx val="2"/>
            <c:bubble3D val="0"/>
            <c:spPr>
              <a:solidFill>
                <a:schemeClr val="accent4">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1C7-4172-A811-12DB4F87B445}"/>
              </c:ext>
            </c:extLst>
          </c:dPt>
          <c:dLbls>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4">
                          <a:lumMod val="50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81C7-4172-A811-12DB4F87B44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'Project Data'!$AE$2:$AG$9</c:f>
              <c:multiLvlStrCache>
                <c:ptCount val="3"/>
                <c:lvl>
                  <c:pt idx="0">
                    <c:v>160</c:v>
                  </c:pt>
                  <c:pt idx="1">
                    <c:v>76</c:v>
                  </c:pt>
                  <c:pt idx="2">
                    <c:v>268</c:v>
                  </c:pt>
                </c:lvl>
                <c:lvl>
                  <c:pt idx="0">
                    <c:v>8</c:v>
                  </c:pt>
                  <c:pt idx="1">
                    <c:v>9</c:v>
                  </c:pt>
                  <c:pt idx="2">
                    <c:v>238</c:v>
                  </c:pt>
                </c:lvl>
                <c:lvl>
                  <c:pt idx="0">
                    <c:v>150</c:v>
                  </c:pt>
                  <c:pt idx="1">
                    <c:v>62</c:v>
                  </c:pt>
                  <c:pt idx="2">
                    <c:v>22</c:v>
                  </c:pt>
                </c:lvl>
                <c:lvl>
                  <c:pt idx="0">
                    <c:v>2</c:v>
                  </c:pt>
                  <c:pt idx="1">
                    <c:v>5</c:v>
                  </c:pt>
                  <c:pt idx="2">
                    <c:v>8</c:v>
                  </c:pt>
                </c:lvl>
                <c:lvl>
                  <c:pt idx="0">
                    <c:v>HIGH</c:v>
                  </c:pt>
                  <c:pt idx="1">
                    <c:v>MEDIUM</c:v>
                  </c:pt>
                  <c:pt idx="2">
                    <c:v>LOW</c:v>
                  </c:pt>
                </c:lvl>
              </c:multiLvlStrCache>
            </c:multiLvlStrRef>
          </c:cat>
          <c:val>
            <c:numRef>
              <c:f>'Project Data'!$AE$4:$AG$4</c:f>
              <c:numCache>
                <c:formatCode>General</c:formatCode>
                <c:ptCount val="3"/>
                <c:pt idx="0">
                  <c:v>150</c:v>
                </c:pt>
                <c:pt idx="1">
                  <c:v>62</c:v>
                </c:pt>
                <c:pt idx="2">
                  <c:v>22</c:v>
                </c:pt>
              </c:numCache>
            </c:numRef>
          </c:val>
          <c:extLst>
            <c:ext xmlns:c16="http://schemas.microsoft.com/office/drawing/2014/chart" uri="{C3380CC4-5D6E-409C-BE32-E72D297353CC}">
              <c16:uniqueId val="{0000000D-F69E-4A53-B0AA-4043B77FA2B3}"/>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dPt>
            <c:idx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48B-42E4-BECC-96AE73117B32}"/>
              </c:ext>
            </c:extLst>
          </c:dPt>
          <c:dPt>
            <c:idx val="1"/>
            <c:bubble3D val="0"/>
            <c:spPr>
              <a:solidFill>
                <a:schemeClr val="accent6">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48B-42E4-BECC-96AE73117B32}"/>
              </c:ext>
            </c:extLst>
          </c:dPt>
          <c:dPt>
            <c:idx val="2"/>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48B-42E4-BECC-96AE73117B32}"/>
              </c:ext>
            </c:extLst>
          </c:dPt>
          <c:dLbls>
            <c:dLbl>
              <c:idx val="2"/>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1-748B-42E4-BECC-96AE73117B3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'Project Data'!$AE$2:$AG$9</c:f>
              <c:multiLvlStrCache>
                <c:ptCount val="3"/>
                <c:lvl>
                  <c:pt idx="0">
                    <c:v>160</c:v>
                  </c:pt>
                  <c:pt idx="1">
                    <c:v>76</c:v>
                  </c:pt>
                  <c:pt idx="2">
                    <c:v>268</c:v>
                  </c:pt>
                </c:lvl>
                <c:lvl>
                  <c:pt idx="0">
                    <c:v>8</c:v>
                  </c:pt>
                  <c:pt idx="1">
                    <c:v>9</c:v>
                  </c:pt>
                  <c:pt idx="2">
                    <c:v>238</c:v>
                  </c:pt>
                </c:lvl>
                <c:lvl>
                  <c:pt idx="0">
                    <c:v>150</c:v>
                  </c:pt>
                  <c:pt idx="1">
                    <c:v>62</c:v>
                  </c:pt>
                  <c:pt idx="2">
                    <c:v>22</c:v>
                  </c:pt>
                </c:lvl>
                <c:lvl>
                  <c:pt idx="0">
                    <c:v>2</c:v>
                  </c:pt>
                  <c:pt idx="1">
                    <c:v>5</c:v>
                  </c:pt>
                  <c:pt idx="2">
                    <c:v>8</c:v>
                  </c:pt>
                </c:lvl>
                <c:lvl>
                  <c:pt idx="0">
                    <c:v>HIGH</c:v>
                  </c:pt>
                  <c:pt idx="1">
                    <c:v>MEDIUM</c:v>
                  </c:pt>
                  <c:pt idx="2">
                    <c:v>LOW</c:v>
                  </c:pt>
                </c:lvl>
              </c:multiLvlStrCache>
            </c:multiLvlStrRef>
          </c:cat>
          <c:val>
            <c:numRef>
              <c:f>'Project Data'!$AE$5:$AG$5</c:f>
              <c:numCache>
                <c:formatCode>General</c:formatCode>
                <c:ptCount val="3"/>
                <c:pt idx="0">
                  <c:v>8</c:v>
                </c:pt>
                <c:pt idx="1">
                  <c:v>9</c:v>
                </c:pt>
                <c:pt idx="2">
                  <c:v>238</c:v>
                </c:pt>
              </c:numCache>
            </c:numRef>
          </c:val>
          <c:extLst>
            <c:ext xmlns:c16="http://schemas.microsoft.com/office/drawing/2014/chart" uri="{C3380CC4-5D6E-409C-BE32-E72D297353CC}">
              <c16:uniqueId val="{00000006-A275-40F8-AED3-35799D092A56}"/>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chart>
  <c:spPr>
    <a:noFill/>
    <a:ln>
      <a:noFill/>
    </a:ln>
    <a:effectLst/>
  </c:spPr>
  <c:txPr>
    <a:bodyPr/>
    <a:lstStyle/>
    <a:p>
      <a:pPr>
        <a:defRPr sz="1200">
          <a:solidFill>
            <a:schemeClr val="bg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PH" b="1">
                <a:solidFill>
                  <a:schemeClr val="bg1"/>
                </a:solidFill>
              </a:rPr>
              <a:t>PRIORITY ITEMS</a:t>
            </a:r>
          </a:p>
        </c:rich>
      </c:tx>
      <c:overlay val="1"/>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834298153194223"/>
          <c:y val="0.13052595146720739"/>
          <c:w val="0.68882463920809545"/>
          <c:h val="0.71888349058369694"/>
        </c:manualLayout>
      </c:layout>
      <c:barChart>
        <c:barDir val="col"/>
        <c:grouping val="stacked"/>
        <c:varyColors val="0"/>
        <c:ser>
          <c:idx val="0"/>
          <c:order val="0"/>
          <c:tx>
            <c:v>L</c:v>
          </c:tx>
          <c:spPr>
            <a:solidFill>
              <a:schemeClr val="accent2">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Data'!$AE$6</c:f>
              <c:numCache>
                <c:formatCode>General</c:formatCode>
                <c:ptCount val="1"/>
                <c:pt idx="0">
                  <c:v>160</c:v>
                </c:pt>
              </c:numCache>
            </c:numRef>
          </c:val>
          <c:extLst>
            <c:ext xmlns:c16="http://schemas.microsoft.com/office/drawing/2014/chart" uri="{C3380CC4-5D6E-409C-BE32-E72D297353CC}">
              <c16:uniqueId val="{00000000-A160-4FBF-B58D-E777D8B03834}"/>
            </c:ext>
          </c:extLst>
        </c:ser>
        <c:ser>
          <c:idx val="1"/>
          <c:order val="1"/>
          <c:tx>
            <c:v>M</c:v>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Data'!$AF$6</c:f>
              <c:numCache>
                <c:formatCode>General</c:formatCode>
                <c:ptCount val="1"/>
                <c:pt idx="0">
                  <c:v>76</c:v>
                </c:pt>
              </c:numCache>
            </c:numRef>
          </c:val>
          <c:extLst>
            <c:ext xmlns:c16="http://schemas.microsoft.com/office/drawing/2014/chart" uri="{C3380CC4-5D6E-409C-BE32-E72D297353CC}">
              <c16:uniqueId val="{00000001-A160-4FBF-B58D-E777D8B03834}"/>
            </c:ext>
          </c:extLst>
        </c:ser>
        <c:ser>
          <c:idx val="2"/>
          <c:order val="2"/>
          <c:tx>
            <c:v>H</c:v>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Data'!$AG$6</c:f>
              <c:numCache>
                <c:formatCode>General</c:formatCode>
                <c:ptCount val="1"/>
                <c:pt idx="0">
                  <c:v>268</c:v>
                </c:pt>
              </c:numCache>
            </c:numRef>
          </c:val>
          <c:extLst>
            <c:ext xmlns:c16="http://schemas.microsoft.com/office/drawing/2014/chart" uri="{C3380CC4-5D6E-409C-BE32-E72D297353CC}">
              <c16:uniqueId val="{00000002-A160-4FBF-B58D-E777D8B03834}"/>
            </c:ext>
          </c:extLst>
        </c:ser>
        <c:dLbls>
          <c:dLblPos val="ctr"/>
          <c:showLegendKey val="0"/>
          <c:showVal val="1"/>
          <c:showCatName val="0"/>
          <c:showSerName val="0"/>
          <c:showPercent val="0"/>
          <c:showBubbleSize val="0"/>
        </c:dLbls>
        <c:gapWidth val="150"/>
        <c:overlap val="100"/>
        <c:axId val="98547160"/>
        <c:axId val="98545192"/>
      </c:barChart>
      <c:catAx>
        <c:axId val="98547160"/>
        <c:scaling>
          <c:orientation val="minMax"/>
        </c:scaling>
        <c:delete val="1"/>
        <c:axPos val="b"/>
        <c:majorTickMark val="none"/>
        <c:minorTickMark val="none"/>
        <c:tickLblPos val="nextTo"/>
        <c:crossAx val="98545192"/>
        <c:crosses val="autoZero"/>
        <c:auto val="1"/>
        <c:lblAlgn val="ctr"/>
        <c:lblOffset val="100"/>
        <c:noMultiLvlLbl val="0"/>
      </c:catAx>
      <c:valAx>
        <c:axId val="98545192"/>
        <c:scaling>
          <c:orientation val="minMax"/>
        </c:scaling>
        <c:delete val="1"/>
        <c:axPos val="l"/>
        <c:numFmt formatCode="General" sourceLinked="1"/>
        <c:majorTickMark val="none"/>
        <c:minorTickMark val="none"/>
        <c:tickLblPos val="nextTo"/>
        <c:crossAx val="9854716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870210742827782"/>
          <c:y val="0.31934130552704215"/>
          <c:w val="0.51957259542749168"/>
          <c:h val="0.68065853273624666"/>
        </c:manualLayout>
      </c:layout>
      <c:doughnutChart>
        <c:varyColors val="1"/>
        <c:dLbls>
          <c:showLegendKey val="0"/>
          <c:showVal val="0"/>
          <c:showCatName val="0"/>
          <c:showSerName val="0"/>
          <c:showPercent val="1"/>
          <c:showBubbleSize val="0"/>
          <c:showLeaderLines val="0"/>
        </c:dLbls>
        <c:firstSliceAng val="27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CE-49A4-8831-08B318E155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CE-49A4-8831-08B318E155D7}"/>
              </c:ext>
            </c:extLst>
          </c:dPt>
          <c:val>
            <c:numRef>
              <c:f>('Project Data'!$X$6,'Project Data'!$X$8)</c:f>
              <c:numCache>
                <c:formatCode>0%</c:formatCode>
                <c:ptCount val="2"/>
                <c:pt idx="0">
                  <c:v>0.47619047619047616</c:v>
                </c:pt>
                <c:pt idx="1">
                  <c:v>0.52380952380952384</c:v>
                </c:pt>
              </c:numCache>
            </c:numRef>
          </c:val>
          <c:extLst>
            <c:ext xmlns:c16="http://schemas.microsoft.com/office/drawing/2014/chart" uri="{C3380CC4-5D6E-409C-BE32-E72D297353CC}">
              <c16:uniqueId val="{00000004-172F-471C-8F3B-93E8BAFD3490}"/>
            </c:ext>
          </c:extLst>
        </c:ser>
        <c:dLbls>
          <c:showLegendKey val="0"/>
          <c:showVal val="0"/>
          <c:showCatName val="0"/>
          <c:showSerName val="0"/>
          <c:showPercent val="0"/>
          <c:showBubbleSize val="0"/>
          <c:showLeaderLines val="1"/>
        </c:dLbls>
        <c:firstSliceAng val="180"/>
        <c:holeSize val="8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1201671186445135"/>
          <c:y val="0"/>
          <c:w val="0.60969455979512921"/>
          <c:h val="1"/>
        </c:manualLayout>
      </c:layout>
      <c:doughnutChart>
        <c:varyColors val="1"/>
        <c:ser>
          <c:idx val="0"/>
          <c:order val="0"/>
          <c:tx>
            <c:strRef>
              <c:f>'Project Data'!$Z$12</c:f>
              <c:strCache>
                <c:ptCount val="1"/>
              </c:strCache>
            </c:strRef>
          </c:tx>
          <c:dPt>
            <c:idx val="0"/>
            <c:bubble3D val="0"/>
            <c:spPr>
              <a:noFill/>
              <a:ln w="19050">
                <a:noFill/>
              </a:ln>
              <a:effectLst/>
            </c:spPr>
            <c:extLst>
              <c:ext xmlns:c16="http://schemas.microsoft.com/office/drawing/2014/chart" uri="{C3380CC4-5D6E-409C-BE32-E72D297353CC}">
                <c16:uniqueId val="{00000001-A1A4-48C1-8F31-2EC944A64475}"/>
              </c:ext>
            </c:extLst>
          </c:dPt>
          <c:dPt>
            <c:idx val="1"/>
            <c:bubble3D val="0"/>
            <c:spPr>
              <a:solidFill>
                <a:schemeClr val="accent6">
                  <a:lumMod val="75000"/>
                </a:schemeClr>
              </a:solidFill>
              <a:ln w="19050">
                <a:solidFill>
                  <a:schemeClr val="accent5">
                    <a:lumMod val="50000"/>
                  </a:schemeClr>
                </a:solidFill>
              </a:ln>
              <a:effectLst/>
            </c:spPr>
            <c:extLst>
              <c:ext xmlns:c16="http://schemas.microsoft.com/office/drawing/2014/chart" uri="{C3380CC4-5D6E-409C-BE32-E72D297353CC}">
                <c16:uniqueId val="{00000003-A1A4-48C1-8F31-2EC944A64475}"/>
              </c:ext>
            </c:extLst>
          </c:dPt>
          <c:dPt>
            <c:idx val="2"/>
            <c:bubble3D val="0"/>
            <c:spPr>
              <a:solidFill>
                <a:schemeClr val="accent3"/>
              </a:solidFill>
              <a:ln w="19050">
                <a:solidFill>
                  <a:schemeClr val="accent5">
                    <a:lumMod val="50000"/>
                  </a:schemeClr>
                </a:solidFill>
              </a:ln>
              <a:effectLst/>
            </c:spPr>
            <c:extLst>
              <c:ext xmlns:c16="http://schemas.microsoft.com/office/drawing/2014/chart" uri="{C3380CC4-5D6E-409C-BE32-E72D297353CC}">
                <c16:uniqueId val="{00000005-A1A4-48C1-8F31-2EC944A64475}"/>
              </c:ext>
            </c:extLst>
          </c:dPt>
          <c:val>
            <c:numRef>
              <c:f>('Project Data'!$X$7,'Project Data'!$X$6,'Project Data'!$X$8)</c:f>
              <c:numCache>
                <c:formatCode>0%</c:formatCode>
                <c:ptCount val="3"/>
                <c:pt idx="0">
                  <c:v>0.99999999999999989</c:v>
                </c:pt>
                <c:pt idx="1">
                  <c:v>0.47619047619047616</c:v>
                </c:pt>
                <c:pt idx="2">
                  <c:v>0.52380952380952384</c:v>
                </c:pt>
              </c:numCache>
            </c:numRef>
          </c:val>
          <c:extLst>
            <c:ext xmlns:c16="http://schemas.microsoft.com/office/drawing/2014/chart" uri="{C3380CC4-5D6E-409C-BE32-E72D297353CC}">
              <c16:uniqueId val="{00000006-A1A4-48C1-8F31-2EC944A64475}"/>
            </c:ext>
          </c:extLst>
        </c:ser>
        <c:dLbls>
          <c:showLegendKey val="0"/>
          <c:showVal val="0"/>
          <c:showCatName val="0"/>
          <c:showSerName val="0"/>
          <c:showPercent val="0"/>
          <c:showBubbleSize val="0"/>
          <c:showLeaderLines val="1"/>
        </c:dLbls>
        <c:firstSliceAng val="9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976427196921104E-2"/>
          <c:y val="2.6947855294311984E-2"/>
          <c:w val="0.9038802918537524"/>
          <c:h val="0.6742530538945789"/>
        </c:manualLayout>
      </c:layout>
      <c:barChart>
        <c:barDir val="bar"/>
        <c:grouping val="stacked"/>
        <c:varyColors val="0"/>
        <c:ser>
          <c:idx val="0"/>
          <c:order val="0"/>
          <c:tx>
            <c:strRef>
              <c:f>'Project Data'!$V$3</c:f>
              <c:strCache>
                <c:ptCount val="1"/>
                <c:pt idx="0">
                  <c:v>NOT STARTED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Data'!$W$3</c:f>
              <c:numCache>
                <c:formatCode>#,#00;;;</c:formatCode>
                <c:ptCount val="1"/>
                <c:pt idx="0">
                  <c:v>4</c:v>
                </c:pt>
              </c:numCache>
            </c:numRef>
          </c:val>
          <c:extLst>
            <c:ext xmlns:c16="http://schemas.microsoft.com/office/drawing/2014/chart" uri="{C3380CC4-5D6E-409C-BE32-E72D297353CC}">
              <c16:uniqueId val="{00000000-1D6D-4B4F-8AB9-DCD4AE99A794}"/>
            </c:ext>
          </c:extLst>
        </c:ser>
        <c:ser>
          <c:idx val="1"/>
          <c:order val="1"/>
          <c:tx>
            <c:strRef>
              <c:f>'Project Data'!$V$4</c:f>
              <c:strCache>
                <c:ptCount val="1"/>
                <c:pt idx="0">
                  <c:v>IN PROGRESS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Data'!$W$4</c:f>
              <c:numCache>
                <c:formatCode>#,#00;;;</c:formatCode>
                <c:ptCount val="1"/>
                <c:pt idx="0">
                  <c:v>8</c:v>
                </c:pt>
              </c:numCache>
            </c:numRef>
          </c:val>
          <c:extLst>
            <c:ext xmlns:c16="http://schemas.microsoft.com/office/drawing/2014/chart" uri="{C3380CC4-5D6E-409C-BE32-E72D297353CC}">
              <c16:uniqueId val="{00000001-1D6D-4B4F-8AB9-DCD4AE99A794}"/>
            </c:ext>
          </c:extLst>
        </c:ser>
        <c:ser>
          <c:idx val="2"/>
          <c:order val="2"/>
          <c:tx>
            <c:strRef>
              <c:f>'Project Data'!$V$5</c:f>
              <c:strCache>
                <c:ptCount val="1"/>
                <c:pt idx="0">
                  <c:v>OVERDUE</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Data'!$W$5</c:f>
              <c:numCache>
                <c:formatCode>#,#00;;;</c:formatCode>
                <c:ptCount val="1"/>
                <c:pt idx="0">
                  <c:v>10</c:v>
                </c:pt>
              </c:numCache>
            </c:numRef>
          </c:val>
          <c:extLst>
            <c:ext xmlns:c16="http://schemas.microsoft.com/office/drawing/2014/chart" uri="{C3380CC4-5D6E-409C-BE32-E72D297353CC}">
              <c16:uniqueId val="{00000002-1D6D-4B4F-8AB9-DCD4AE99A794}"/>
            </c:ext>
          </c:extLst>
        </c:ser>
        <c:ser>
          <c:idx val="3"/>
          <c:order val="3"/>
          <c:tx>
            <c:strRef>
              <c:f>'Project Data'!$V$6</c:f>
              <c:strCache>
                <c:ptCount val="1"/>
                <c:pt idx="0">
                  <c:v>COMPLETE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Data'!$W$6</c:f>
              <c:numCache>
                <c:formatCode>#,#00;;;</c:formatCode>
                <c:ptCount val="1"/>
                <c:pt idx="0">
                  <c:v>20</c:v>
                </c:pt>
              </c:numCache>
            </c:numRef>
          </c:val>
          <c:extLst>
            <c:ext xmlns:c16="http://schemas.microsoft.com/office/drawing/2014/chart" uri="{C3380CC4-5D6E-409C-BE32-E72D297353CC}">
              <c16:uniqueId val="{00000003-1D6D-4B4F-8AB9-DCD4AE99A794}"/>
            </c:ext>
          </c:extLst>
        </c:ser>
        <c:dLbls>
          <c:dLblPos val="ctr"/>
          <c:showLegendKey val="0"/>
          <c:showVal val="1"/>
          <c:showCatName val="0"/>
          <c:showSerName val="0"/>
          <c:showPercent val="0"/>
          <c:showBubbleSize val="0"/>
        </c:dLbls>
        <c:gapWidth val="150"/>
        <c:overlap val="100"/>
        <c:axId val="510650688"/>
        <c:axId val="510648064"/>
      </c:barChart>
      <c:catAx>
        <c:axId val="510650688"/>
        <c:scaling>
          <c:orientation val="minMax"/>
        </c:scaling>
        <c:delete val="1"/>
        <c:axPos val="l"/>
        <c:numFmt formatCode="General" sourceLinked="1"/>
        <c:majorTickMark val="out"/>
        <c:minorTickMark val="none"/>
        <c:tickLblPos val="nextTo"/>
        <c:crossAx val="510648064"/>
        <c:crosses val="autoZero"/>
        <c:auto val="1"/>
        <c:lblAlgn val="ctr"/>
        <c:lblOffset val="100"/>
        <c:noMultiLvlLbl val="0"/>
      </c:catAx>
      <c:valAx>
        <c:axId val="510648064"/>
        <c:scaling>
          <c:orientation val="minMax"/>
        </c:scaling>
        <c:delete val="1"/>
        <c:axPos val="b"/>
        <c:numFmt formatCode="#,#00;;;" sourceLinked="1"/>
        <c:majorTickMark val="out"/>
        <c:minorTickMark val="none"/>
        <c:tickLblPos val="nextTo"/>
        <c:crossAx val="510650688"/>
        <c:crosses val="autoZero"/>
        <c:crossBetween val="between"/>
      </c:valAx>
      <c:spPr>
        <a:noFill/>
        <a:ln>
          <a:noFill/>
        </a:ln>
        <a:effectLst/>
      </c:spPr>
    </c:plotArea>
    <c:legend>
      <c:legendPos val="b"/>
      <c:layout>
        <c:manualLayout>
          <c:xMode val="edge"/>
          <c:yMode val="edge"/>
          <c:x val="3.5521390690982764E-2"/>
          <c:y val="0.64743314428353793"/>
          <c:w val="0.81892693936585459"/>
          <c:h val="0.317601820751427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RISKS</a:t>
            </a:r>
          </a:p>
        </c:rich>
      </c:tx>
      <c:layout>
        <c:manualLayout>
          <c:xMode val="edge"/>
          <c:yMode val="edge"/>
          <c:x val="0.3644996787144012"/>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Data'!$AG$3</c:f>
              <c:numCache>
                <c:formatCode>General</c:formatCode>
                <c:ptCount val="1"/>
                <c:pt idx="0">
                  <c:v>8</c:v>
                </c:pt>
              </c:numCache>
            </c:numRef>
          </c:val>
          <c:extLst>
            <c:ext xmlns:c16="http://schemas.microsoft.com/office/drawing/2014/chart" uri="{C3380CC4-5D6E-409C-BE32-E72D297353CC}">
              <c16:uniqueId val="{00000002-9FE0-483B-86FC-2A4CF406281B}"/>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Data'!$AF$3</c:f>
              <c:numCache>
                <c:formatCode>General</c:formatCode>
                <c:ptCount val="1"/>
                <c:pt idx="0">
                  <c:v>5</c:v>
                </c:pt>
              </c:numCache>
            </c:numRef>
          </c:val>
          <c:extLst>
            <c:ext xmlns:c16="http://schemas.microsoft.com/office/drawing/2014/chart" uri="{C3380CC4-5D6E-409C-BE32-E72D297353CC}">
              <c16:uniqueId val="{00000001-9FE0-483B-86FC-2A4CF406281B}"/>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Data'!$AE$3</c:f>
              <c:numCache>
                <c:formatCode>General</c:formatCode>
                <c:ptCount val="1"/>
                <c:pt idx="0">
                  <c:v>2</c:v>
                </c:pt>
              </c:numCache>
            </c:numRef>
          </c:val>
          <c:extLst>
            <c:ext xmlns:c16="http://schemas.microsoft.com/office/drawing/2014/chart" uri="{C3380CC4-5D6E-409C-BE32-E72D297353CC}">
              <c16:uniqueId val="{00000000-9FE0-483B-86FC-2A4CF406281B}"/>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75921545119754"/>
          <c:h val="0.144790516739338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ISSUES</a:t>
            </a:r>
          </a:p>
        </c:rich>
      </c:tx>
      <c:layout>
        <c:manualLayout>
          <c:xMode val="edge"/>
          <c:yMode val="edge"/>
          <c:x val="0.3644996787144012"/>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Data'!$AG$4</c:f>
              <c:numCache>
                <c:formatCode>General</c:formatCode>
                <c:ptCount val="1"/>
                <c:pt idx="0">
                  <c:v>22</c:v>
                </c:pt>
              </c:numCache>
            </c:numRef>
          </c:val>
          <c:extLst>
            <c:ext xmlns:c16="http://schemas.microsoft.com/office/drawing/2014/chart" uri="{C3380CC4-5D6E-409C-BE32-E72D297353CC}">
              <c16:uniqueId val="{00000002-477C-4ECE-BB19-17BCD866E955}"/>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Data'!$AF$4</c:f>
              <c:numCache>
                <c:formatCode>General</c:formatCode>
                <c:ptCount val="1"/>
                <c:pt idx="0">
                  <c:v>62</c:v>
                </c:pt>
              </c:numCache>
            </c:numRef>
          </c:val>
          <c:extLst>
            <c:ext xmlns:c16="http://schemas.microsoft.com/office/drawing/2014/chart" uri="{C3380CC4-5D6E-409C-BE32-E72D297353CC}">
              <c16:uniqueId val="{00000001-477C-4ECE-BB19-17BCD866E955}"/>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Data'!$AE$4</c:f>
              <c:numCache>
                <c:formatCode>General</c:formatCode>
                <c:ptCount val="1"/>
                <c:pt idx="0">
                  <c:v>150</c:v>
                </c:pt>
              </c:numCache>
            </c:numRef>
          </c:val>
          <c:extLst>
            <c:ext xmlns:c16="http://schemas.microsoft.com/office/drawing/2014/chart" uri="{C3380CC4-5D6E-409C-BE32-E72D297353CC}">
              <c16:uniqueId val="{00000000-477C-4ECE-BB19-17BCD866E955}"/>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86365977229434"/>
          <c:h val="0.14185943528673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PH" b="1"/>
              <a:t>ACTION ITEMS</a:t>
            </a:r>
          </a:p>
        </c:rich>
      </c:tx>
      <c:layout>
        <c:manualLayout>
          <c:xMode val="edge"/>
          <c:yMode val="edge"/>
          <c:x val="0.17349163023787581"/>
          <c:y val="3.362570486559977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864844302250137E-3"/>
          <c:y val="0.2277300862022745"/>
          <c:w val="0.98683844079761807"/>
          <c:h val="0.57156549499619058"/>
        </c:manualLayout>
      </c:layout>
      <c:barChart>
        <c:barDir val="col"/>
        <c:grouping val="clustered"/>
        <c:varyColors val="0"/>
        <c:ser>
          <c:idx val="2"/>
          <c:order val="0"/>
          <c:tx>
            <c:v>LOW</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Data'!$AG$5</c:f>
              <c:numCache>
                <c:formatCode>General</c:formatCode>
                <c:ptCount val="1"/>
                <c:pt idx="0">
                  <c:v>238</c:v>
                </c:pt>
              </c:numCache>
            </c:numRef>
          </c:val>
          <c:extLst>
            <c:ext xmlns:c16="http://schemas.microsoft.com/office/drawing/2014/chart" uri="{C3380CC4-5D6E-409C-BE32-E72D297353CC}">
              <c16:uniqueId val="{00000002-E5A9-448B-8F25-7981EAFD772E}"/>
            </c:ext>
          </c:extLst>
        </c:ser>
        <c:ser>
          <c:idx val="1"/>
          <c:order val="1"/>
          <c:tx>
            <c:v>MEDIUM</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Data'!$AF$5</c:f>
              <c:numCache>
                <c:formatCode>General</c:formatCode>
                <c:ptCount val="1"/>
                <c:pt idx="0">
                  <c:v>9</c:v>
                </c:pt>
              </c:numCache>
            </c:numRef>
          </c:val>
          <c:extLst>
            <c:ext xmlns:c16="http://schemas.microsoft.com/office/drawing/2014/chart" uri="{C3380CC4-5D6E-409C-BE32-E72D297353CC}">
              <c16:uniqueId val="{00000001-E5A9-448B-8F25-7981EAFD772E}"/>
            </c:ext>
          </c:extLst>
        </c:ser>
        <c:ser>
          <c:idx val="0"/>
          <c:order val="2"/>
          <c:tx>
            <c:v>HIGH</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'Project Data'!$AE$5</c:f>
              <c:numCache>
                <c:formatCode>General</c:formatCode>
                <c:ptCount val="1"/>
                <c:pt idx="0">
                  <c:v>8</c:v>
                </c:pt>
              </c:numCache>
            </c:numRef>
          </c:val>
          <c:extLst>
            <c:ext xmlns:c16="http://schemas.microsoft.com/office/drawing/2014/chart" uri="{C3380CC4-5D6E-409C-BE32-E72D297353CC}">
              <c16:uniqueId val="{00000000-E5A9-448B-8F25-7981EAFD772E}"/>
            </c:ext>
          </c:extLst>
        </c:ser>
        <c:dLbls>
          <c:dLblPos val="outEnd"/>
          <c:showLegendKey val="0"/>
          <c:showVal val="1"/>
          <c:showCatName val="0"/>
          <c:showSerName val="0"/>
          <c:showPercent val="0"/>
          <c:showBubbleSize val="0"/>
        </c:dLbls>
        <c:gapWidth val="219"/>
        <c:overlap val="-27"/>
        <c:axId val="1048851048"/>
        <c:axId val="1048846128"/>
      </c:barChart>
      <c:catAx>
        <c:axId val="1048851048"/>
        <c:scaling>
          <c:orientation val="minMax"/>
        </c:scaling>
        <c:delete val="1"/>
        <c:axPos val="b"/>
        <c:numFmt formatCode="General" sourceLinked="1"/>
        <c:majorTickMark val="none"/>
        <c:minorTickMark val="none"/>
        <c:tickLblPos val="nextTo"/>
        <c:crossAx val="1048846128"/>
        <c:crosses val="autoZero"/>
        <c:auto val="1"/>
        <c:lblAlgn val="ctr"/>
        <c:lblOffset val="100"/>
        <c:noMultiLvlLbl val="0"/>
      </c:catAx>
      <c:valAx>
        <c:axId val="1048846128"/>
        <c:scaling>
          <c:orientation val="minMax"/>
        </c:scaling>
        <c:delete val="1"/>
        <c:axPos val="l"/>
        <c:numFmt formatCode="General" sourceLinked="1"/>
        <c:majorTickMark val="none"/>
        <c:minorTickMark val="none"/>
        <c:tickLblPos val="nextTo"/>
        <c:crossAx val="1048851048"/>
        <c:crosses val="autoZero"/>
        <c:crossBetween val="between"/>
      </c:valAx>
      <c:spPr>
        <a:noFill/>
        <a:ln>
          <a:noFill/>
        </a:ln>
        <a:effectLst/>
      </c:spPr>
    </c:plotArea>
    <c:legend>
      <c:legendPos val="b"/>
      <c:layout>
        <c:manualLayout>
          <c:xMode val="edge"/>
          <c:yMode val="edge"/>
          <c:x val="9.1894941942992164E-2"/>
          <c:y val="0.8329212860640649"/>
          <c:w val="0.78986365977229434"/>
          <c:h val="0.14185943528673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5">
        <a:lumMod val="20000"/>
        <a:lumOff val="80000"/>
      </a:schemeClr>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PH" sz="1200" b="1"/>
              <a:t>BUDGETING</a:t>
            </a:r>
          </a:p>
        </c:rich>
      </c:tx>
      <c:layout>
        <c:manualLayout>
          <c:xMode val="edge"/>
          <c:yMode val="edge"/>
          <c:x val="3.3392710963531767E-2"/>
          <c:y val="3.099397223187530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46393067453031"/>
          <c:y val="0.25223332393879611"/>
          <c:w val="0.32470224507002959"/>
          <c:h val="0.62006400407298645"/>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EF-421F-97AA-881777A2D8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EF-421F-97AA-881777A2D86C}"/>
              </c:ext>
            </c:extLst>
          </c:dPt>
          <c:dLbls>
            <c:dLbl>
              <c:idx val="0"/>
              <c:layout>
                <c:manualLayout>
                  <c:x val="0.53079590044542835"/>
                  <c:y val="5.7766869290404511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8454644329916718"/>
                      <c:h val="0.15266464467462243"/>
                    </c:manualLayout>
                  </c15:layout>
                </c:ext>
                <c:ext xmlns:c16="http://schemas.microsoft.com/office/drawing/2014/chart" uri="{C3380CC4-5D6E-409C-BE32-E72D297353CC}">
                  <c16:uniqueId val="{00000001-A0EF-421F-97AA-881777A2D86C}"/>
                </c:ext>
              </c:extLst>
            </c:dLbl>
            <c:dLbl>
              <c:idx val="1"/>
              <c:layout>
                <c:manualLayout>
                  <c:x val="0.39841940529924047"/>
                  <c:y val="0.109840256294434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9421370442974089"/>
                      <c:h val="0.18749117553419739"/>
                    </c:manualLayout>
                  </c15:layout>
                </c:ext>
                <c:ext xmlns:c16="http://schemas.microsoft.com/office/drawing/2014/chart" uri="{C3380CC4-5D6E-409C-BE32-E72D297353CC}">
                  <c16:uniqueId val="{00000003-A0EF-421F-97AA-881777A2D86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2"/>
              <c:pt idx="0">
                <c:v>Actual </c:v>
              </c:pt>
              <c:pt idx="1">
                <c:v>Budget </c:v>
              </c:pt>
            </c:strLit>
          </c:cat>
          <c:val>
            <c:numRef>
              <c:f>'Project Data'!$AA$3:$AB$3</c:f>
              <c:numCache>
                <c:formatCode>_("₱"* #,##0.00_);_("₱"* \(#,##0.00\);_("₱"* "-"??_);_(@_)</c:formatCode>
                <c:ptCount val="2"/>
                <c:pt idx="0">
                  <c:v>1000</c:v>
                </c:pt>
                <c:pt idx="1">
                  <c:v>4000</c:v>
                </c:pt>
              </c:numCache>
            </c:numRef>
          </c:val>
          <c:extLst>
            <c:ext xmlns:c16="http://schemas.microsoft.com/office/drawing/2014/chart" uri="{C3380CC4-5D6E-409C-BE32-E72D297353CC}">
              <c16:uniqueId val="{00000004-A0EF-421F-97AA-881777A2D86C}"/>
            </c:ext>
          </c:extLst>
        </c:ser>
        <c:dLbls>
          <c:showLegendKey val="0"/>
          <c:showVal val="0"/>
          <c:showCatName val="0"/>
          <c:showSerName val="0"/>
          <c:showPercent val="0"/>
          <c:showBubbleSize val="0"/>
          <c:showLeaderLines val="0"/>
        </c:dLbls>
        <c:firstSliceAng val="180"/>
        <c:holeSize val="68"/>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V$6" horiz="1" max="100" min="1" page="0" val="2"/>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1.xml"/><Relationship Id="rId18" Type="http://schemas.openxmlformats.org/officeDocument/2006/relationships/hyperlink" Target="#'Work Package'!A1"/><Relationship Id="rId26" Type="http://schemas.openxmlformats.org/officeDocument/2006/relationships/image" Target="../media/image9.png"/><Relationship Id="rId3" Type="http://schemas.openxmlformats.org/officeDocument/2006/relationships/chart" Target="../charts/chart3.xml"/><Relationship Id="rId21" Type="http://schemas.openxmlformats.org/officeDocument/2006/relationships/hyperlink" Target="#'Communication Plan'!A1"/><Relationship Id="rId7" Type="http://schemas.openxmlformats.org/officeDocument/2006/relationships/image" Target="../media/image1.png"/><Relationship Id="rId12" Type="http://schemas.openxmlformats.org/officeDocument/2006/relationships/chart" Target="../charts/chart10.xml"/><Relationship Id="rId17" Type="http://schemas.openxmlformats.org/officeDocument/2006/relationships/image" Target="../media/image6.png"/><Relationship Id="rId25" Type="http://schemas.openxmlformats.org/officeDocument/2006/relationships/image" Target="../media/image8.pn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hyperlink" Target="#'Risk and Issue Management'!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24" Type="http://schemas.openxmlformats.org/officeDocument/2006/relationships/image" Target="../media/image7.pn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hyperlink" Target="#'Project Team'!A1"/><Relationship Id="rId10" Type="http://schemas.openxmlformats.org/officeDocument/2006/relationships/chart" Target="../charts/chart9.xml"/><Relationship Id="rId19" Type="http://schemas.openxmlformats.org/officeDocument/2006/relationships/hyperlink" Target="#Report!A1"/><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image" Target="../media/image3.png"/><Relationship Id="rId22" Type="http://schemas.openxmlformats.org/officeDocument/2006/relationships/hyperlink" Target="#'Stakeholder Management'!A1"/></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xdr:col>
      <xdr:colOff>362883</xdr:colOff>
      <xdr:row>5</xdr:row>
      <xdr:rowOff>154279</xdr:rowOff>
    </xdr:from>
    <xdr:to>
      <xdr:col>17</xdr:col>
      <xdr:colOff>0</xdr:colOff>
      <xdr:row>61</xdr:row>
      <xdr:rowOff>150743</xdr:rowOff>
    </xdr:to>
    <xdr:grpSp>
      <xdr:nvGrpSpPr>
        <xdr:cNvPr id="2051" name="timelineGroup" hidden="1">
          <a:extLst>
            <a:ext uri="{FF2B5EF4-FFF2-40B4-BE49-F238E27FC236}">
              <a16:creationId xmlns:a16="http://schemas.microsoft.com/office/drawing/2014/main" id="{00000000-0008-0000-0100-000003080000}"/>
            </a:ext>
          </a:extLst>
        </xdr:cNvPr>
        <xdr:cNvGrpSpPr/>
      </xdr:nvGrpSpPr>
      <xdr:grpSpPr>
        <a:xfrm>
          <a:off x="972483" y="1597597"/>
          <a:ext cx="15172952" cy="10036934"/>
          <a:chOff x="1073528" y="1496292"/>
          <a:chExt cx="15159993" cy="10069532"/>
        </a:xfrm>
      </xdr:grpSpPr>
      <xdr:sp macro="" textlink="">
        <xdr:nvSpPr>
          <xdr:cNvPr id="132" name="Rectangle: Folded Corner 131" hidden="1">
            <a:extLst>
              <a:ext uri="{FF2B5EF4-FFF2-40B4-BE49-F238E27FC236}">
                <a16:creationId xmlns:a16="http://schemas.microsoft.com/office/drawing/2014/main" id="{00000000-0008-0000-0100-000084000000}"/>
              </a:ext>
            </a:extLst>
          </xdr:cNvPr>
          <xdr:cNvSpPr/>
        </xdr:nvSpPr>
        <xdr:spPr>
          <a:xfrm>
            <a:off x="1073528" y="1496292"/>
            <a:ext cx="15080872" cy="10069532"/>
          </a:xfrm>
          <a:prstGeom prst="foldedCorner">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72" name="Chart 71" hidden="1">
            <a:extLst>
              <a:ext uri="{FF2B5EF4-FFF2-40B4-BE49-F238E27FC236}">
                <a16:creationId xmlns:a16="http://schemas.microsoft.com/office/drawing/2014/main" id="{00000000-0008-0000-0100-000048000000}"/>
              </a:ext>
            </a:extLst>
          </xdr:cNvPr>
          <xdr:cNvGraphicFramePr>
            <a:graphicFrameLocks/>
          </xdr:cNvGraphicFramePr>
        </xdr:nvGraphicFramePr>
        <xdr:xfrm>
          <a:off x="1214636" y="1651564"/>
          <a:ext cx="8338856" cy="338087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02" name="Chart 101" hidden="1">
            <a:extLst>
              <a:ext uri="{FF2B5EF4-FFF2-40B4-BE49-F238E27FC236}">
                <a16:creationId xmlns:a16="http://schemas.microsoft.com/office/drawing/2014/main" id="{00000000-0008-0000-0100-000066000000}"/>
              </a:ext>
            </a:extLst>
          </xdr:cNvPr>
          <xdr:cNvGraphicFramePr>
            <a:graphicFrameLocks/>
          </xdr:cNvGraphicFramePr>
        </xdr:nvGraphicFramePr>
        <xdr:xfrm>
          <a:off x="1700847" y="4496624"/>
          <a:ext cx="14532674" cy="518508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134256</xdr:colOff>
      <xdr:row>5</xdr:row>
      <xdr:rowOff>158212</xdr:rowOff>
    </xdr:from>
    <xdr:to>
      <xdr:col>16</xdr:col>
      <xdr:colOff>1600200</xdr:colOff>
      <xdr:row>38</xdr:row>
      <xdr:rowOff>171522</xdr:rowOff>
    </xdr:to>
    <xdr:grpSp>
      <xdr:nvGrpSpPr>
        <xdr:cNvPr id="2049" name="summaryGroup">
          <a:extLst>
            <a:ext uri="{FF2B5EF4-FFF2-40B4-BE49-F238E27FC236}">
              <a16:creationId xmlns:a16="http://schemas.microsoft.com/office/drawing/2014/main" id="{00000000-0008-0000-0100-000001080000}"/>
            </a:ext>
          </a:extLst>
        </xdr:cNvPr>
        <xdr:cNvGrpSpPr/>
      </xdr:nvGrpSpPr>
      <xdr:grpSpPr>
        <a:xfrm>
          <a:off x="743856" y="1601530"/>
          <a:ext cx="15271591" cy="5930016"/>
          <a:chOff x="870707" y="1611108"/>
          <a:chExt cx="15283692" cy="5977409"/>
        </a:xfrm>
      </xdr:grpSpPr>
      <xdr:sp macro="" textlink="">
        <xdr:nvSpPr>
          <xdr:cNvPr id="120" name="Rectangle: Folded Corner 119">
            <a:extLst>
              <a:ext uri="{FF2B5EF4-FFF2-40B4-BE49-F238E27FC236}">
                <a16:creationId xmlns:a16="http://schemas.microsoft.com/office/drawing/2014/main" id="{00000000-0008-0000-0100-000078000000}"/>
              </a:ext>
            </a:extLst>
          </xdr:cNvPr>
          <xdr:cNvSpPr/>
        </xdr:nvSpPr>
        <xdr:spPr>
          <a:xfrm>
            <a:off x="870707" y="1611108"/>
            <a:ext cx="15283692" cy="5977409"/>
          </a:xfrm>
          <a:prstGeom prst="foldedCorner">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71" name="Group 70">
            <a:extLst>
              <a:ext uri="{FF2B5EF4-FFF2-40B4-BE49-F238E27FC236}">
                <a16:creationId xmlns:a16="http://schemas.microsoft.com/office/drawing/2014/main" id="{00000000-0008-0000-0100-000047000000}"/>
              </a:ext>
            </a:extLst>
          </xdr:cNvPr>
          <xdr:cNvGrpSpPr/>
        </xdr:nvGrpSpPr>
        <xdr:grpSpPr>
          <a:xfrm>
            <a:off x="910758" y="1704384"/>
            <a:ext cx="5370547" cy="3062343"/>
            <a:chOff x="2329805" y="1162610"/>
            <a:chExt cx="5366187" cy="3048000"/>
          </a:xfrm>
        </xdr:grpSpPr>
        <xdr:grpSp>
          <xdr:nvGrpSpPr>
            <xdr:cNvPr id="49" name="Group 48">
              <a:extLst>
                <a:ext uri="{FF2B5EF4-FFF2-40B4-BE49-F238E27FC236}">
                  <a16:creationId xmlns:a16="http://schemas.microsoft.com/office/drawing/2014/main" id="{00000000-0008-0000-0100-000031000000}"/>
                </a:ext>
              </a:extLst>
            </xdr:cNvPr>
            <xdr:cNvGrpSpPr/>
          </xdr:nvGrpSpPr>
          <xdr:grpSpPr>
            <a:xfrm>
              <a:off x="2329805" y="1162610"/>
              <a:ext cx="5366187" cy="3048000"/>
              <a:chOff x="2329805" y="1162610"/>
              <a:chExt cx="5366187" cy="3048000"/>
            </a:xfrm>
          </xdr:grpSpPr>
          <xdr:grpSp>
            <xdr:nvGrpSpPr>
              <xdr:cNvPr id="26" name="Group 25">
                <a:extLst>
                  <a:ext uri="{FF2B5EF4-FFF2-40B4-BE49-F238E27FC236}">
                    <a16:creationId xmlns:a16="http://schemas.microsoft.com/office/drawing/2014/main" id="{00000000-0008-0000-0100-00001A000000}"/>
                  </a:ext>
                </a:extLst>
              </xdr:cNvPr>
              <xdr:cNvGrpSpPr/>
            </xdr:nvGrpSpPr>
            <xdr:grpSpPr>
              <a:xfrm>
                <a:off x="2329805" y="1162610"/>
                <a:ext cx="5366187" cy="3048000"/>
                <a:chOff x="2326470" y="885825"/>
                <a:chExt cx="5366769" cy="3076575"/>
              </a:xfrm>
            </xdr:grpSpPr>
            <xdr:grpSp>
              <xdr:nvGrpSpPr>
                <xdr:cNvPr id="35" name="Group 34">
                  <a:extLst>
                    <a:ext uri="{FF2B5EF4-FFF2-40B4-BE49-F238E27FC236}">
                      <a16:creationId xmlns:a16="http://schemas.microsoft.com/office/drawing/2014/main" id="{00000000-0008-0000-0100-000023000000}"/>
                    </a:ext>
                  </a:extLst>
                </xdr:cNvPr>
                <xdr:cNvGrpSpPr/>
              </xdr:nvGrpSpPr>
              <xdr:grpSpPr>
                <a:xfrm>
                  <a:off x="2523467" y="885825"/>
                  <a:ext cx="5169772" cy="2678430"/>
                  <a:chOff x="2433932" y="815340"/>
                  <a:chExt cx="5169772" cy="2705100"/>
                </a:xfrm>
              </xdr:grpSpPr>
              <xdr:sp macro="" textlink="">
                <xdr:nvSpPr>
                  <xdr:cNvPr id="17" name="Rectangle: Folded Corner 16">
                    <a:extLst>
                      <a:ext uri="{FF2B5EF4-FFF2-40B4-BE49-F238E27FC236}">
                        <a16:creationId xmlns:a16="http://schemas.microsoft.com/office/drawing/2014/main" id="{00000000-0008-0000-0100-000011000000}"/>
                      </a:ext>
                    </a:extLst>
                  </xdr:cNvPr>
                  <xdr:cNvSpPr/>
                </xdr:nvSpPr>
                <xdr:spPr>
                  <a:xfrm>
                    <a:off x="2433932" y="815340"/>
                    <a:ext cx="5169772" cy="2705100"/>
                  </a:xfrm>
                  <a:prstGeom prst="foldedCorner">
                    <a:avLst>
                      <a:gd name="adj" fmla="val 9831"/>
                    </a:avLst>
                  </a:prstGeom>
                  <a:solidFill>
                    <a:srgbClr val="161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21" name="Group 20">
                    <a:extLst>
                      <a:ext uri="{FF2B5EF4-FFF2-40B4-BE49-F238E27FC236}">
                        <a16:creationId xmlns:a16="http://schemas.microsoft.com/office/drawing/2014/main" id="{00000000-0008-0000-0100-000015000000}"/>
                      </a:ext>
                    </a:extLst>
                  </xdr:cNvPr>
                  <xdr:cNvGrpSpPr/>
                </xdr:nvGrpSpPr>
                <xdr:grpSpPr>
                  <a:xfrm>
                    <a:off x="2874714" y="1257300"/>
                    <a:ext cx="1706880" cy="1569404"/>
                    <a:chOff x="2596979" y="929640"/>
                    <a:chExt cx="1706880" cy="1569404"/>
                  </a:xfrm>
                </xdr:grpSpPr>
                <xdr:sp macro="" textlink="">
                  <xdr:nvSpPr>
                    <xdr:cNvPr id="20" name="Oval 19">
                      <a:extLst>
                        <a:ext uri="{FF2B5EF4-FFF2-40B4-BE49-F238E27FC236}">
                          <a16:creationId xmlns:a16="http://schemas.microsoft.com/office/drawing/2014/main" id="{00000000-0008-0000-0100-000014000000}"/>
                        </a:ext>
                      </a:extLst>
                    </xdr:cNvPr>
                    <xdr:cNvSpPr/>
                  </xdr:nvSpPr>
                  <xdr:spPr>
                    <a:xfrm>
                      <a:off x="2673179" y="929640"/>
                      <a:ext cx="1569404" cy="1569404"/>
                    </a:xfrm>
                    <a:prstGeom prst="ellipse">
                      <a:avLst/>
                    </a:prstGeom>
                    <a:noFill/>
                    <a:ln w="76200">
                      <a:solidFill>
                        <a:schemeClr val="bg2">
                          <a:alpha val="31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2596979" y="975360"/>
                    <a:ext cx="1706880" cy="1510238"/>
                  </xdr:xfrm>
                  <a:graphic>
                    <a:graphicData uri="http://schemas.openxmlformats.org/drawingml/2006/chart">
                      <c:chart xmlns:c="http://schemas.openxmlformats.org/drawingml/2006/chart" xmlns:r="http://schemas.openxmlformats.org/officeDocument/2006/relationships" r:id="rId3"/>
                    </a:graphicData>
                  </a:graphic>
                </xdr:graphicFrame>
                <xdr:sp macro="" textlink="'Project Data'!X6">
                  <xdr:nvSpPr>
                    <xdr:cNvPr id="19" name="TextBox 18">
                      <a:extLst>
                        <a:ext uri="{FF2B5EF4-FFF2-40B4-BE49-F238E27FC236}">
                          <a16:creationId xmlns:a16="http://schemas.microsoft.com/office/drawing/2014/main" id="{00000000-0008-0000-0100-000013000000}"/>
                        </a:ext>
                      </a:extLst>
                    </xdr:cNvPr>
                    <xdr:cNvSpPr txBox="1"/>
                  </xdr:nvSpPr>
                  <xdr:spPr>
                    <a:xfrm>
                      <a:off x="2788963" y="1326612"/>
                      <a:ext cx="1453935" cy="867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7AA6925-A0E9-4ED2-8803-C9DAA6012AE2}" type="TxLink">
                        <a:rPr lang="en-US" sz="2400" b="1" i="0" u="none" strike="noStrike">
                          <a:solidFill>
                            <a:srgbClr val="00FAFA"/>
                          </a:solidFill>
                          <a:latin typeface="Arial"/>
                          <a:cs typeface="Arial"/>
                        </a:rPr>
                        <a:pPr algn="ctr"/>
                        <a:t>48%</a:t>
                      </a:fld>
                      <a:endParaRPr lang="en-PH" sz="3200" b="1">
                        <a:solidFill>
                          <a:srgbClr val="00FAFA"/>
                        </a:solidFill>
                      </a:endParaRPr>
                    </a:p>
                  </xdr:txBody>
                </xdr:sp>
              </xdr:grpSp>
              <xdr:sp macro="" textlink="projectStatus">
                <xdr:nvSpPr>
                  <xdr:cNvPr id="27" name="TextBox 26">
                    <a:extLst>
                      <a:ext uri="{FF2B5EF4-FFF2-40B4-BE49-F238E27FC236}">
                        <a16:creationId xmlns:a16="http://schemas.microsoft.com/office/drawing/2014/main" id="{00000000-0008-0000-0100-00001B000000}"/>
                      </a:ext>
                    </a:extLst>
                  </xdr:cNvPr>
                  <xdr:cNvSpPr txBox="1"/>
                </xdr:nvSpPr>
                <xdr:spPr>
                  <a:xfrm>
                    <a:off x="4692479" y="2175604"/>
                    <a:ext cx="2583180" cy="455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6F7A9FD-612F-4DFE-9F61-8FAFD6E1DB79}" type="TxLink">
                      <a:rPr lang="en-US" sz="2400" b="0" i="0" u="none" strike="noStrike">
                        <a:solidFill>
                          <a:schemeClr val="bg1"/>
                        </a:solidFill>
                        <a:latin typeface="Arial Rounded MT Bold" panose="020F0704030504030204" pitchFamily="34" charset="0"/>
                        <a:cs typeface="Calibri"/>
                      </a:rPr>
                      <a:pPr algn="ctr"/>
                      <a:t>DELAYED</a:t>
                    </a:fld>
                    <a:endParaRPr lang="en-PH" sz="2800" b="0">
                      <a:solidFill>
                        <a:schemeClr val="bg1"/>
                      </a:solidFill>
                      <a:latin typeface="Arial Rounded MT Bold" panose="020F0704030504030204" pitchFamily="34" charset="0"/>
                    </a:endParaRP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2473651" y="840199"/>
                    <a:ext cx="757986" cy="30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PH" sz="1400" b="1">
                        <a:solidFill>
                          <a:schemeClr val="tx2">
                            <a:lumMod val="20000"/>
                            <a:lumOff val="80000"/>
                          </a:schemeClr>
                        </a:solidFill>
                      </a:rPr>
                      <a:t>STATUS</a:t>
                    </a:r>
                    <a:endParaRPr lang="en-PH" sz="1400" b="1" baseline="0">
                      <a:solidFill>
                        <a:schemeClr val="tx2">
                          <a:lumMod val="20000"/>
                          <a:lumOff val="80000"/>
                        </a:schemeClr>
                      </a:solidFill>
                    </a:endParaRPr>
                  </a:p>
                </xdr:txBody>
              </xdr:sp>
            </xdr:grpSp>
            <xdr:graphicFrame macro="">
              <xdr:nvGraphicFramePr>
                <xdr:cNvPr id="48" name="Chart 47" title="dfdf">
                  <a:extLst>
                    <a:ext uri="{FF2B5EF4-FFF2-40B4-BE49-F238E27FC236}">
                      <a16:creationId xmlns:a16="http://schemas.microsoft.com/office/drawing/2014/main" id="{00000000-0008-0000-0100-000030000000}"/>
                    </a:ext>
                  </a:extLst>
                </xdr:cNvPr>
                <xdr:cNvGraphicFramePr>
                  <a:graphicFrameLocks/>
                </xdr:cNvGraphicFramePr>
              </xdr:nvGraphicFramePr>
              <xdr:xfrm>
                <a:off x="2326470" y="2884170"/>
                <a:ext cx="5343880" cy="1078230"/>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70" name="Chart 69">
                <a:extLst>
                  <a:ext uri="{FF2B5EF4-FFF2-40B4-BE49-F238E27FC236}">
                    <a16:creationId xmlns:a16="http://schemas.microsoft.com/office/drawing/2014/main" id="{00000000-0008-0000-0100-000046000000}"/>
                  </a:ext>
                </a:extLst>
              </xdr:cNvPr>
              <xdr:cNvGraphicFramePr>
                <a:graphicFrameLocks/>
              </xdr:cNvGraphicFramePr>
            </xdr:nvGraphicFramePr>
            <xdr:xfrm>
              <a:off x="4938789" y="2031574"/>
              <a:ext cx="2551098" cy="188262"/>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63" name="Group 62">
              <a:extLst>
                <a:ext uri="{FF2B5EF4-FFF2-40B4-BE49-F238E27FC236}">
                  <a16:creationId xmlns:a16="http://schemas.microsoft.com/office/drawing/2014/main" id="{00000000-0008-0000-0100-00003F000000}"/>
                </a:ext>
              </a:extLst>
            </xdr:cNvPr>
            <xdr:cNvGrpSpPr/>
          </xdr:nvGrpSpPr>
          <xdr:grpSpPr>
            <a:xfrm>
              <a:off x="4833646" y="1336189"/>
              <a:ext cx="2604082" cy="686697"/>
              <a:chOff x="4833646" y="1336189"/>
              <a:chExt cx="2604082" cy="686697"/>
            </a:xfrm>
          </xdr:grpSpPr>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4833646" y="1336189"/>
                <a:ext cx="677044" cy="210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bg2">
                        <a:lumMod val="50000"/>
                      </a:schemeClr>
                    </a:solidFill>
                  </a:rPr>
                  <a:t>Started:</a:t>
                </a:r>
                <a:r>
                  <a:rPr lang="en-PH" sz="1200" b="1" baseline="0">
                    <a:solidFill>
                      <a:schemeClr val="bg2">
                        <a:lumMod val="50000"/>
                      </a:schemeClr>
                    </a:solidFill>
                  </a:rPr>
                  <a:t> </a:t>
                </a:r>
                <a:endParaRPr lang="en-PH" sz="1200" b="1">
                  <a:solidFill>
                    <a:schemeClr val="bg2">
                      <a:lumMod val="50000"/>
                    </a:schemeClr>
                  </a:solidFill>
                </a:endParaRPr>
              </a:p>
            </xdr:txBody>
          </xdr:sp>
          <xdr:sp macro="" textlink="">
            <xdr:nvSpPr>
              <xdr:cNvPr id="38" name="TextBox 37">
                <a:extLst>
                  <a:ext uri="{FF2B5EF4-FFF2-40B4-BE49-F238E27FC236}">
                    <a16:creationId xmlns:a16="http://schemas.microsoft.com/office/drawing/2014/main" id="{00000000-0008-0000-0100-000026000000}"/>
                  </a:ext>
                </a:extLst>
              </xdr:cNvPr>
              <xdr:cNvSpPr txBox="1"/>
            </xdr:nvSpPr>
            <xdr:spPr>
              <a:xfrm>
                <a:off x="4833646" y="1568824"/>
                <a:ext cx="1411045" cy="2519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algn="r"/>
                <a:r>
                  <a:rPr lang="en-PH" sz="1200" b="1">
                    <a:solidFill>
                      <a:schemeClr val="bg2">
                        <a:lumMod val="50000"/>
                      </a:schemeClr>
                    </a:solidFill>
                  </a:rPr>
                  <a:t>Expected</a:t>
                </a:r>
                <a:r>
                  <a:rPr lang="en-PH" sz="1200" b="1" baseline="0">
                    <a:solidFill>
                      <a:schemeClr val="bg2">
                        <a:lumMod val="50000"/>
                      </a:schemeClr>
                    </a:solidFill>
                  </a:rPr>
                  <a:t> End Date:</a:t>
                </a:r>
                <a:endParaRPr lang="en-PH" sz="1200" b="1">
                  <a:solidFill>
                    <a:schemeClr val="bg2">
                      <a:lumMod val="50000"/>
                    </a:schemeClr>
                  </a:solidFill>
                </a:endParaRPr>
              </a:p>
            </xdr:txBody>
          </xdr:sp>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4833646" y="1770978"/>
                <a:ext cx="1411045" cy="2519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PH" sz="1200" b="1">
                    <a:solidFill>
                      <a:schemeClr val="bg2">
                        <a:lumMod val="50000"/>
                      </a:schemeClr>
                    </a:solidFill>
                  </a:rPr>
                  <a:t>Days Passed:</a:t>
                </a:r>
              </a:p>
            </xdr:txBody>
          </xdr:sp>
          <xdr:sp macro="" textlink="'Project Data'!B6">
            <xdr:nvSpPr>
              <xdr:cNvPr id="40" name="TextBox 39">
                <a:extLst>
                  <a:ext uri="{FF2B5EF4-FFF2-40B4-BE49-F238E27FC236}">
                    <a16:creationId xmlns:a16="http://schemas.microsoft.com/office/drawing/2014/main" id="{00000000-0008-0000-0100-000028000000}"/>
                  </a:ext>
                </a:extLst>
              </xdr:cNvPr>
              <xdr:cNvSpPr txBox="1"/>
            </xdr:nvSpPr>
            <xdr:spPr>
              <a:xfrm>
                <a:off x="6719163" y="1336189"/>
                <a:ext cx="679284" cy="210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85C81FAA-A6A0-486D-8B08-310C09B867F6}" type="TxLink">
                  <a:rPr lang="en-US" sz="1100" b="0" i="0" u="none" strike="noStrike" baseline="0">
                    <a:solidFill>
                      <a:schemeClr val="bg1"/>
                    </a:solidFill>
                    <a:latin typeface="Calibri"/>
                    <a:cs typeface="Calibri"/>
                  </a:rPr>
                  <a:pPr/>
                  <a:t>19-Feb-22</a:t>
                </a:fld>
                <a:endParaRPr lang="en-PH" sz="1200" b="0">
                  <a:solidFill>
                    <a:schemeClr val="bg1"/>
                  </a:solidFill>
                </a:endParaRPr>
              </a:p>
            </xdr:txBody>
          </xdr:sp>
          <xdr:sp macro="" textlink="'Project Data'!B7">
            <xdr:nvSpPr>
              <xdr:cNvPr id="41" name="TextBox 40">
                <a:extLst>
                  <a:ext uri="{FF2B5EF4-FFF2-40B4-BE49-F238E27FC236}">
                    <a16:creationId xmlns:a16="http://schemas.microsoft.com/office/drawing/2014/main" id="{00000000-0008-0000-0100-000029000000}"/>
                  </a:ext>
                </a:extLst>
              </xdr:cNvPr>
              <xdr:cNvSpPr txBox="1"/>
            </xdr:nvSpPr>
            <xdr:spPr>
              <a:xfrm>
                <a:off x="6719164" y="1610415"/>
                <a:ext cx="679284" cy="210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fld id="{DFE577BE-907F-4BE3-A822-71CBC040DAF1}" type="TxLink">
                  <a:rPr lang="en-US" sz="1100" b="0" i="0" u="none" strike="noStrike" baseline="0">
                    <a:solidFill>
                      <a:schemeClr val="bg1"/>
                    </a:solidFill>
                    <a:latin typeface="Calibri"/>
                    <a:cs typeface="Calibri"/>
                  </a:rPr>
                  <a:pPr/>
                  <a:t>13-Feb-22</a:t>
                </a:fld>
                <a:endParaRPr lang="en-PH" sz="1200" b="0">
                  <a:solidFill>
                    <a:schemeClr val="bg1"/>
                  </a:solidFill>
                </a:endParaRPr>
              </a:p>
            </xdr:txBody>
          </xdr:sp>
          <xdr:sp macro="" textlink="daysSinceStart">
            <xdr:nvSpPr>
              <xdr:cNvPr id="42" name="TextBox 41">
                <a:extLst>
                  <a:ext uri="{FF2B5EF4-FFF2-40B4-BE49-F238E27FC236}">
                    <a16:creationId xmlns:a16="http://schemas.microsoft.com/office/drawing/2014/main" id="{00000000-0008-0000-0100-00002A000000}"/>
                  </a:ext>
                </a:extLst>
              </xdr:cNvPr>
              <xdr:cNvSpPr txBox="1"/>
            </xdr:nvSpPr>
            <xdr:spPr>
              <a:xfrm>
                <a:off x="6786891" y="1782632"/>
                <a:ext cx="650837" cy="22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fld id="{FC14471C-59C5-4B28-88FE-2822C0998446}" type="TxLink">
                  <a:rPr lang="en-US" sz="1200" b="1" i="0" u="none" strike="noStrike">
                    <a:solidFill>
                      <a:schemeClr val="bg1"/>
                    </a:solidFill>
                    <a:latin typeface="Calibri"/>
                    <a:cs typeface="Calibri"/>
                  </a:rPr>
                  <a:pPr algn="r"/>
                  <a:t>5</a:t>
                </a:fld>
                <a:endParaRPr lang="en-PH" sz="1400" b="1">
                  <a:solidFill>
                    <a:schemeClr val="bg1"/>
                  </a:solidFill>
                </a:endParaRPr>
              </a:p>
            </xdr:txBody>
          </xdr:sp>
        </xdr:grpSp>
      </xdr:grpSp>
      <xdr:grpSp>
        <xdr:nvGrpSpPr>
          <xdr:cNvPr id="54" name="Group 53">
            <a:extLst>
              <a:ext uri="{FF2B5EF4-FFF2-40B4-BE49-F238E27FC236}">
                <a16:creationId xmlns:a16="http://schemas.microsoft.com/office/drawing/2014/main" id="{00000000-0008-0000-0100-000036000000}"/>
              </a:ext>
            </a:extLst>
          </xdr:cNvPr>
          <xdr:cNvGrpSpPr/>
        </xdr:nvGrpSpPr>
        <xdr:grpSpPr>
          <a:xfrm>
            <a:off x="13041863" y="1717860"/>
            <a:ext cx="2917180" cy="2674052"/>
            <a:chOff x="13392748" y="1740525"/>
            <a:chExt cx="2915709" cy="2661596"/>
          </a:xfrm>
        </xdr:grpSpPr>
        <xdr:grpSp>
          <xdr:nvGrpSpPr>
            <xdr:cNvPr id="24" name="Group 23">
              <a:extLst>
                <a:ext uri="{FF2B5EF4-FFF2-40B4-BE49-F238E27FC236}">
                  <a16:creationId xmlns:a16="http://schemas.microsoft.com/office/drawing/2014/main" id="{00000000-0008-0000-0100-000018000000}"/>
                </a:ext>
              </a:extLst>
            </xdr:cNvPr>
            <xdr:cNvGrpSpPr/>
          </xdr:nvGrpSpPr>
          <xdr:grpSpPr>
            <a:xfrm>
              <a:off x="13485022" y="1740525"/>
              <a:ext cx="2823435" cy="2661596"/>
              <a:chOff x="7752790" y="908526"/>
              <a:chExt cx="2815590" cy="2686050"/>
            </a:xfrm>
          </xdr:grpSpPr>
          <xdr:grpSp>
            <xdr:nvGrpSpPr>
              <xdr:cNvPr id="30" name="Group 29">
                <a:extLst>
                  <a:ext uri="{FF2B5EF4-FFF2-40B4-BE49-F238E27FC236}">
                    <a16:creationId xmlns:a16="http://schemas.microsoft.com/office/drawing/2014/main" id="{00000000-0008-0000-0100-00001E000000}"/>
                  </a:ext>
                </a:extLst>
              </xdr:cNvPr>
              <xdr:cNvGrpSpPr/>
            </xdr:nvGrpSpPr>
            <xdr:grpSpPr>
              <a:xfrm>
                <a:off x="7752790" y="908526"/>
                <a:ext cx="2815590" cy="2686050"/>
                <a:chOff x="5227418" y="850251"/>
                <a:chExt cx="2232660" cy="3503653"/>
              </a:xfrm>
              <a:solidFill>
                <a:srgbClr val="000000">
                  <a:alpha val="30196"/>
                </a:srgbClr>
              </a:solidFill>
            </xdr:grpSpPr>
            <xdr:sp macro="" textlink="">
              <xdr:nvSpPr>
                <xdr:cNvPr id="28" name="Rectangle: Folded Corner 27">
                  <a:extLst>
                    <a:ext uri="{FF2B5EF4-FFF2-40B4-BE49-F238E27FC236}">
                      <a16:creationId xmlns:a16="http://schemas.microsoft.com/office/drawing/2014/main" id="{00000000-0008-0000-0100-00001C000000}"/>
                    </a:ext>
                  </a:extLst>
                </xdr:cNvPr>
                <xdr:cNvSpPr/>
              </xdr:nvSpPr>
              <xdr:spPr>
                <a:xfrm>
                  <a:off x="5227418" y="850251"/>
                  <a:ext cx="2232660" cy="3503653"/>
                </a:xfrm>
                <a:prstGeom prst="foldedCorner">
                  <a:avLst>
                    <a:gd name="adj" fmla="val 7137"/>
                  </a:avLst>
                </a:prstGeom>
                <a:solidFill>
                  <a:schemeClr val="tx2">
                    <a:lumMod val="75000"/>
                    <a:alpha val="47059"/>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5493622" y="860934"/>
                  <a:ext cx="963654" cy="4398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PH" sz="1600" b="1">
                      <a:solidFill>
                        <a:schemeClr val="tx2">
                          <a:lumMod val="20000"/>
                          <a:lumOff val="80000"/>
                        </a:schemeClr>
                      </a:solidFill>
                    </a:rPr>
                    <a:t>BUDGETING</a:t>
                  </a:r>
                </a:p>
              </xdr:txBody>
            </xdr:sp>
          </xdr:grpSp>
          <xdr:graphicFrame macro="">
            <xdr:nvGraphicFramePr>
              <xdr:cNvPr id="47" name="Chart 10">
                <a:extLst>
                  <a:ext uri="{FF2B5EF4-FFF2-40B4-BE49-F238E27FC236}">
                    <a16:creationId xmlns:a16="http://schemas.microsoft.com/office/drawing/2014/main" id="{00000000-0008-0000-0100-00002F000000}"/>
                  </a:ext>
                </a:extLst>
              </xdr:cNvPr>
              <xdr:cNvGraphicFramePr>
                <a:graphicFrameLocks/>
              </xdr:cNvGraphicFramePr>
            </xdr:nvGraphicFramePr>
            <xdr:xfrm>
              <a:off x="8654532" y="936937"/>
              <a:ext cx="1832311" cy="1394066"/>
            </xdr:xfrm>
            <a:graphic>
              <a:graphicData uri="http://schemas.openxmlformats.org/drawingml/2006/chart">
                <c:chart xmlns:c="http://schemas.openxmlformats.org/drawingml/2006/chart" xmlns:r="http://schemas.openxmlformats.org/officeDocument/2006/relationships" r:id="rId6"/>
              </a:graphicData>
            </a:graphic>
          </xdr:graphicFrame>
        </xdr:grpSp>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13570760" y="1869657"/>
              <a:ext cx="278524" cy="272430"/>
            </a:xfrm>
            <a:prstGeom prst="rect">
              <a:avLst/>
            </a:prstGeom>
          </xdr:spPr>
        </xdr:pic>
        <xdr:grpSp>
          <xdr:nvGrpSpPr>
            <xdr:cNvPr id="51" name="Group 50">
              <a:extLst>
                <a:ext uri="{FF2B5EF4-FFF2-40B4-BE49-F238E27FC236}">
                  <a16:creationId xmlns:a16="http://schemas.microsoft.com/office/drawing/2014/main" id="{00000000-0008-0000-0100-000033000000}"/>
                </a:ext>
              </a:extLst>
            </xdr:cNvPr>
            <xdr:cNvGrpSpPr/>
          </xdr:nvGrpSpPr>
          <xdr:grpSpPr>
            <a:xfrm>
              <a:off x="13652780" y="2477874"/>
              <a:ext cx="1187268" cy="593917"/>
              <a:chOff x="12847371" y="1928613"/>
              <a:chExt cx="1190731" cy="603571"/>
            </a:xfrm>
          </xdr:grpSpPr>
          <xdr:sp macro="" textlink="">
            <xdr:nvSpPr>
              <xdr:cNvPr id="62" name="TextBox 1">
                <a:extLst>
                  <a:ext uri="{FF2B5EF4-FFF2-40B4-BE49-F238E27FC236}">
                    <a16:creationId xmlns:a16="http://schemas.microsoft.com/office/drawing/2014/main" id="{00000000-0008-0000-0100-00003E000000}"/>
                  </a:ext>
                </a:extLst>
              </xdr:cNvPr>
              <xdr:cNvSpPr txBox="1"/>
            </xdr:nvSpPr>
            <xdr:spPr>
              <a:xfrm>
                <a:off x="12931991" y="1928613"/>
                <a:ext cx="1106111" cy="334596"/>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3600" b="1" i="0" u="none" strike="noStrike">
                    <a:solidFill>
                      <a:schemeClr val="bg1">
                        <a:lumMod val="95000"/>
                      </a:schemeClr>
                    </a:solidFill>
                    <a:latin typeface="Calibri"/>
                    <a:cs typeface="Calibri"/>
                  </a:rPr>
                  <a:t>20%</a:t>
                </a:r>
                <a:endParaRPr lang="en-AU" sz="8800" b="1">
                  <a:solidFill>
                    <a:schemeClr val="bg1">
                      <a:lumMod val="95000"/>
                    </a:schemeClr>
                  </a:solidFill>
                </a:endParaRPr>
              </a:p>
            </xdr:txBody>
          </xdr:sp>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12847371" y="2285999"/>
                <a:ext cx="1066800" cy="2461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PH" sz="1000" b="1">
                    <a:solidFill>
                      <a:schemeClr val="tx2">
                        <a:lumMod val="20000"/>
                        <a:lumOff val="80000"/>
                      </a:schemeClr>
                    </a:solidFill>
                  </a:rPr>
                  <a:t>of budget</a:t>
                </a:r>
                <a:r>
                  <a:rPr lang="en-PH" sz="1000" b="1" baseline="0">
                    <a:solidFill>
                      <a:schemeClr val="tx2">
                        <a:lumMod val="20000"/>
                        <a:lumOff val="80000"/>
                      </a:schemeClr>
                    </a:solidFill>
                  </a:rPr>
                  <a:t> is spent</a:t>
                </a:r>
                <a:endParaRPr lang="en-PH" sz="1000" b="1">
                  <a:solidFill>
                    <a:schemeClr val="tx2">
                      <a:lumMod val="20000"/>
                      <a:lumOff val="80000"/>
                    </a:schemeClr>
                  </a:solidFill>
                </a:endParaRPr>
              </a:p>
            </xdr:txBody>
          </xdr:sp>
        </xdr:grpSp>
        <xdr:sp macro="" textlink="'Project Data'!AB3">
          <xdr:nvSpPr>
            <xdr:cNvPr id="65" name="TextBox 1">
              <a:extLst>
                <a:ext uri="{FF2B5EF4-FFF2-40B4-BE49-F238E27FC236}">
                  <a16:creationId xmlns:a16="http://schemas.microsoft.com/office/drawing/2014/main" id="{00000000-0008-0000-0100-000041000000}"/>
                </a:ext>
              </a:extLst>
            </xdr:cNvPr>
            <xdr:cNvSpPr txBox="1"/>
          </xdr:nvSpPr>
          <xdr:spPr>
            <a:xfrm>
              <a:off x="13477401" y="3473914"/>
              <a:ext cx="2754660" cy="329768"/>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498068DE-E1B7-478E-B815-F8901AC41800}" type="TxLink">
                <a:rPr lang="en-US" sz="2400" b="1" i="0" u="none" strike="noStrike">
                  <a:solidFill>
                    <a:schemeClr val="accent4">
                      <a:lumMod val="75000"/>
                    </a:schemeClr>
                  </a:solidFill>
                  <a:latin typeface="Arial"/>
                  <a:cs typeface="Arial"/>
                </a:rPr>
                <a:pPr algn="ctr"/>
                <a:t> ₱4,000.00 </a:t>
              </a:fld>
              <a:endParaRPr lang="en-AU" sz="28700" b="1">
                <a:solidFill>
                  <a:schemeClr val="accent4">
                    <a:lumMod val="75000"/>
                  </a:schemeClr>
                </a:solidFill>
              </a:endParaRPr>
            </a:p>
          </xdr:txBody>
        </xdr:sp>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4136269" y="3783105"/>
              <a:ext cx="1376667" cy="199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PH" sz="900" b="1">
                  <a:solidFill>
                    <a:schemeClr val="tx2">
                      <a:lumMod val="20000"/>
                      <a:lumOff val="80000"/>
                    </a:schemeClr>
                  </a:solidFill>
                </a:rPr>
                <a:t>remaining out of allocated</a:t>
              </a:r>
            </a:p>
          </xdr:txBody>
        </xdr:sp>
        <xdr:sp macro="" textlink="'Project Data'!Z3">
          <xdr:nvSpPr>
            <xdr:cNvPr id="67" name="TextBox 1">
              <a:extLst>
                <a:ext uri="{FF2B5EF4-FFF2-40B4-BE49-F238E27FC236}">
                  <a16:creationId xmlns:a16="http://schemas.microsoft.com/office/drawing/2014/main" id="{00000000-0008-0000-0100-000043000000}"/>
                </a:ext>
              </a:extLst>
            </xdr:cNvPr>
            <xdr:cNvSpPr txBox="1"/>
          </xdr:nvSpPr>
          <xdr:spPr>
            <a:xfrm>
              <a:off x="13392748" y="3965922"/>
              <a:ext cx="2845788" cy="336006"/>
            </a:xfrm>
            <a:prstGeom prst="rect">
              <a:avLst/>
            </a:prstGeom>
            <a:ln>
              <a:noFill/>
            </a:ln>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7D7095E5-8F7B-4F95-97C5-D3B13297D9D8}" type="TxLink">
                <a:rPr lang="en-US" sz="1100" b="0" i="0" u="none" strike="noStrike">
                  <a:solidFill>
                    <a:schemeClr val="bg2">
                      <a:lumMod val="75000"/>
                    </a:schemeClr>
                  </a:solidFill>
                  <a:latin typeface="Arial"/>
                  <a:cs typeface="Arial"/>
                </a:rPr>
                <a:pPr algn="ctr"/>
                <a:t> ₱5,000.00 </a:t>
              </a:fld>
              <a:endParaRPr lang="en-AU" sz="13800" b="1">
                <a:solidFill>
                  <a:schemeClr val="bg2">
                    <a:lumMod val="75000"/>
                  </a:schemeClr>
                </a:solidFill>
              </a:endParaRPr>
            </a:p>
          </xdr:txBody>
        </xdr:sp>
      </xdr:grpSp>
      <xdr:grpSp>
        <xdr:nvGrpSpPr>
          <xdr:cNvPr id="96" name="Group 95">
            <a:extLst>
              <a:ext uri="{FF2B5EF4-FFF2-40B4-BE49-F238E27FC236}">
                <a16:creationId xmlns:a16="http://schemas.microsoft.com/office/drawing/2014/main" id="{00000000-0008-0000-0100-000060000000}"/>
              </a:ext>
            </a:extLst>
          </xdr:cNvPr>
          <xdr:cNvGrpSpPr/>
        </xdr:nvGrpSpPr>
        <xdr:grpSpPr>
          <a:xfrm>
            <a:off x="6420108" y="1734735"/>
            <a:ext cx="6582505" cy="2647849"/>
            <a:chOff x="5610470" y="1694603"/>
            <a:chExt cx="6577853" cy="2635350"/>
          </a:xfrm>
        </xdr:grpSpPr>
        <xdr:grpSp>
          <xdr:nvGrpSpPr>
            <xdr:cNvPr id="53" name="Group 52">
              <a:extLst>
                <a:ext uri="{FF2B5EF4-FFF2-40B4-BE49-F238E27FC236}">
                  <a16:creationId xmlns:a16="http://schemas.microsoft.com/office/drawing/2014/main" id="{00000000-0008-0000-0100-000035000000}"/>
                </a:ext>
              </a:extLst>
            </xdr:cNvPr>
            <xdr:cNvGrpSpPr/>
          </xdr:nvGrpSpPr>
          <xdr:grpSpPr>
            <a:xfrm>
              <a:off x="5610470" y="1694603"/>
              <a:ext cx="6577853" cy="2620784"/>
              <a:chOff x="7663388" y="1183614"/>
              <a:chExt cx="6577853" cy="2620784"/>
            </a:xfrm>
          </xdr:grpSpPr>
          <xdr:grpSp>
            <xdr:nvGrpSpPr>
              <xdr:cNvPr id="23" name="Group 22">
                <a:extLst>
                  <a:ext uri="{FF2B5EF4-FFF2-40B4-BE49-F238E27FC236}">
                    <a16:creationId xmlns:a16="http://schemas.microsoft.com/office/drawing/2014/main" id="{00000000-0008-0000-0100-000017000000}"/>
                  </a:ext>
                </a:extLst>
              </xdr:cNvPr>
              <xdr:cNvGrpSpPr/>
            </xdr:nvGrpSpPr>
            <xdr:grpSpPr>
              <a:xfrm>
                <a:off x="7663388" y="1183614"/>
                <a:ext cx="6577853" cy="2620784"/>
                <a:chOff x="2575167" y="3650234"/>
                <a:chExt cx="6574141" cy="2478153"/>
              </a:xfrm>
            </xdr:grpSpPr>
            <xdr:grpSp>
              <xdr:nvGrpSpPr>
                <xdr:cNvPr id="31" name="Group 30">
                  <a:extLst>
                    <a:ext uri="{FF2B5EF4-FFF2-40B4-BE49-F238E27FC236}">
                      <a16:creationId xmlns:a16="http://schemas.microsoft.com/office/drawing/2014/main" id="{00000000-0008-0000-0100-00001F000000}"/>
                    </a:ext>
                  </a:extLst>
                </xdr:cNvPr>
                <xdr:cNvGrpSpPr/>
              </xdr:nvGrpSpPr>
              <xdr:grpSpPr>
                <a:xfrm>
                  <a:off x="2582787" y="3650234"/>
                  <a:ext cx="6566521" cy="2478153"/>
                  <a:chOff x="5384338" y="826693"/>
                  <a:chExt cx="8558499" cy="2708988"/>
                </a:xfrm>
                <a:solidFill>
                  <a:schemeClr val="tx1">
                    <a:lumMod val="50000"/>
                    <a:lumOff val="50000"/>
                    <a:alpha val="14118"/>
                  </a:schemeClr>
                </a:solidFill>
              </xdr:grpSpPr>
              <xdr:sp macro="" textlink="">
                <xdr:nvSpPr>
                  <xdr:cNvPr id="32" name="Rectangle: Folded Corner 31">
                    <a:extLst>
                      <a:ext uri="{FF2B5EF4-FFF2-40B4-BE49-F238E27FC236}">
                        <a16:creationId xmlns:a16="http://schemas.microsoft.com/office/drawing/2014/main" id="{00000000-0008-0000-0100-000020000000}"/>
                      </a:ext>
                    </a:extLst>
                  </xdr:cNvPr>
                  <xdr:cNvSpPr/>
                </xdr:nvSpPr>
                <xdr:spPr>
                  <a:xfrm>
                    <a:off x="5384338" y="830580"/>
                    <a:ext cx="8558499" cy="2705101"/>
                  </a:xfrm>
                  <a:prstGeom prst="foldedCorner">
                    <a:avLst>
                      <a:gd name="adj" fmla="val 9831"/>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5911034" y="826693"/>
                    <a:ext cx="3008179" cy="354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PH" sz="1600" b="1">
                        <a:solidFill>
                          <a:schemeClr val="tx2">
                            <a:lumMod val="20000"/>
                            <a:lumOff val="80000"/>
                          </a:schemeClr>
                        </a:solidFill>
                      </a:rPr>
                      <a:t>PROJECT HEALTH</a:t>
                    </a:r>
                  </a:p>
                </xdr:txBody>
              </xdr:sp>
            </xdr:grpSp>
            <xdr:grpSp>
              <xdr:nvGrpSpPr>
                <xdr:cNvPr id="16" name="Group 15">
                  <a:extLst>
                    <a:ext uri="{FF2B5EF4-FFF2-40B4-BE49-F238E27FC236}">
                      <a16:creationId xmlns:a16="http://schemas.microsoft.com/office/drawing/2014/main" id="{00000000-0008-0000-0100-000010000000}"/>
                    </a:ext>
                  </a:extLst>
                </xdr:cNvPr>
                <xdr:cNvGrpSpPr/>
              </xdr:nvGrpSpPr>
              <xdr:grpSpPr>
                <a:xfrm>
                  <a:off x="2575167" y="4069080"/>
                  <a:ext cx="1752600" cy="1935650"/>
                  <a:chOff x="2728791" y="4168140"/>
                  <a:chExt cx="2423160" cy="1956605"/>
                </a:xfrm>
              </xdr:grpSpPr>
              <xdr:grpSp>
                <xdr:nvGrpSpPr>
                  <xdr:cNvPr id="2" name="Group 1">
                    <a:extLst>
                      <a:ext uri="{FF2B5EF4-FFF2-40B4-BE49-F238E27FC236}">
                        <a16:creationId xmlns:a16="http://schemas.microsoft.com/office/drawing/2014/main" id="{00000000-0008-0000-0100-000002000000}"/>
                      </a:ext>
                    </a:extLst>
                  </xdr:cNvPr>
                  <xdr:cNvGrpSpPr/>
                </xdr:nvGrpSpPr>
                <xdr:grpSpPr>
                  <a:xfrm>
                    <a:off x="2728791" y="4168140"/>
                    <a:ext cx="2423160" cy="1710000"/>
                    <a:chOff x="2584011" y="3970020"/>
                    <a:chExt cx="2423160" cy="1710000"/>
                  </a:xfrm>
                </xdr:grpSpPr>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2584011" y="3970020"/>
                    <a:ext cx="2423160" cy="1710000"/>
                  </xdr:xfrm>
                  <a:graphic>
                    <a:graphicData uri="http://schemas.openxmlformats.org/drawingml/2006/chart">
                      <c:chart xmlns:c="http://schemas.openxmlformats.org/drawingml/2006/chart" xmlns:r="http://schemas.openxmlformats.org/officeDocument/2006/relationships" r:id="rId8"/>
                    </a:graphicData>
                  </a:graphic>
                </xdr:graphicFrame>
                <xdr:sp macro="" textlink="'Project Data'!AH3">
                  <xdr:nvSpPr>
                    <xdr:cNvPr id="57" name="TextBox 56">
                      <a:extLst>
                        <a:ext uri="{FF2B5EF4-FFF2-40B4-BE49-F238E27FC236}">
                          <a16:creationId xmlns:a16="http://schemas.microsoft.com/office/drawing/2014/main" id="{00000000-0008-0000-0100-000039000000}"/>
                        </a:ext>
                      </a:extLst>
                    </xdr:cNvPr>
                    <xdr:cNvSpPr txBox="1"/>
                  </xdr:nvSpPr>
                  <xdr:spPr>
                    <a:xfrm>
                      <a:off x="3525081" y="469548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1ACABEB7-8D33-4950-93FC-A17EB2A3B39E}" type="TxLink">
                        <a:rPr lang="en-US" sz="1800" b="1" i="0" u="none" strike="noStrike" cap="none" spc="50">
                          <a:ln w="9525" cmpd="sng">
                            <a:solidFill>
                              <a:schemeClr val="accent2"/>
                            </a:solidFill>
                            <a:prstDash val="solid"/>
                          </a:ln>
                          <a:solidFill>
                            <a:srgbClr val="70AD47">
                              <a:tint val="1000"/>
                            </a:srgbClr>
                          </a:solidFill>
                          <a:effectLst>
                            <a:glow rad="38100">
                              <a:schemeClr val="accent1">
                                <a:alpha val="40000"/>
                              </a:schemeClr>
                            </a:glow>
                          </a:effectLst>
                          <a:latin typeface="Calibri"/>
                          <a:cs typeface="Calibri"/>
                        </a:rPr>
                        <a:pPr algn="ctr"/>
                        <a:t>15</a:t>
                      </a:fld>
                      <a:endParaRPr lang="en-PH" sz="1800" b="1" cap="none" spc="50">
                        <a:ln w="9525" cmpd="sng">
                          <a:solidFill>
                            <a:schemeClr val="accent2"/>
                          </a:solidFill>
                          <a:prstDash val="solid"/>
                        </a:ln>
                        <a:solidFill>
                          <a:srgbClr val="70AD47">
                            <a:tint val="1000"/>
                          </a:srgbClr>
                        </a:solidFill>
                        <a:effectLst>
                          <a:glow rad="38100">
                            <a:schemeClr val="accent1">
                              <a:alpha val="40000"/>
                            </a:schemeClr>
                          </a:glow>
                        </a:effectLst>
                      </a:endParaRPr>
                    </a:p>
                  </xdr:txBody>
                </xdr:sp>
              </xdr:grpSp>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3602298" y="5844540"/>
                    <a:ext cx="67614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RISKS</a:t>
                    </a:r>
                  </a:p>
                </xdr:txBody>
              </xdr:sp>
            </xdr:grpSp>
            <xdr:grpSp>
              <xdr:nvGrpSpPr>
                <xdr:cNvPr id="15" name="Group 14">
                  <a:extLst>
                    <a:ext uri="{FF2B5EF4-FFF2-40B4-BE49-F238E27FC236}">
                      <a16:creationId xmlns:a16="http://schemas.microsoft.com/office/drawing/2014/main" id="{00000000-0008-0000-0100-00000F000000}"/>
                    </a:ext>
                  </a:extLst>
                </xdr:cNvPr>
                <xdr:cNvGrpSpPr/>
              </xdr:nvGrpSpPr>
              <xdr:grpSpPr>
                <a:xfrm>
                  <a:off x="4102977" y="4069080"/>
                  <a:ext cx="1746886" cy="1935650"/>
                  <a:chOff x="5341537" y="4168140"/>
                  <a:chExt cx="2232660" cy="1956605"/>
                </a:xfrm>
              </xdr:grpSpPr>
              <xdr:grpSp>
                <xdr:nvGrpSpPr>
                  <xdr:cNvPr id="6" name="Group 5">
                    <a:extLst>
                      <a:ext uri="{FF2B5EF4-FFF2-40B4-BE49-F238E27FC236}">
                        <a16:creationId xmlns:a16="http://schemas.microsoft.com/office/drawing/2014/main" id="{00000000-0008-0000-0100-000006000000}"/>
                      </a:ext>
                    </a:extLst>
                  </xdr:cNvPr>
                  <xdr:cNvGrpSpPr/>
                </xdr:nvGrpSpPr>
                <xdr:grpSpPr>
                  <a:xfrm>
                    <a:off x="5341537" y="4168140"/>
                    <a:ext cx="2232660" cy="1710000"/>
                    <a:chOff x="4911008" y="4076700"/>
                    <a:chExt cx="2232660" cy="1710000"/>
                  </a:xfrm>
                </xdr:grpSpPr>
                <xdr:graphicFrame macro="">
                  <xdr:nvGraphicFramePr>
                    <xdr:cNvPr id="55" name="Chart 54">
                      <a:extLst>
                        <a:ext uri="{FF2B5EF4-FFF2-40B4-BE49-F238E27FC236}">
                          <a16:creationId xmlns:a16="http://schemas.microsoft.com/office/drawing/2014/main" id="{00000000-0008-0000-0100-000037000000}"/>
                        </a:ext>
                      </a:extLst>
                    </xdr:cNvPr>
                    <xdr:cNvGraphicFramePr>
                      <a:graphicFrameLocks/>
                    </xdr:cNvGraphicFramePr>
                  </xdr:nvGraphicFramePr>
                  <xdr:xfrm>
                    <a:off x="4911008" y="4076700"/>
                    <a:ext cx="2232660" cy="1710000"/>
                  </xdr:xfrm>
                  <a:graphic>
                    <a:graphicData uri="http://schemas.openxmlformats.org/drawingml/2006/chart">
                      <c:chart xmlns:c="http://schemas.openxmlformats.org/drawingml/2006/chart" xmlns:r="http://schemas.openxmlformats.org/officeDocument/2006/relationships" r:id="rId9"/>
                    </a:graphicData>
                  </a:graphic>
                </xdr:graphicFrame>
                <xdr:sp macro="" textlink="'Project Data'!AH4">
                  <xdr:nvSpPr>
                    <xdr:cNvPr id="58" name="TextBox 57">
                      <a:extLst>
                        <a:ext uri="{FF2B5EF4-FFF2-40B4-BE49-F238E27FC236}">
                          <a16:creationId xmlns:a16="http://schemas.microsoft.com/office/drawing/2014/main" id="{00000000-0008-0000-0100-00003A000000}"/>
                        </a:ext>
                      </a:extLst>
                    </xdr:cNvPr>
                    <xdr:cNvSpPr txBox="1"/>
                  </xdr:nvSpPr>
                  <xdr:spPr>
                    <a:xfrm>
                      <a:off x="5756826" y="480216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3771B528-88EC-4EE0-A2F8-3FFCD2F92E6D}" type="TxLink">
                        <a:rPr lang="en-US" sz="1800" b="1" i="0" u="none" strike="noStrike" cap="none" spc="0">
                          <a:ln w="6600">
                            <a:solidFill>
                              <a:schemeClr val="accent4"/>
                            </a:solidFill>
                            <a:prstDash val="solid"/>
                          </a:ln>
                          <a:solidFill>
                            <a:srgbClr val="FFFFFF"/>
                          </a:solidFill>
                          <a:effectLst>
                            <a:outerShdw dist="38100" dir="2700000" algn="tl" rotWithShape="0">
                              <a:schemeClr val="accent2"/>
                            </a:outerShdw>
                          </a:effectLst>
                          <a:latin typeface="Calibri"/>
                          <a:cs typeface="Calibri"/>
                        </a:rPr>
                        <a:pPr algn="ctr"/>
                        <a:t>234</a:t>
                      </a:fld>
                      <a:endParaRPr lang="en-PH" sz="1800" b="1" cap="none" spc="0">
                        <a:ln w="6600">
                          <a:solidFill>
                            <a:schemeClr val="accent4"/>
                          </a:solidFill>
                          <a:prstDash val="solid"/>
                        </a:ln>
                        <a:solidFill>
                          <a:srgbClr val="FFFFFF"/>
                        </a:solidFill>
                        <a:effectLst>
                          <a:outerShdw dist="38100" dir="2700000" algn="tl" rotWithShape="0">
                            <a:schemeClr val="accent2"/>
                          </a:outerShdw>
                        </a:effectLst>
                      </a:endParaRPr>
                    </a:p>
                  </xdr:txBody>
                </xdr:sp>
              </xdr:grp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6119793" y="5844540"/>
                    <a:ext cx="67614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ISSUES</a:t>
                    </a:r>
                  </a:p>
                </xdr:txBody>
              </xdr:sp>
            </xdr:grpSp>
            <xdr:grpSp>
              <xdr:nvGrpSpPr>
                <xdr:cNvPr id="13" name="Group 12">
                  <a:extLst>
                    <a:ext uri="{FF2B5EF4-FFF2-40B4-BE49-F238E27FC236}">
                      <a16:creationId xmlns:a16="http://schemas.microsoft.com/office/drawing/2014/main" id="{00000000-0008-0000-0100-00000D000000}"/>
                    </a:ext>
                  </a:extLst>
                </xdr:cNvPr>
                <xdr:cNvGrpSpPr/>
              </xdr:nvGrpSpPr>
              <xdr:grpSpPr>
                <a:xfrm>
                  <a:off x="5325987" y="4069080"/>
                  <a:ext cx="2209800" cy="1935650"/>
                  <a:chOff x="7525936" y="4168140"/>
                  <a:chExt cx="2232660" cy="1956605"/>
                </a:xfrm>
              </xdr:grpSpPr>
              <xdr:grpSp>
                <xdr:nvGrpSpPr>
                  <xdr:cNvPr id="12" name="Group 11">
                    <a:extLst>
                      <a:ext uri="{FF2B5EF4-FFF2-40B4-BE49-F238E27FC236}">
                        <a16:creationId xmlns:a16="http://schemas.microsoft.com/office/drawing/2014/main" id="{00000000-0008-0000-0100-00000C000000}"/>
                      </a:ext>
                    </a:extLst>
                  </xdr:cNvPr>
                  <xdr:cNvGrpSpPr/>
                </xdr:nvGrpSpPr>
                <xdr:grpSpPr>
                  <a:xfrm>
                    <a:off x="7525936" y="4168140"/>
                    <a:ext cx="2232660" cy="1710000"/>
                    <a:chOff x="6878236" y="3947160"/>
                    <a:chExt cx="2232660" cy="1710000"/>
                  </a:xfrm>
                </xdr:grpSpPr>
                <xdr:graphicFrame macro="">
                  <xdr:nvGraphicFramePr>
                    <xdr:cNvPr id="56" name="Chart 55">
                      <a:extLst>
                        <a:ext uri="{FF2B5EF4-FFF2-40B4-BE49-F238E27FC236}">
                          <a16:creationId xmlns:a16="http://schemas.microsoft.com/office/drawing/2014/main" id="{00000000-0008-0000-0100-000038000000}"/>
                        </a:ext>
                      </a:extLst>
                    </xdr:cNvPr>
                    <xdr:cNvGraphicFramePr>
                      <a:graphicFrameLocks/>
                    </xdr:cNvGraphicFramePr>
                  </xdr:nvGraphicFramePr>
                  <xdr:xfrm>
                    <a:off x="6878236" y="3947160"/>
                    <a:ext cx="2232660" cy="1710000"/>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59" name="TextBox 56">
                      <a:extLst>
                        <a:ext uri="{FF2B5EF4-FFF2-40B4-BE49-F238E27FC236}">
                          <a16:creationId xmlns:a16="http://schemas.microsoft.com/office/drawing/2014/main" id="{00000000-0008-0000-0100-00003B000000}"/>
                        </a:ext>
                      </a:extLst>
                    </xdr:cNvPr>
                    <xdr:cNvSpPr txBox="1"/>
                  </xdr:nvSpPr>
                  <xdr:spPr>
                    <a:xfrm>
                      <a:off x="7724055" y="4672620"/>
                      <a:ext cx="541020" cy="25908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800" b="1" i="0" u="none" strike="noStrike" cap="none" spc="0">
                          <a:ln w="6350">
                            <a:solidFill>
                              <a:schemeClr val="accent6"/>
                            </a:solidFill>
                            <a:prstDash val="solid"/>
                          </a:ln>
                          <a:solidFill>
                            <a:schemeClr val="bg1"/>
                          </a:solidFill>
                          <a:effectLst/>
                          <a:latin typeface="Calibri"/>
                          <a:cs typeface="Calibri"/>
                        </a:rPr>
                        <a:t>255</a:t>
                      </a:r>
                      <a:endParaRPr lang="en-PH" sz="1800" b="1" cap="none" spc="0">
                        <a:ln w="6350">
                          <a:solidFill>
                            <a:schemeClr val="accent6"/>
                          </a:solidFill>
                          <a:prstDash val="solid"/>
                        </a:ln>
                        <a:solidFill>
                          <a:schemeClr val="bg1"/>
                        </a:solidFill>
                        <a:effectLst/>
                      </a:endParaRPr>
                    </a:p>
                  </xdr:txBody>
                </xdr:sp>
              </xdr:grpSp>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8088625" y="5844540"/>
                    <a:ext cx="10232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PH" sz="1200" b="1">
                        <a:solidFill>
                          <a:schemeClr val="tx2">
                            <a:lumMod val="20000"/>
                            <a:lumOff val="80000"/>
                          </a:schemeClr>
                        </a:solidFill>
                      </a:rPr>
                      <a:t>ACTION ITEMS</a:t>
                    </a:r>
                  </a:p>
                </xdr:txBody>
              </xdr:sp>
            </xdr:grpSp>
          </xdr:grpSp>
          <xdr:pic>
            <xdr:nvPicPr>
              <xdr:cNvPr id="69" name="Picture 68" descr="Free Icon | Health care">
                <a:extLst>
                  <a:ext uri="{FF2B5EF4-FFF2-40B4-BE49-F238E27FC236}">
                    <a16:creationId xmlns:a16="http://schemas.microsoft.com/office/drawing/2014/main" id="{00000000-0008-0000-0100-000045000000}"/>
                  </a:ext>
                </a:extLst>
              </xdr:cNvPr>
              <xdr:cNvPicPr>
                <a:picLocks noChangeAspect="1" noChangeArrowheads="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rcRect/>
              <a:stretch>
                <a:fillRect/>
              </a:stretch>
            </xdr:blipFill>
            <xdr:spPr bwMode="auto">
              <a:xfrm>
                <a:off x="7786652" y="1269506"/>
                <a:ext cx="277906" cy="272542"/>
              </a:xfrm>
              <a:prstGeom prst="rect">
                <a:avLst/>
              </a:prstGeom>
              <a:noFill/>
              <a:extLst>
                <a:ext uri="{909E8E84-426E-40DD-AFC4-6F175D3DCCD1}">
                  <a14:hiddenFill xmlns:a14="http://schemas.microsoft.com/office/drawing/2010/main">
                    <a:solidFill>
                      <a:srgbClr val="FFFFFF"/>
                    </a:solidFill>
                  </a14:hiddenFill>
                </a:ext>
              </a:extLst>
            </xdr:spPr>
          </xdr:pic>
        </xdr:grpSp>
        <xdr:graphicFrame macro="">
          <xdr:nvGraphicFramePr>
            <xdr:cNvPr id="90" name="Chart 89">
              <a:extLst>
                <a:ext uri="{FF2B5EF4-FFF2-40B4-BE49-F238E27FC236}">
                  <a16:creationId xmlns:a16="http://schemas.microsoft.com/office/drawing/2014/main" id="{00000000-0008-0000-0100-00005A000000}"/>
                </a:ext>
              </a:extLst>
            </xdr:cNvPr>
            <xdr:cNvGraphicFramePr>
              <a:graphicFrameLocks/>
            </xdr:cNvGraphicFramePr>
          </xdr:nvGraphicFramePr>
          <xdr:xfrm>
            <a:off x="10610495" y="1712259"/>
            <a:ext cx="1550894" cy="2617694"/>
          </xdr:xfrm>
          <a:graphic>
            <a:graphicData uri="http://schemas.openxmlformats.org/drawingml/2006/chart">
              <c:chart xmlns:c="http://schemas.openxmlformats.org/drawingml/2006/chart" xmlns:r="http://schemas.openxmlformats.org/officeDocument/2006/relationships" r:id="rId12"/>
            </a:graphicData>
          </a:graphic>
        </xdr:graphicFrame>
        <xdr:cxnSp macro="">
          <xdr:nvCxnSpPr>
            <xdr:cNvPr id="95" name="Straight Connector 94">
              <a:extLst>
                <a:ext uri="{FF2B5EF4-FFF2-40B4-BE49-F238E27FC236}">
                  <a16:creationId xmlns:a16="http://schemas.microsoft.com/office/drawing/2014/main" id="{00000000-0008-0000-0100-00005F000000}"/>
                </a:ext>
              </a:extLst>
            </xdr:cNvPr>
            <xdr:cNvCxnSpPr/>
          </xdr:nvCxnSpPr>
          <xdr:spPr>
            <a:xfrm>
              <a:off x="10269877" y="1855694"/>
              <a:ext cx="0" cy="2339788"/>
            </a:xfrm>
            <a:prstGeom prst="line">
              <a:avLst/>
            </a:prstGeom>
            <a:ln>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105" name="Group 104">
            <a:extLst>
              <a:ext uri="{FF2B5EF4-FFF2-40B4-BE49-F238E27FC236}">
                <a16:creationId xmlns:a16="http://schemas.microsoft.com/office/drawing/2014/main" id="{00000000-0008-0000-0100-000069000000}"/>
              </a:ext>
            </a:extLst>
          </xdr:cNvPr>
          <xdr:cNvGrpSpPr/>
        </xdr:nvGrpSpPr>
        <xdr:grpSpPr>
          <a:xfrm>
            <a:off x="1114650" y="4505567"/>
            <a:ext cx="7490568" cy="2674511"/>
            <a:chOff x="13474860" y="1740525"/>
            <a:chExt cx="7503753" cy="2661596"/>
          </a:xfrm>
        </xdr:grpSpPr>
        <xdr:grpSp>
          <xdr:nvGrpSpPr>
            <xdr:cNvPr id="106" name="Group 105">
              <a:extLst>
                <a:ext uri="{FF2B5EF4-FFF2-40B4-BE49-F238E27FC236}">
                  <a16:creationId xmlns:a16="http://schemas.microsoft.com/office/drawing/2014/main" id="{00000000-0008-0000-0100-00006A000000}"/>
                </a:ext>
              </a:extLst>
            </xdr:cNvPr>
            <xdr:cNvGrpSpPr/>
          </xdr:nvGrpSpPr>
          <xdr:grpSpPr>
            <a:xfrm>
              <a:off x="13474860" y="1740525"/>
              <a:ext cx="7503753" cy="2661596"/>
              <a:chOff x="7742655" y="908526"/>
              <a:chExt cx="7482903" cy="2686050"/>
            </a:xfrm>
          </xdr:grpSpPr>
          <xdr:grpSp>
            <xdr:nvGrpSpPr>
              <xdr:cNvPr id="114" name="Group 113">
                <a:extLst>
                  <a:ext uri="{FF2B5EF4-FFF2-40B4-BE49-F238E27FC236}">
                    <a16:creationId xmlns:a16="http://schemas.microsoft.com/office/drawing/2014/main" id="{00000000-0008-0000-0100-000072000000}"/>
                  </a:ext>
                </a:extLst>
              </xdr:cNvPr>
              <xdr:cNvGrpSpPr/>
            </xdr:nvGrpSpPr>
            <xdr:grpSpPr>
              <a:xfrm>
                <a:off x="7742655" y="908526"/>
                <a:ext cx="7482903" cy="2686050"/>
                <a:chOff x="5219381" y="850251"/>
                <a:chExt cx="5933669" cy="3503653"/>
              </a:xfrm>
              <a:solidFill>
                <a:srgbClr val="000000">
                  <a:alpha val="30196"/>
                </a:srgbClr>
              </a:solidFill>
            </xdr:grpSpPr>
            <xdr:sp macro="" textlink="">
              <xdr:nvSpPr>
                <xdr:cNvPr id="116" name="Rectangle: Folded Corner 115">
                  <a:extLst>
                    <a:ext uri="{FF2B5EF4-FFF2-40B4-BE49-F238E27FC236}">
                      <a16:creationId xmlns:a16="http://schemas.microsoft.com/office/drawing/2014/main" id="{00000000-0008-0000-0100-000074000000}"/>
                    </a:ext>
                  </a:extLst>
                </xdr:cNvPr>
                <xdr:cNvSpPr/>
              </xdr:nvSpPr>
              <xdr:spPr>
                <a:xfrm>
                  <a:off x="5219381" y="850251"/>
                  <a:ext cx="5933669" cy="3503653"/>
                </a:xfrm>
                <a:prstGeom prst="foldedCorner">
                  <a:avLst>
                    <a:gd name="adj" fmla="val 7137"/>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17" name="TextBox 116">
                  <a:extLst>
                    <a:ext uri="{FF2B5EF4-FFF2-40B4-BE49-F238E27FC236}">
                      <a16:creationId xmlns:a16="http://schemas.microsoft.com/office/drawing/2014/main" id="{00000000-0008-0000-0100-000075000000}"/>
                    </a:ext>
                  </a:extLst>
                </xdr:cNvPr>
                <xdr:cNvSpPr txBox="1"/>
              </xdr:nvSpPr>
              <xdr:spPr>
                <a:xfrm>
                  <a:off x="5535299" y="854317"/>
                  <a:ext cx="1580607" cy="451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PH" sz="1600" b="1">
                      <a:solidFill>
                        <a:schemeClr val="tx2">
                          <a:lumMod val="20000"/>
                          <a:lumOff val="80000"/>
                        </a:schemeClr>
                      </a:solidFill>
                    </a:rPr>
                    <a:t>PLANNED</a:t>
                  </a:r>
                  <a:r>
                    <a:rPr lang="en-PH" sz="1600" b="1" baseline="0">
                      <a:solidFill>
                        <a:schemeClr val="tx2">
                          <a:lumMod val="20000"/>
                          <a:lumOff val="80000"/>
                        </a:schemeClr>
                      </a:solidFill>
                    </a:rPr>
                    <a:t> VS ACTUAL</a:t>
                  </a:r>
                  <a:endParaRPr lang="en-PH" sz="1600" b="1">
                    <a:solidFill>
                      <a:schemeClr val="tx2">
                        <a:lumMod val="20000"/>
                        <a:lumOff val="80000"/>
                      </a:schemeClr>
                    </a:solidFill>
                  </a:endParaRPr>
                </a:p>
              </xdr:txBody>
            </xdr:sp>
          </xdr:grpSp>
          <xdr:graphicFrame macro="">
            <xdr:nvGraphicFramePr>
              <xdr:cNvPr id="115" name="Chart 10">
                <a:extLst>
                  <a:ext uri="{FF2B5EF4-FFF2-40B4-BE49-F238E27FC236}">
                    <a16:creationId xmlns:a16="http://schemas.microsoft.com/office/drawing/2014/main" id="{00000000-0008-0000-0100-000073000000}"/>
                  </a:ext>
                </a:extLst>
              </xdr:cNvPr>
              <xdr:cNvGraphicFramePr>
                <a:graphicFrameLocks/>
              </xdr:cNvGraphicFramePr>
            </xdr:nvGraphicFramePr>
            <xdr:xfrm>
              <a:off x="8329261" y="936937"/>
              <a:ext cx="1832311" cy="1394066"/>
            </xdr:xfrm>
            <a:graphic>
              <a:graphicData uri="http://schemas.openxmlformats.org/drawingml/2006/chart">
                <c:chart xmlns:c="http://schemas.openxmlformats.org/drawingml/2006/chart" xmlns:r="http://schemas.openxmlformats.org/officeDocument/2006/relationships" r:id="rId13"/>
              </a:graphicData>
            </a:graphic>
          </xdr:graphicFrame>
        </xdr:grpSp>
        <xdr:pic>
          <xdr:nvPicPr>
            <xdr:cNvPr id="107" name="Picture 106">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13596523" y="1857241"/>
              <a:ext cx="278524" cy="272430"/>
            </a:xfrm>
            <a:prstGeom prst="rect">
              <a:avLst/>
            </a:prstGeom>
          </xdr:spPr>
        </xdr:pic>
      </xdr:grpSp>
    </xdr:grpSp>
    <xdr:clientData/>
  </xdr:twoCellAnchor>
  <xdr:twoCellAnchor>
    <xdr:from>
      <xdr:col>0</xdr:col>
      <xdr:colOff>-1</xdr:colOff>
      <xdr:row>6</xdr:row>
      <xdr:rowOff>5176</xdr:rowOff>
    </xdr:from>
    <xdr:to>
      <xdr:col>1</xdr:col>
      <xdr:colOff>198312</xdr:colOff>
      <xdr:row>32</xdr:row>
      <xdr:rowOff>170381</xdr:rowOff>
    </xdr:to>
    <xdr:sp macro="" textlink="">
      <xdr:nvSpPr>
        <xdr:cNvPr id="101" name="Rectangle: Top Corners Rounded 100">
          <a:extLst>
            <a:ext uri="{FF2B5EF4-FFF2-40B4-BE49-F238E27FC236}">
              <a16:creationId xmlns:a16="http://schemas.microsoft.com/office/drawing/2014/main" id="{00000000-0008-0000-0100-000065000000}"/>
            </a:ext>
          </a:extLst>
        </xdr:cNvPr>
        <xdr:cNvSpPr/>
      </xdr:nvSpPr>
      <xdr:spPr>
        <a:xfrm rot="5400000">
          <a:off x="-2056087" y="3699562"/>
          <a:ext cx="4920085" cy="807913"/>
        </a:xfrm>
        <a:prstGeom prst="round2SameRect">
          <a:avLst/>
        </a:prstGeom>
        <a:solidFill>
          <a:srgbClr val="FFFFFF">
            <a:alpha val="10196"/>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4770</xdr:colOff>
      <xdr:row>12</xdr:row>
      <xdr:rowOff>66631</xdr:rowOff>
    </xdr:from>
    <xdr:to>
      <xdr:col>1</xdr:col>
      <xdr:colOff>200713</xdr:colOff>
      <xdr:row>17</xdr:row>
      <xdr:rowOff>55745</xdr:rowOff>
    </xdr:to>
    <xdr:sp macro="" textlink="">
      <xdr:nvSpPr>
        <xdr:cNvPr id="99" name="summaryShade">
          <a:extLst>
            <a:ext uri="{FF2B5EF4-FFF2-40B4-BE49-F238E27FC236}">
              <a16:creationId xmlns:a16="http://schemas.microsoft.com/office/drawing/2014/main" id="{00000000-0008-0000-0100-000063000000}"/>
            </a:ext>
          </a:extLst>
        </xdr:cNvPr>
        <xdr:cNvSpPr/>
      </xdr:nvSpPr>
      <xdr:spPr>
        <a:xfrm>
          <a:off x="4770" y="2765007"/>
          <a:ext cx="805543" cy="885585"/>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17</xdr:row>
      <xdr:rowOff>84424</xdr:rowOff>
    </xdr:from>
    <xdr:to>
      <xdr:col>1</xdr:col>
      <xdr:colOff>195943</xdr:colOff>
      <xdr:row>22</xdr:row>
      <xdr:rowOff>73538</xdr:rowOff>
    </xdr:to>
    <xdr:sp macro="" textlink="">
      <xdr:nvSpPr>
        <xdr:cNvPr id="103" name="timelineShade" hidden="1">
          <a:extLst>
            <a:ext uri="{FF2B5EF4-FFF2-40B4-BE49-F238E27FC236}">
              <a16:creationId xmlns:a16="http://schemas.microsoft.com/office/drawing/2014/main" id="{00000000-0008-0000-0100-000067000000}"/>
            </a:ext>
          </a:extLst>
        </xdr:cNvPr>
        <xdr:cNvSpPr/>
      </xdr:nvSpPr>
      <xdr:spPr>
        <a:xfrm>
          <a:off x="0" y="3775154"/>
          <a:ext cx="805543" cy="916767"/>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12</xdr:col>
      <xdr:colOff>911694</xdr:colOff>
      <xdr:row>0</xdr:row>
      <xdr:rowOff>213588</xdr:rowOff>
    </xdr:from>
    <xdr:to>
      <xdr:col>16</xdr:col>
      <xdr:colOff>1509059</xdr:colOff>
      <xdr:row>1</xdr:row>
      <xdr:rowOff>132906</xdr:rowOff>
    </xdr:to>
    <xdr:grpSp>
      <xdr:nvGrpSpPr>
        <xdr:cNvPr id="43" name="Group 42">
          <a:extLst>
            <a:ext uri="{FF2B5EF4-FFF2-40B4-BE49-F238E27FC236}">
              <a16:creationId xmlns:a16="http://schemas.microsoft.com/office/drawing/2014/main" id="{00000000-0008-0000-0100-00002B000000}"/>
            </a:ext>
          </a:extLst>
        </xdr:cNvPr>
        <xdr:cNvGrpSpPr/>
      </xdr:nvGrpSpPr>
      <xdr:grpSpPr>
        <a:xfrm>
          <a:off x="12467200" y="213588"/>
          <a:ext cx="3457106" cy="340659"/>
          <a:chOff x="12318558" y="259975"/>
          <a:chExt cx="3457031" cy="340659"/>
        </a:xfrm>
      </xdr:grpSpPr>
      <xdr:grpSp>
        <xdr:nvGrpSpPr>
          <xdr:cNvPr id="36" name="Group 35">
            <a:extLst>
              <a:ext uri="{FF2B5EF4-FFF2-40B4-BE49-F238E27FC236}">
                <a16:creationId xmlns:a16="http://schemas.microsoft.com/office/drawing/2014/main" id="{00000000-0008-0000-0100-000024000000}"/>
              </a:ext>
            </a:extLst>
          </xdr:cNvPr>
          <xdr:cNvGrpSpPr/>
        </xdr:nvGrpSpPr>
        <xdr:grpSpPr>
          <a:xfrm>
            <a:off x="12318558" y="259975"/>
            <a:ext cx="3064890" cy="340659"/>
            <a:chOff x="9537726" y="331694"/>
            <a:chExt cx="2869424" cy="403412"/>
          </a:xfrm>
        </xdr:grpSpPr>
        <xdr:sp macro="" textlink="">
          <xdr:nvSpPr>
            <xdr:cNvPr id="34" name="Rectangle: Rounded Corners 33">
              <a:extLst>
                <a:ext uri="{FF2B5EF4-FFF2-40B4-BE49-F238E27FC236}">
                  <a16:creationId xmlns:a16="http://schemas.microsoft.com/office/drawing/2014/main" id="{00000000-0008-0000-0100-000022000000}"/>
                </a:ext>
              </a:extLst>
            </xdr:cNvPr>
            <xdr:cNvSpPr/>
          </xdr:nvSpPr>
          <xdr:spPr>
            <a:xfrm>
              <a:off x="10812484" y="331694"/>
              <a:ext cx="1594666" cy="403412"/>
            </a:xfrm>
            <a:prstGeom prst="roundRect">
              <a:avLst>
                <a:gd name="adj" fmla="val 31579"/>
              </a:avLst>
            </a:prstGeom>
            <a:solidFill>
              <a:srgbClr val="333F56"/>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dash_Date">
          <xdr:nvSpPr>
            <xdr:cNvPr id="60" name="TextBox 59">
              <a:extLst>
                <a:ext uri="{FF2B5EF4-FFF2-40B4-BE49-F238E27FC236}">
                  <a16:creationId xmlns:a16="http://schemas.microsoft.com/office/drawing/2014/main" id="{00000000-0008-0000-0100-00003C000000}"/>
                </a:ext>
              </a:extLst>
            </xdr:cNvPr>
            <xdr:cNvSpPr txBox="1"/>
          </xdr:nvSpPr>
          <xdr:spPr>
            <a:xfrm>
              <a:off x="9537726" y="342009"/>
              <a:ext cx="2821444" cy="346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E0450C46-E104-48EC-9901-4B4A865AFFBE}" type="TxLink">
                <a:rPr lang="en-US" sz="1400" b="1" i="0" u="none" strike="noStrike">
                  <a:solidFill>
                    <a:schemeClr val="bg1">
                      <a:lumMod val="95000"/>
                    </a:schemeClr>
                  </a:solidFill>
                  <a:latin typeface="Calibri"/>
                  <a:cs typeface="Calibri"/>
                </a:rPr>
                <a:pPr algn="r"/>
                <a:t>FEB 24, 2022 | THU</a:t>
              </a:fld>
              <a:endParaRPr lang="en-PH" sz="1800" b="1">
                <a:solidFill>
                  <a:schemeClr val="bg1">
                    <a:lumMod val="95000"/>
                  </a:schemeClr>
                </a:solidFill>
              </a:endParaRPr>
            </a:p>
          </xdr:txBody>
        </xdr:sp>
      </xdr:grpSp>
      <xdr:pic>
        <xdr:nvPicPr>
          <xdr:cNvPr id="61" name="Picture 60">
            <a:extLst>
              <a:ext uri="{FF2B5EF4-FFF2-40B4-BE49-F238E27FC236}">
                <a16:creationId xmlns:a16="http://schemas.microsoft.com/office/drawing/2014/main" id="{00000000-0008-0000-0100-00003D000000}"/>
              </a:ext>
            </a:extLst>
          </xdr:cNvPr>
          <xdr:cNvPicPr>
            <a:picLocks noChangeAspect="1" noChangeArrowheads="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rcRect/>
          <a:stretch>
            <a:fillRect/>
          </a:stretch>
        </xdr:blipFill>
        <xdr:spPr bwMode="auto">
          <a:xfrm>
            <a:off x="15482522" y="286869"/>
            <a:ext cx="293067" cy="288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0</xdr:col>
      <xdr:colOff>0</xdr:colOff>
      <xdr:row>3</xdr:row>
      <xdr:rowOff>114460</xdr:rowOff>
    </xdr:from>
    <xdr:to>
      <xdr:col>2</xdr:col>
      <xdr:colOff>522514</xdr:colOff>
      <xdr:row>5</xdr:row>
      <xdr:rowOff>123983</xdr:rowOff>
    </xdr:to>
    <xdr:sp macro="" textlink="">
      <xdr:nvSpPr>
        <xdr:cNvPr id="76" name="dashboardPartTitle">
          <a:extLst>
            <a:ext uri="{FF2B5EF4-FFF2-40B4-BE49-F238E27FC236}">
              <a16:creationId xmlns:a16="http://schemas.microsoft.com/office/drawing/2014/main" id="{00000000-0008-0000-0100-00004C000000}"/>
            </a:ext>
          </a:extLst>
        </xdr:cNvPr>
        <xdr:cNvSpPr/>
      </xdr:nvSpPr>
      <xdr:spPr>
        <a:xfrm>
          <a:off x="0" y="1213917"/>
          <a:ext cx="1741714" cy="379637"/>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PH" sz="2000" b="1"/>
            <a:t>OVERVIEW</a:t>
          </a:r>
        </a:p>
      </xdr:txBody>
    </xdr:sp>
    <xdr:clientData/>
  </xdr:twoCellAnchor>
  <xdr:twoCellAnchor>
    <xdr:from>
      <xdr:col>0</xdr:col>
      <xdr:colOff>4770</xdr:colOff>
      <xdr:row>7</xdr:row>
      <xdr:rowOff>54428</xdr:rowOff>
    </xdr:from>
    <xdr:to>
      <xdr:col>1</xdr:col>
      <xdr:colOff>200713</xdr:colOff>
      <xdr:row>12</xdr:row>
      <xdr:rowOff>43543</xdr:rowOff>
    </xdr:to>
    <xdr:sp macro="" textlink="">
      <xdr:nvSpPr>
        <xdr:cNvPr id="7" name="projInfo_shade" hidden="1">
          <a:extLst>
            <a:ext uri="{FF2B5EF4-FFF2-40B4-BE49-F238E27FC236}">
              <a16:creationId xmlns:a16="http://schemas.microsoft.com/office/drawing/2014/main" id="{00000000-0008-0000-0100-000007000000}"/>
            </a:ext>
          </a:extLst>
        </xdr:cNvPr>
        <xdr:cNvSpPr/>
      </xdr:nvSpPr>
      <xdr:spPr>
        <a:xfrm>
          <a:off x="4770" y="1894114"/>
          <a:ext cx="805543" cy="914400"/>
        </a:xfrm>
        <a:prstGeom prst="rect">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7</xdr:row>
      <xdr:rowOff>97058</xdr:rowOff>
    </xdr:from>
    <xdr:to>
      <xdr:col>1</xdr:col>
      <xdr:colOff>205483</xdr:colOff>
      <xdr:row>12</xdr:row>
      <xdr:rowOff>17848</xdr:rowOff>
    </xdr:to>
    <xdr:grpSp>
      <xdr:nvGrpSpPr>
        <xdr:cNvPr id="122" name="Group 121">
          <a:extLst>
            <a:ext uri="{FF2B5EF4-FFF2-40B4-BE49-F238E27FC236}">
              <a16:creationId xmlns:a16="http://schemas.microsoft.com/office/drawing/2014/main" id="{00000000-0008-0000-0100-00007A000000}"/>
            </a:ext>
          </a:extLst>
        </xdr:cNvPr>
        <xdr:cNvGrpSpPr/>
      </xdr:nvGrpSpPr>
      <xdr:grpSpPr>
        <a:xfrm>
          <a:off x="0" y="1898964"/>
          <a:ext cx="815083" cy="817260"/>
          <a:chOff x="0" y="1943528"/>
          <a:chExt cx="813371" cy="821933"/>
        </a:xfrm>
      </xdr:grpSpPr>
      <xdr:pic macro="[0]!Sheet4.GoToInfo">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15">
            <a:lum bright="70000" contrast="-70000"/>
          </a:blip>
          <a:stretch>
            <a:fillRect/>
          </a:stretch>
        </xdr:blipFill>
        <xdr:spPr>
          <a:xfrm>
            <a:off x="188359" y="1943528"/>
            <a:ext cx="415798" cy="415798"/>
          </a:xfrm>
          <a:prstGeom prst="rect">
            <a:avLst/>
          </a:prstGeom>
        </xdr:spPr>
      </xdr:pic>
      <xdr:sp macro="[0]!Sheet4.GoToInfo" textlink="">
        <xdr:nvSpPr>
          <xdr:cNvPr id="123" name="TextBox 122">
            <a:extLst>
              <a:ext uri="{FF2B5EF4-FFF2-40B4-BE49-F238E27FC236}">
                <a16:creationId xmlns:a16="http://schemas.microsoft.com/office/drawing/2014/main" id="{00000000-0008-0000-0100-00007B000000}"/>
              </a:ext>
            </a:extLst>
          </xdr:cNvPr>
          <xdr:cNvSpPr txBox="1"/>
        </xdr:nvSpPr>
        <xdr:spPr>
          <a:xfrm>
            <a:off x="0" y="2363057"/>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a:solidFill>
                  <a:schemeClr val="tx2">
                    <a:lumMod val="20000"/>
                    <a:lumOff val="80000"/>
                  </a:schemeClr>
                </a:solidFill>
              </a:rPr>
              <a:t>PROJECT</a:t>
            </a:r>
            <a:br>
              <a:rPr lang="en-PH" sz="1000" b="1">
                <a:solidFill>
                  <a:schemeClr val="tx2">
                    <a:lumMod val="20000"/>
                    <a:lumOff val="80000"/>
                  </a:schemeClr>
                </a:solidFill>
              </a:rPr>
            </a:br>
            <a:r>
              <a:rPr lang="en-PH" sz="1000" b="1">
                <a:solidFill>
                  <a:schemeClr val="tx2">
                    <a:lumMod val="20000"/>
                    <a:lumOff val="80000"/>
                  </a:schemeClr>
                </a:solidFill>
              </a:rPr>
              <a:t>INFO</a:t>
            </a:r>
            <a:endParaRPr lang="en-PH" sz="1000" b="1" baseline="0">
              <a:solidFill>
                <a:schemeClr val="tx2">
                  <a:lumMod val="20000"/>
                  <a:lumOff val="80000"/>
                </a:schemeClr>
              </a:solidFill>
            </a:endParaRPr>
          </a:p>
        </xdr:txBody>
      </xdr:sp>
    </xdr:grpSp>
    <xdr:clientData/>
  </xdr:twoCellAnchor>
  <xdr:twoCellAnchor>
    <xdr:from>
      <xdr:col>0</xdr:col>
      <xdr:colOff>0</xdr:colOff>
      <xdr:row>12</xdr:row>
      <xdr:rowOff>153848</xdr:rowOff>
    </xdr:from>
    <xdr:to>
      <xdr:col>1</xdr:col>
      <xdr:colOff>205483</xdr:colOff>
      <xdr:row>17</xdr:row>
      <xdr:rowOff>67141</xdr:rowOff>
    </xdr:to>
    <xdr:grpSp>
      <xdr:nvGrpSpPr>
        <xdr:cNvPr id="127" name="Group 126">
          <a:extLst>
            <a:ext uri="{FF2B5EF4-FFF2-40B4-BE49-F238E27FC236}">
              <a16:creationId xmlns:a16="http://schemas.microsoft.com/office/drawing/2014/main" id="{00000000-0008-0000-0100-00007F000000}"/>
            </a:ext>
          </a:extLst>
        </xdr:cNvPr>
        <xdr:cNvGrpSpPr/>
      </xdr:nvGrpSpPr>
      <xdr:grpSpPr>
        <a:xfrm>
          <a:off x="0" y="2852224"/>
          <a:ext cx="815083" cy="809764"/>
          <a:chOff x="0" y="2969664"/>
          <a:chExt cx="813371" cy="814651"/>
        </a:xfrm>
      </xdr:grpSpPr>
      <xdr:pic macro="[0]!Sheet4.GoToSummary">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16">
            <a:lum bright="70000" contrast="-70000"/>
          </a:blip>
          <a:stretch>
            <a:fillRect/>
          </a:stretch>
        </xdr:blipFill>
        <xdr:spPr>
          <a:xfrm>
            <a:off x="158972" y="2969664"/>
            <a:ext cx="466670" cy="428204"/>
          </a:xfrm>
          <a:prstGeom prst="rect">
            <a:avLst/>
          </a:prstGeom>
        </xdr:spPr>
      </xdr:pic>
      <xdr:sp macro="" textlink="">
        <xdr:nvSpPr>
          <xdr:cNvPr id="125" name="TextBox 124">
            <a:extLst>
              <a:ext uri="{FF2B5EF4-FFF2-40B4-BE49-F238E27FC236}">
                <a16:creationId xmlns:a16="http://schemas.microsoft.com/office/drawing/2014/main" id="{00000000-0008-0000-0100-00007D000000}"/>
              </a:ext>
            </a:extLst>
          </xdr:cNvPr>
          <xdr:cNvSpPr txBox="1"/>
        </xdr:nvSpPr>
        <xdr:spPr>
          <a:xfrm>
            <a:off x="0" y="3381911"/>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baseline="0">
                <a:solidFill>
                  <a:schemeClr val="tx2">
                    <a:lumMod val="20000"/>
                    <a:lumOff val="80000"/>
                  </a:schemeClr>
                </a:solidFill>
              </a:rPr>
              <a:t>OVERVIEW</a:t>
            </a:r>
          </a:p>
        </xdr:txBody>
      </xdr:sp>
    </xdr:grpSp>
    <xdr:clientData/>
  </xdr:twoCellAnchor>
  <xdr:twoCellAnchor>
    <xdr:from>
      <xdr:col>0</xdr:col>
      <xdr:colOff>20969</xdr:colOff>
      <xdr:row>18</xdr:row>
      <xdr:rowOff>1221</xdr:rowOff>
    </xdr:from>
    <xdr:to>
      <xdr:col>1</xdr:col>
      <xdr:colOff>174973</xdr:colOff>
      <xdr:row>22</xdr:row>
      <xdr:rowOff>77822</xdr:rowOff>
    </xdr:to>
    <xdr:grpSp>
      <xdr:nvGrpSpPr>
        <xdr:cNvPr id="124" name="Group 123">
          <a:extLst>
            <a:ext uri="{FF2B5EF4-FFF2-40B4-BE49-F238E27FC236}">
              <a16:creationId xmlns:a16="http://schemas.microsoft.com/office/drawing/2014/main" id="{00000000-0008-0000-0100-00007C000000}"/>
            </a:ext>
          </a:extLst>
        </xdr:cNvPr>
        <xdr:cNvGrpSpPr/>
      </xdr:nvGrpSpPr>
      <xdr:grpSpPr>
        <a:xfrm>
          <a:off x="20969" y="3775362"/>
          <a:ext cx="763604" cy="793778"/>
          <a:chOff x="0" y="4136361"/>
          <a:chExt cx="813371" cy="793523"/>
        </a:xfrm>
      </xdr:grpSpPr>
      <xdr:pic macro="[0]!Sheet4.GoToTimeline">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17">
            <a:clrChange>
              <a:clrFrom>
                <a:srgbClr val="F6F6F6"/>
              </a:clrFrom>
              <a:clrTo>
                <a:srgbClr val="F6F6F6">
                  <a:alpha val="0"/>
                </a:srgbClr>
              </a:clrTo>
            </a:clrChange>
            <a:lum bright="70000" contrast="-70000"/>
          </a:blip>
          <a:stretch>
            <a:fillRect/>
          </a:stretch>
        </xdr:blipFill>
        <xdr:spPr>
          <a:xfrm>
            <a:off x="178224" y="4136361"/>
            <a:ext cx="434266" cy="439091"/>
          </a:xfrm>
          <a:prstGeom prst="rect">
            <a:avLst/>
          </a:prstGeom>
        </xdr:spPr>
      </xdr:pic>
      <xdr:sp macro="" textlink="">
        <xdr:nvSpPr>
          <xdr:cNvPr id="126" name="TextBox 125">
            <a:extLst>
              <a:ext uri="{FF2B5EF4-FFF2-40B4-BE49-F238E27FC236}">
                <a16:creationId xmlns:a16="http://schemas.microsoft.com/office/drawing/2014/main" id="{00000000-0008-0000-0100-00007E000000}"/>
              </a:ext>
            </a:extLst>
          </xdr:cNvPr>
          <xdr:cNvSpPr txBox="1"/>
        </xdr:nvSpPr>
        <xdr:spPr>
          <a:xfrm>
            <a:off x="0" y="4527480"/>
            <a:ext cx="813371" cy="402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a:solidFill>
                  <a:schemeClr val="tx2">
                    <a:lumMod val="20000"/>
                    <a:lumOff val="80000"/>
                  </a:schemeClr>
                </a:solidFill>
              </a:rPr>
              <a:t>TIMELINE</a:t>
            </a:r>
            <a:endParaRPr lang="en-PH" sz="1000" b="1" baseline="0">
              <a:solidFill>
                <a:schemeClr val="tx2">
                  <a:lumMod val="20000"/>
                  <a:lumOff val="80000"/>
                </a:schemeClr>
              </a:solidFill>
            </a:endParaRPr>
          </a:p>
        </xdr:txBody>
      </xdr:sp>
    </xdr:grpSp>
    <xdr:clientData/>
  </xdr:twoCellAnchor>
  <xdr:twoCellAnchor>
    <xdr:from>
      <xdr:col>0</xdr:col>
      <xdr:colOff>0</xdr:colOff>
      <xdr:row>2</xdr:row>
      <xdr:rowOff>17927</xdr:rowOff>
    </xdr:from>
    <xdr:to>
      <xdr:col>17</xdr:col>
      <xdr:colOff>0</xdr:colOff>
      <xdr:row>2</xdr:row>
      <xdr:rowOff>376514</xdr:rowOff>
    </xdr:to>
    <xdr:grpSp>
      <xdr:nvGrpSpPr>
        <xdr:cNvPr id="2050" name="Group 2049">
          <a:extLst>
            <a:ext uri="{FF2B5EF4-FFF2-40B4-BE49-F238E27FC236}">
              <a16:creationId xmlns:a16="http://schemas.microsoft.com/office/drawing/2014/main" id="{00000000-0008-0000-0100-000002080000}"/>
            </a:ext>
          </a:extLst>
        </xdr:cNvPr>
        <xdr:cNvGrpSpPr/>
      </xdr:nvGrpSpPr>
      <xdr:grpSpPr>
        <a:xfrm>
          <a:off x="0" y="717174"/>
          <a:ext cx="16145435" cy="358587"/>
          <a:chOff x="0" y="717174"/>
          <a:chExt cx="16145435" cy="358587"/>
        </a:xfrm>
      </xdr:grpSpPr>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0" y="717174"/>
            <a:ext cx="16145435" cy="358587"/>
          </a:xfrm>
          <a:prstGeom prst="roundRect">
            <a:avLst>
              <a:gd name="adj" fmla="val 0"/>
            </a:avLst>
          </a:prstGeom>
          <a:solidFill>
            <a:srgbClr val="FFFFFF">
              <a:alpha val="14118"/>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4" name="Rectangle: Rounded Corners 3">
            <a:hlinkClick xmlns:r="http://schemas.openxmlformats.org/officeDocument/2006/relationships" r:id="rId18" tooltip="See Project Gantt Chart"/>
            <a:extLst>
              <a:ext uri="{FF2B5EF4-FFF2-40B4-BE49-F238E27FC236}">
                <a16:creationId xmlns:a16="http://schemas.microsoft.com/office/drawing/2014/main" id="{00000000-0008-0000-0100-000004000000}"/>
              </a:ext>
            </a:extLst>
          </xdr:cNvPr>
          <xdr:cNvSpPr/>
        </xdr:nvSpPr>
        <xdr:spPr>
          <a:xfrm>
            <a:off x="65565" y="788559"/>
            <a:ext cx="1368000"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GANTT</a:t>
            </a:r>
            <a:r>
              <a:rPr lang="en-PH" sz="1200" b="1" baseline="0">
                <a:solidFill>
                  <a:schemeClr val="tx2">
                    <a:lumMod val="20000"/>
                    <a:lumOff val="80000"/>
                  </a:schemeClr>
                </a:solidFill>
              </a:rPr>
              <a:t> CHART</a:t>
            </a:r>
            <a:endParaRPr lang="en-PH" sz="1200" b="1">
              <a:solidFill>
                <a:schemeClr val="tx2">
                  <a:lumMod val="20000"/>
                  <a:lumOff val="80000"/>
                </a:schemeClr>
              </a:solidFill>
            </a:endParaRPr>
          </a:p>
        </xdr:txBody>
      </xdr:sp>
      <xdr:sp macro="" textlink="">
        <xdr:nvSpPr>
          <xdr:cNvPr id="5" name="Rectangle: Rounded Corners 4">
            <a:hlinkClick xmlns:r="http://schemas.openxmlformats.org/officeDocument/2006/relationships" r:id="rId19" tooltip="View Report"/>
            <a:extLst>
              <a:ext uri="{FF2B5EF4-FFF2-40B4-BE49-F238E27FC236}">
                <a16:creationId xmlns:a16="http://schemas.microsoft.com/office/drawing/2014/main" id="{00000000-0008-0000-0100-000005000000}"/>
              </a:ext>
            </a:extLst>
          </xdr:cNvPr>
          <xdr:cNvSpPr/>
        </xdr:nvSpPr>
        <xdr:spPr>
          <a:xfrm>
            <a:off x="7328729" y="788559"/>
            <a:ext cx="1364118"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REPORT </a:t>
            </a:r>
            <a:r>
              <a:rPr lang="en-PH" sz="1200" b="1" baseline="0">
                <a:solidFill>
                  <a:schemeClr val="tx2">
                    <a:lumMod val="20000"/>
                    <a:lumOff val="80000"/>
                  </a:schemeClr>
                </a:solidFill>
              </a:rPr>
              <a:t>   </a:t>
            </a:r>
            <a:endParaRPr lang="en-PH" sz="1200" b="1">
              <a:solidFill>
                <a:schemeClr val="tx2">
                  <a:lumMod val="20000"/>
                  <a:lumOff val="80000"/>
                </a:schemeClr>
              </a:solidFill>
            </a:endParaRPr>
          </a:p>
        </xdr:txBody>
      </xdr:sp>
      <xdr:sp macro="" textlink="">
        <xdr:nvSpPr>
          <xdr:cNvPr id="8" name="Rectangle: Rounded Corners 7">
            <a:hlinkClick xmlns:r="http://schemas.openxmlformats.org/officeDocument/2006/relationships" r:id="rId20" tooltip="View Risks and Issues"/>
            <a:extLst>
              <a:ext uri="{FF2B5EF4-FFF2-40B4-BE49-F238E27FC236}">
                <a16:creationId xmlns:a16="http://schemas.microsoft.com/office/drawing/2014/main" id="{00000000-0008-0000-0100-000008000000}"/>
              </a:ext>
            </a:extLst>
          </xdr:cNvPr>
          <xdr:cNvSpPr/>
        </xdr:nvSpPr>
        <xdr:spPr>
          <a:xfrm>
            <a:off x="1513776" y="788559"/>
            <a:ext cx="1362237"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RISK</a:t>
            </a:r>
            <a:r>
              <a:rPr lang="en-PH" sz="1200" b="1" baseline="0">
                <a:solidFill>
                  <a:schemeClr val="tx2">
                    <a:lumMod val="20000"/>
                    <a:lumOff val="80000"/>
                  </a:schemeClr>
                </a:solidFill>
              </a:rPr>
              <a:t> AND ISSUES</a:t>
            </a:r>
            <a:endParaRPr lang="en-PH" sz="1200" b="1">
              <a:solidFill>
                <a:schemeClr val="tx2">
                  <a:lumMod val="20000"/>
                  <a:lumOff val="80000"/>
                </a:schemeClr>
              </a:solidFill>
            </a:endParaRPr>
          </a:p>
        </xdr:txBody>
      </xdr:sp>
      <xdr:sp macro="" textlink="">
        <xdr:nvSpPr>
          <xdr:cNvPr id="9" name="Rectangle: Rounded Corners 8">
            <a:hlinkClick xmlns:r="http://schemas.openxmlformats.org/officeDocument/2006/relationships" r:id="rId21" tooltip="View Communication Plan"/>
            <a:extLst>
              <a:ext uri="{FF2B5EF4-FFF2-40B4-BE49-F238E27FC236}">
                <a16:creationId xmlns:a16="http://schemas.microsoft.com/office/drawing/2014/main" id="{00000000-0008-0000-0100-000009000000}"/>
              </a:ext>
            </a:extLst>
          </xdr:cNvPr>
          <xdr:cNvSpPr/>
        </xdr:nvSpPr>
        <xdr:spPr>
          <a:xfrm>
            <a:off x="2962580" y="788559"/>
            <a:ext cx="1372082"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b="1">
                <a:solidFill>
                  <a:schemeClr val="tx2">
                    <a:lumMod val="20000"/>
                    <a:lumOff val="80000"/>
                  </a:schemeClr>
                </a:solidFill>
              </a:rPr>
              <a:t>COMMUNICATION</a:t>
            </a:r>
            <a:r>
              <a:rPr lang="en-PH" sz="800" b="1" baseline="0">
                <a:solidFill>
                  <a:schemeClr val="tx2">
                    <a:lumMod val="20000"/>
                    <a:lumOff val="80000"/>
                  </a:schemeClr>
                </a:solidFill>
              </a:rPr>
              <a:t> PLAN</a:t>
            </a:r>
            <a:endParaRPr lang="en-PH" sz="800" b="1">
              <a:solidFill>
                <a:schemeClr val="tx2">
                  <a:lumMod val="20000"/>
                  <a:lumOff val="80000"/>
                </a:schemeClr>
              </a:solidFill>
            </a:endParaRPr>
          </a:p>
        </xdr:txBody>
      </xdr:sp>
      <xdr:sp macro="" textlink="">
        <xdr:nvSpPr>
          <xdr:cNvPr id="10" name="Rectangle: Rounded Corners 9">
            <a:hlinkClick xmlns:r="http://schemas.openxmlformats.org/officeDocument/2006/relationships" r:id="rId22" tooltip="View and Manage Stakeholders"/>
            <a:extLst>
              <a:ext uri="{FF2B5EF4-FFF2-40B4-BE49-F238E27FC236}">
                <a16:creationId xmlns:a16="http://schemas.microsoft.com/office/drawing/2014/main" id="{00000000-0008-0000-0100-00000A000000}"/>
              </a:ext>
            </a:extLst>
          </xdr:cNvPr>
          <xdr:cNvSpPr/>
        </xdr:nvSpPr>
        <xdr:spPr>
          <a:xfrm>
            <a:off x="4424589" y="788559"/>
            <a:ext cx="1365359"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STAKEHOLDERS</a:t>
            </a:r>
          </a:p>
        </xdr:txBody>
      </xdr:sp>
      <xdr:sp macro="" textlink="">
        <xdr:nvSpPr>
          <xdr:cNvPr id="11" name="Rectangle: Rounded Corners 10">
            <a:hlinkClick xmlns:r="http://schemas.openxmlformats.org/officeDocument/2006/relationships" r:id="rId23" tooltip="View Team Members"/>
            <a:extLst>
              <a:ext uri="{FF2B5EF4-FFF2-40B4-BE49-F238E27FC236}">
                <a16:creationId xmlns:a16="http://schemas.microsoft.com/office/drawing/2014/main" id="{00000000-0008-0000-0100-00000B000000}"/>
              </a:ext>
            </a:extLst>
          </xdr:cNvPr>
          <xdr:cNvSpPr/>
        </xdr:nvSpPr>
        <xdr:spPr>
          <a:xfrm>
            <a:off x="5876007" y="788559"/>
            <a:ext cx="1379846" cy="216000"/>
          </a:xfrm>
          <a:prstGeom prst="roundRect">
            <a:avLst/>
          </a:prstGeom>
          <a:solidFill>
            <a:schemeClr val="tx2">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200" b="1">
                <a:solidFill>
                  <a:schemeClr val="tx2">
                    <a:lumMod val="20000"/>
                    <a:lumOff val="80000"/>
                  </a:schemeClr>
                </a:solidFill>
              </a:rPr>
              <a:t>ABOUT THE TEAM</a:t>
            </a:r>
          </a:p>
        </xdr:txBody>
      </xdr:sp>
      <xdr:sp macro="" textlink="project_name">
        <xdr:nvSpPr>
          <xdr:cNvPr id="108" name="Rectangle: Rounded Corners 107">
            <a:extLst>
              <a:ext uri="{FF2B5EF4-FFF2-40B4-BE49-F238E27FC236}">
                <a16:creationId xmlns:a16="http://schemas.microsoft.com/office/drawing/2014/main" id="{00000000-0008-0000-0100-00006C000000}"/>
              </a:ext>
            </a:extLst>
          </xdr:cNvPr>
          <xdr:cNvSpPr/>
        </xdr:nvSpPr>
        <xdr:spPr>
          <a:xfrm>
            <a:off x="9528186" y="733494"/>
            <a:ext cx="6487257" cy="321723"/>
          </a:xfrm>
          <a:prstGeom prst="roundRect">
            <a:avLst>
              <a:gd name="adj" fmla="val 31579"/>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127FB8E-FD22-454F-B49C-81006EB2783F}" type="TxLink">
              <a:rPr lang="en-US" sz="1800" b="1" i="0" u="none" strike="noStrike">
                <a:solidFill>
                  <a:schemeClr val="bg1">
                    <a:lumMod val="95000"/>
                  </a:schemeClr>
                </a:solidFill>
                <a:latin typeface="Calibri Light"/>
                <a:cs typeface="Calibri Light"/>
              </a:rPr>
              <a:pPr algn="r"/>
              <a:t>Project Omicron</a:t>
            </a:fld>
            <a:endParaRPr lang="en-PH" sz="2400" b="1">
              <a:solidFill>
                <a:schemeClr val="bg1">
                  <a:lumMod val="95000"/>
                </a:schemeClr>
              </a:solidFill>
            </a:endParaRPr>
          </a:p>
        </xdr:txBody>
      </xdr:sp>
    </xdr:grpSp>
    <xdr:clientData/>
  </xdr:twoCellAnchor>
  <xdr:twoCellAnchor>
    <xdr:from>
      <xdr:col>1</xdr:col>
      <xdr:colOff>252789</xdr:colOff>
      <xdr:row>6</xdr:row>
      <xdr:rowOff>50801</xdr:rowOff>
    </xdr:from>
    <xdr:to>
      <xdr:col>16</xdr:col>
      <xdr:colOff>1430867</xdr:colOff>
      <xdr:row>39</xdr:row>
      <xdr:rowOff>64111</xdr:rowOff>
    </xdr:to>
    <xdr:grpSp>
      <xdr:nvGrpSpPr>
        <xdr:cNvPr id="109" name="projInfoGroup" hidden="1">
          <a:extLst>
            <a:ext uri="{FF2B5EF4-FFF2-40B4-BE49-F238E27FC236}">
              <a16:creationId xmlns:a16="http://schemas.microsoft.com/office/drawing/2014/main" id="{00000000-0008-0000-0100-00006D000000}"/>
            </a:ext>
          </a:extLst>
        </xdr:cNvPr>
        <xdr:cNvGrpSpPr/>
      </xdr:nvGrpSpPr>
      <xdr:grpSpPr>
        <a:xfrm>
          <a:off x="862389" y="1673413"/>
          <a:ext cx="14983725" cy="5930016"/>
          <a:chOff x="9906000" y="735106"/>
          <a:chExt cx="15691717" cy="6160110"/>
        </a:xfrm>
      </xdr:grpSpPr>
      <xdr:sp macro="" textlink="">
        <xdr:nvSpPr>
          <xdr:cNvPr id="110" name="Rectangle: Folded Corner 109" hidden="1">
            <a:extLst>
              <a:ext uri="{FF2B5EF4-FFF2-40B4-BE49-F238E27FC236}">
                <a16:creationId xmlns:a16="http://schemas.microsoft.com/office/drawing/2014/main" id="{00000000-0008-0000-0100-00006E000000}"/>
              </a:ext>
            </a:extLst>
          </xdr:cNvPr>
          <xdr:cNvSpPr/>
        </xdr:nvSpPr>
        <xdr:spPr>
          <a:xfrm>
            <a:off x="9906000" y="735106"/>
            <a:ext cx="15691717" cy="6160110"/>
          </a:xfrm>
          <a:prstGeom prst="foldedCorner">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111" name="Group 110" hidden="1">
            <a:extLst>
              <a:ext uri="{FF2B5EF4-FFF2-40B4-BE49-F238E27FC236}">
                <a16:creationId xmlns:a16="http://schemas.microsoft.com/office/drawing/2014/main" id="{00000000-0008-0000-0100-00006F000000}"/>
              </a:ext>
            </a:extLst>
          </xdr:cNvPr>
          <xdr:cNvGrpSpPr/>
        </xdr:nvGrpSpPr>
        <xdr:grpSpPr>
          <a:xfrm>
            <a:off x="10324204" y="1031837"/>
            <a:ext cx="7734749" cy="5518951"/>
            <a:chOff x="16725004" y="610495"/>
            <a:chExt cx="7734749" cy="5518951"/>
          </a:xfrm>
        </xdr:grpSpPr>
        <xdr:sp macro="" textlink="">
          <xdr:nvSpPr>
            <xdr:cNvPr id="137" name="Rectangle: Folded Corner 136" hidden="1">
              <a:extLst>
                <a:ext uri="{FF2B5EF4-FFF2-40B4-BE49-F238E27FC236}">
                  <a16:creationId xmlns:a16="http://schemas.microsoft.com/office/drawing/2014/main" id="{00000000-0008-0000-0100-000089000000}"/>
                </a:ext>
              </a:extLst>
            </xdr:cNvPr>
            <xdr:cNvSpPr/>
          </xdr:nvSpPr>
          <xdr:spPr>
            <a:xfrm>
              <a:off x="16725004" y="610495"/>
              <a:ext cx="6421867" cy="5518951"/>
            </a:xfrm>
            <a:prstGeom prst="foldedCorner">
              <a:avLst>
                <a:gd name="adj" fmla="val 9831"/>
              </a:avLst>
            </a:prstGeom>
            <a:solidFill>
              <a:schemeClr val="tx1">
                <a:lumMod val="75000"/>
                <a:lumOff val="25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138" name="TextBox 137" hidden="1">
              <a:extLst>
                <a:ext uri="{FF2B5EF4-FFF2-40B4-BE49-F238E27FC236}">
                  <a16:creationId xmlns:a16="http://schemas.microsoft.com/office/drawing/2014/main" id="{00000000-0008-0000-0100-00008A000000}"/>
                </a:ext>
              </a:extLst>
            </xdr:cNvPr>
            <xdr:cNvSpPr txBox="1"/>
          </xdr:nvSpPr>
          <xdr:spPr>
            <a:xfrm>
              <a:off x="16938364" y="1262679"/>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Project</a:t>
              </a:r>
              <a:r>
                <a:rPr lang="en-PH" sz="1400" b="1" baseline="0">
                  <a:solidFill>
                    <a:schemeClr val="tx2">
                      <a:lumMod val="20000"/>
                      <a:lumOff val="80000"/>
                    </a:schemeClr>
                  </a:solidFill>
                </a:rPr>
                <a:t> Name</a:t>
              </a:r>
              <a:r>
                <a:rPr lang="en-PH" sz="1400" b="1">
                  <a:solidFill>
                    <a:schemeClr val="tx2">
                      <a:lumMod val="20000"/>
                      <a:lumOff val="80000"/>
                    </a:schemeClr>
                  </a:solidFill>
                </a:rPr>
                <a:t>:</a:t>
              </a:r>
            </a:p>
          </xdr:txBody>
        </xdr:sp>
        <xdr:sp macro="" textlink="">
          <xdr:nvSpPr>
            <xdr:cNvPr id="139" name="TextBox 138" hidden="1">
              <a:extLst>
                <a:ext uri="{FF2B5EF4-FFF2-40B4-BE49-F238E27FC236}">
                  <a16:creationId xmlns:a16="http://schemas.microsoft.com/office/drawing/2014/main" id="{00000000-0008-0000-0100-00008B000000}"/>
                </a:ext>
              </a:extLst>
            </xdr:cNvPr>
            <xdr:cNvSpPr txBox="1"/>
          </xdr:nvSpPr>
          <xdr:spPr>
            <a:xfrm>
              <a:off x="16938364" y="1563893"/>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Company:</a:t>
              </a:r>
            </a:p>
          </xdr:txBody>
        </xdr:sp>
        <xdr:sp macro="" textlink="">
          <xdr:nvSpPr>
            <xdr:cNvPr id="140" name="TextBox 139" hidden="1">
              <a:extLst>
                <a:ext uri="{FF2B5EF4-FFF2-40B4-BE49-F238E27FC236}">
                  <a16:creationId xmlns:a16="http://schemas.microsoft.com/office/drawing/2014/main" id="{00000000-0008-0000-0100-00008C000000}"/>
                </a:ext>
              </a:extLst>
            </xdr:cNvPr>
            <xdr:cNvSpPr txBox="1"/>
          </xdr:nvSpPr>
          <xdr:spPr>
            <a:xfrm>
              <a:off x="16938364" y="1978162"/>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Start Date:</a:t>
              </a:r>
            </a:p>
          </xdr:txBody>
        </xdr:sp>
        <xdr:sp macro="" textlink="">
          <xdr:nvSpPr>
            <xdr:cNvPr id="141" name="TextBox 140" hidden="1">
              <a:extLst>
                <a:ext uri="{FF2B5EF4-FFF2-40B4-BE49-F238E27FC236}">
                  <a16:creationId xmlns:a16="http://schemas.microsoft.com/office/drawing/2014/main" id="{00000000-0008-0000-0100-00008D000000}"/>
                </a:ext>
              </a:extLst>
            </xdr:cNvPr>
            <xdr:cNvSpPr txBox="1"/>
          </xdr:nvSpPr>
          <xdr:spPr>
            <a:xfrm>
              <a:off x="16938364" y="2353633"/>
              <a:ext cx="1440000" cy="313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End Date:</a:t>
              </a:r>
            </a:p>
          </xdr:txBody>
        </xdr:sp>
        <xdr:sp macro="" textlink="">
          <xdr:nvSpPr>
            <xdr:cNvPr id="142" name="TextBox 141" hidden="1">
              <a:extLst>
                <a:ext uri="{FF2B5EF4-FFF2-40B4-BE49-F238E27FC236}">
                  <a16:creationId xmlns:a16="http://schemas.microsoft.com/office/drawing/2014/main" id="{00000000-0008-0000-0100-00008E000000}"/>
                </a:ext>
              </a:extLst>
            </xdr:cNvPr>
            <xdr:cNvSpPr txBox="1"/>
          </xdr:nvSpPr>
          <xdr:spPr>
            <a:xfrm>
              <a:off x="16938364" y="2724375"/>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Budget:</a:t>
              </a:r>
            </a:p>
          </xdr:txBody>
        </xdr:sp>
        <xdr:sp macro="" textlink="">
          <xdr:nvSpPr>
            <xdr:cNvPr id="143" name="TextBox 142" hidden="1">
              <a:extLst>
                <a:ext uri="{FF2B5EF4-FFF2-40B4-BE49-F238E27FC236}">
                  <a16:creationId xmlns:a16="http://schemas.microsoft.com/office/drawing/2014/main" id="{00000000-0008-0000-0100-00008F000000}"/>
                </a:ext>
              </a:extLst>
            </xdr:cNvPr>
            <xdr:cNvSpPr txBox="1"/>
          </xdr:nvSpPr>
          <xdr:spPr>
            <a:xfrm>
              <a:off x="17182204" y="621702"/>
              <a:ext cx="2026901"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PROJECT DETAILS</a:t>
              </a:r>
            </a:p>
          </xdr:txBody>
        </xdr:sp>
        <xdr:pic>
          <xdr:nvPicPr>
            <xdr:cNvPr id="144" name="Picture 143" hidden="1">
              <a:extLst>
                <a:ext uri="{FF2B5EF4-FFF2-40B4-BE49-F238E27FC236}">
                  <a16:creationId xmlns:a16="http://schemas.microsoft.com/office/drawing/2014/main" id="{00000000-0008-0000-0100-000090000000}"/>
                </a:ext>
              </a:extLst>
            </xdr:cNvPr>
            <xdr:cNvPicPr>
              <a:picLocks noChangeAspect="1" noChangeArrowheads="1"/>
            </xdr:cNvPicPr>
          </xdr:nvPicPr>
          <xdr:blipFill>
            <a:blip xmlns:r="http://schemas.openxmlformats.org/officeDocument/2006/relationships" r:embed="rId24" cstate="print">
              <a:lum bright="70000" contrast="-70000"/>
              <a:extLst>
                <a:ext uri="{28A0092B-C50C-407E-A947-70E740481C1C}">
                  <a14:useLocalDpi xmlns:a14="http://schemas.microsoft.com/office/drawing/2010/main" val="0"/>
                </a:ext>
              </a:extLst>
            </a:blip>
            <a:srcRect/>
            <a:stretch>
              <a:fillRect/>
            </a:stretch>
          </xdr:blipFill>
          <xdr:spPr bwMode="auto">
            <a:xfrm>
              <a:off x="16808824" y="652182"/>
              <a:ext cx="411480" cy="404309"/>
            </a:xfrm>
            <a:prstGeom prst="rect">
              <a:avLst/>
            </a:prstGeom>
            <a:noFill/>
            <a:extLst>
              <a:ext uri="{909E8E84-426E-40DD-AFC4-6F175D3DCCD1}">
                <a14:hiddenFill xmlns:a14="http://schemas.microsoft.com/office/drawing/2010/main">
                  <a:solidFill>
                    <a:srgbClr val="FFFFFF"/>
                  </a:solidFill>
                </a14:hiddenFill>
              </a:ext>
            </a:extLst>
          </xdr:spPr>
        </xdr:pic>
        <xdr:sp macro="" textlink="project_name">
          <xdr:nvSpPr>
            <xdr:cNvPr id="145" name="TextBox 144" hidden="1">
              <a:extLst>
                <a:ext uri="{FF2B5EF4-FFF2-40B4-BE49-F238E27FC236}">
                  <a16:creationId xmlns:a16="http://schemas.microsoft.com/office/drawing/2014/main" id="{00000000-0008-0000-0100-000091000000}"/>
                </a:ext>
              </a:extLst>
            </xdr:cNvPr>
            <xdr:cNvSpPr txBox="1"/>
          </xdr:nvSpPr>
          <xdr:spPr>
            <a:xfrm>
              <a:off x="18458330" y="1237129"/>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7788CD0-9B1A-4DEC-8B35-9241457840FF}" type="TxLink">
                <a:rPr lang="en-US" sz="1800" b="0" i="0" u="none" strike="noStrike">
                  <a:solidFill>
                    <a:schemeClr val="bg1">
                      <a:lumMod val="95000"/>
                    </a:schemeClr>
                  </a:solidFill>
                  <a:latin typeface="Calibri Light"/>
                  <a:cs typeface="Calibri Light"/>
                </a:rPr>
                <a:pPr algn="l"/>
                <a:t>Project Omicron</a:t>
              </a:fld>
              <a:endParaRPr lang="en-PH" sz="1800" b="0">
                <a:solidFill>
                  <a:schemeClr val="bg1">
                    <a:lumMod val="95000"/>
                  </a:schemeClr>
                </a:solidFill>
              </a:endParaRPr>
            </a:p>
          </xdr:txBody>
        </xdr:sp>
        <xdr:sp macro="" textlink="company_name">
          <xdr:nvSpPr>
            <xdr:cNvPr id="146" name="TextBox 145" hidden="1">
              <a:extLst>
                <a:ext uri="{FF2B5EF4-FFF2-40B4-BE49-F238E27FC236}">
                  <a16:creationId xmlns:a16="http://schemas.microsoft.com/office/drawing/2014/main" id="{00000000-0008-0000-0100-000092000000}"/>
                </a:ext>
              </a:extLst>
            </xdr:cNvPr>
            <xdr:cNvSpPr txBox="1"/>
          </xdr:nvSpPr>
          <xdr:spPr>
            <a:xfrm>
              <a:off x="18458330" y="1622612"/>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7D43786-BE93-4121-A5D1-8B38247F82A2}" type="TxLink">
                <a:rPr lang="en-US" sz="1800" b="0" i="0" u="none" strike="noStrike">
                  <a:solidFill>
                    <a:schemeClr val="bg1">
                      <a:lumMod val="95000"/>
                    </a:schemeClr>
                  </a:solidFill>
                  <a:latin typeface="Arial"/>
                  <a:cs typeface="Arial"/>
                </a:rPr>
                <a:pPr algn="l"/>
                <a:t>COMPANY ABC</a:t>
              </a:fld>
              <a:endParaRPr lang="en-PH" sz="1800" b="0">
                <a:solidFill>
                  <a:schemeClr val="bg1">
                    <a:lumMod val="95000"/>
                  </a:schemeClr>
                </a:solidFill>
              </a:endParaRPr>
            </a:p>
          </xdr:txBody>
        </xdr:sp>
        <xdr:sp macro="" textlink="projectStart">
          <xdr:nvSpPr>
            <xdr:cNvPr id="147" name="TextBox 146" hidden="1">
              <a:extLst>
                <a:ext uri="{FF2B5EF4-FFF2-40B4-BE49-F238E27FC236}">
                  <a16:creationId xmlns:a16="http://schemas.microsoft.com/office/drawing/2014/main" id="{00000000-0008-0000-0100-000093000000}"/>
                </a:ext>
              </a:extLst>
            </xdr:cNvPr>
            <xdr:cNvSpPr txBox="1"/>
          </xdr:nvSpPr>
          <xdr:spPr>
            <a:xfrm>
              <a:off x="18458330" y="1977713"/>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EC10659D-92D6-4F29-9E6A-B65D7EF11A1C}" type="TxLink">
                <a:rPr lang="en-US" sz="1600" b="0" i="0" u="none" strike="noStrike">
                  <a:solidFill>
                    <a:schemeClr val="bg1"/>
                  </a:solidFill>
                  <a:latin typeface="Calibri"/>
                  <a:cs typeface="Calibri"/>
                </a:rPr>
                <a:pPr algn="l"/>
                <a:t>2/19/2022 (Saturday)</a:t>
              </a:fld>
              <a:endParaRPr lang="en-PH" sz="3600" b="1">
                <a:solidFill>
                  <a:schemeClr val="bg1"/>
                </a:solidFill>
              </a:endParaRPr>
            </a:p>
          </xdr:txBody>
        </xdr:sp>
        <xdr:sp macro="" textlink="">
          <xdr:nvSpPr>
            <xdr:cNvPr id="148" name="TextBox 147" hidden="1">
              <a:extLst>
                <a:ext uri="{FF2B5EF4-FFF2-40B4-BE49-F238E27FC236}">
                  <a16:creationId xmlns:a16="http://schemas.microsoft.com/office/drawing/2014/main" id="{00000000-0008-0000-0100-000094000000}"/>
                </a:ext>
              </a:extLst>
            </xdr:cNvPr>
            <xdr:cNvSpPr txBox="1"/>
          </xdr:nvSpPr>
          <xdr:spPr>
            <a:xfrm>
              <a:off x="18458330" y="235273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800" b="0" i="0" u="none" strike="noStrike">
                  <a:solidFill>
                    <a:schemeClr val="bg1">
                      <a:lumMod val="95000"/>
                    </a:schemeClr>
                  </a:solidFill>
                  <a:latin typeface="Calibri"/>
                  <a:cs typeface="Calibri"/>
                </a:rPr>
                <a:t>NA</a:t>
              </a:r>
            </a:p>
          </xdr:txBody>
        </xdr:sp>
        <xdr:sp macro="" textlink="'Project Data'!Z3">
          <xdr:nvSpPr>
            <xdr:cNvPr id="149" name="TextBox 148" hidden="1">
              <a:extLst>
                <a:ext uri="{FF2B5EF4-FFF2-40B4-BE49-F238E27FC236}">
                  <a16:creationId xmlns:a16="http://schemas.microsoft.com/office/drawing/2014/main" id="{00000000-0008-0000-0100-000095000000}"/>
                </a:ext>
              </a:extLst>
            </xdr:cNvPr>
            <xdr:cNvSpPr txBox="1"/>
          </xdr:nvSpPr>
          <xdr:spPr>
            <a:xfrm>
              <a:off x="18458330" y="2729753"/>
              <a:ext cx="4010677"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A2FC3F1F-0872-4327-86EF-5D4C459C81A8}" type="TxLink">
                <a:rPr lang="en-US" sz="1600" b="0" i="0" u="none" strike="noStrike">
                  <a:solidFill>
                    <a:schemeClr val="bg1">
                      <a:lumMod val="95000"/>
                    </a:schemeClr>
                  </a:solidFill>
                  <a:latin typeface="Arial"/>
                  <a:cs typeface="Arial"/>
                </a:rPr>
                <a:pPr algn="l"/>
                <a:t> ₱5,000.00 </a:t>
              </a:fld>
              <a:endParaRPr lang="en-PH" sz="3600" b="1">
                <a:solidFill>
                  <a:schemeClr val="bg1">
                    <a:lumMod val="95000"/>
                  </a:schemeClr>
                </a:solidFill>
              </a:endParaRPr>
            </a:p>
          </xdr:txBody>
        </xdr:sp>
      </xdr:grpSp>
      <xdr:grpSp>
        <xdr:nvGrpSpPr>
          <xdr:cNvPr id="112" name="Group 111" hidden="1">
            <a:extLst>
              <a:ext uri="{FF2B5EF4-FFF2-40B4-BE49-F238E27FC236}">
                <a16:creationId xmlns:a16="http://schemas.microsoft.com/office/drawing/2014/main" id="{00000000-0008-0000-0100-000070000000}"/>
              </a:ext>
            </a:extLst>
          </xdr:cNvPr>
          <xdr:cNvGrpSpPr/>
        </xdr:nvGrpSpPr>
        <xdr:grpSpPr>
          <a:xfrm>
            <a:off x="17305951" y="1031838"/>
            <a:ext cx="7993380" cy="5546891"/>
            <a:chOff x="16965292" y="4489973"/>
            <a:chExt cx="7993380" cy="5546891"/>
          </a:xfrm>
        </xdr:grpSpPr>
        <xdr:sp macro="" textlink="">
          <xdr:nvSpPr>
            <xdr:cNvPr id="113" name="Rectangle: Folded Corner 112" hidden="1">
              <a:extLst>
                <a:ext uri="{FF2B5EF4-FFF2-40B4-BE49-F238E27FC236}">
                  <a16:creationId xmlns:a16="http://schemas.microsoft.com/office/drawing/2014/main" id="{00000000-0008-0000-0100-000071000000}"/>
                </a:ext>
              </a:extLst>
            </xdr:cNvPr>
            <xdr:cNvSpPr/>
          </xdr:nvSpPr>
          <xdr:spPr>
            <a:xfrm>
              <a:off x="16965292" y="4489973"/>
              <a:ext cx="7993380" cy="5546891"/>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118" name="TextBox 117" hidden="1">
              <a:extLst>
                <a:ext uri="{FF2B5EF4-FFF2-40B4-BE49-F238E27FC236}">
                  <a16:creationId xmlns:a16="http://schemas.microsoft.com/office/drawing/2014/main" id="{00000000-0008-0000-0100-000076000000}"/>
                </a:ext>
              </a:extLst>
            </xdr:cNvPr>
            <xdr:cNvSpPr txBox="1"/>
          </xdr:nvSpPr>
          <xdr:spPr>
            <a:xfrm>
              <a:off x="17049559" y="5522708"/>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Manager:</a:t>
              </a:r>
            </a:p>
          </xdr:txBody>
        </xdr:sp>
        <xdr:sp macro="" textlink="">
          <xdr:nvSpPr>
            <xdr:cNvPr id="121" name="TextBox 120" hidden="1">
              <a:extLst>
                <a:ext uri="{FF2B5EF4-FFF2-40B4-BE49-F238E27FC236}">
                  <a16:creationId xmlns:a16="http://schemas.microsoft.com/office/drawing/2014/main" id="{00000000-0008-0000-0100-000079000000}"/>
                </a:ext>
              </a:extLst>
            </xdr:cNvPr>
            <xdr:cNvSpPr txBox="1"/>
          </xdr:nvSpPr>
          <xdr:spPr>
            <a:xfrm>
              <a:off x="17049559" y="5164118"/>
              <a:ext cx="1691620"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Sponsor:</a:t>
              </a:r>
            </a:p>
          </xdr:txBody>
        </xdr:sp>
        <xdr:sp macro="" textlink="">
          <xdr:nvSpPr>
            <xdr:cNvPr id="128" name="TextBox 127" hidden="1">
              <a:extLst>
                <a:ext uri="{FF2B5EF4-FFF2-40B4-BE49-F238E27FC236}">
                  <a16:creationId xmlns:a16="http://schemas.microsoft.com/office/drawing/2014/main" id="{00000000-0008-0000-0100-000080000000}"/>
                </a:ext>
              </a:extLst>
            </xdr:cNvPr>
            <xdr:cNvSpPr txBox="1"/>
          </xdr:nvSpPr>
          <xdr:spPr>
            <a:xfrm>
              <a:off x="17049559" y="5845437"/>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Champion:</a:t>
              </a:r>
            </a:p>
          </xdr:txBody>
        </xdr:sp>
        <xdr:sp macro="" textlink="">
          <xdr:nvSpPr>
            <xdr:cNvPr id="129" name="TextBox 128" hidden="1">
              <a:extLst>
                <a:ext uri="{FF2B5EF4-FFF2-40B4-BE49-F238E27FC236}">
                  <a16:creationId xmlns:a16="http://schemas.microsoft.com/office/drawing/2014/main" id="{00000000-0008-0000-0100-000081000000}"/>
                </a:ext>
              </a:extLst>
            </xdr:cNvPr>
            <xdr:cNvSpPr txBox="1"/>
          </xdr:nvSpPr>
          <xdr:spPr>
            <a:xfrm>
              <a:off x="17574891" y="4573793"/>
              <a:ext cx="2026901"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TEAM</a:t>
              </a:r>
            </a:p>
          </xdr:txBody>
        </xdr:sp>
        <xdr:pic>
          <xdr:nvPicPr>
            <xdr:cNvPr id="130" name="Picture 129" hidden="1">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25">
              <a:lum bright="70000" contrast="-70000"/>
            </a:blip>
            <a:stretch>
              <a:fillRect/>
            </a:stretch>
          </xdr:blipFill>
          <xdr:spPr>
            <a:xfrm>
              <a:off x="17049111" y="4505213"/>
              <a:ext cx="518160" cy="510988"/>
            </a:xfrm>
            <a:prstGeom prst="rect">
              <a:avLst/>
            </a:prstGeom>
          </xdr:spPr>
        </xdr:pic>
        <xdr:sp macro="" textlink="">
          <xdr:nvSpPr>
            <xdr:cNvPr id="131" name="TextBox 130" hidden="1">
              <a:extLst>
                <a:ext uri="{FF2B5EF4-FFF2-40B4-BE49-F238E27FC236}">
                  <a16:creationId xmlns:a16="http://schemas.microsoft.com/office/drawing/2014/main" id="{00000000-0008-0000-0100-000083000000}"/>
                </a:ext>
              </a:extLst>
            </xdr:cNvPr>
            <xdr:cNvSpPr txBox="1"/>
          </xdr:nvSpPr>
          <xdr:spPr>
            <a:xfrm>
              <a:off x="17041939" y="6159202"/>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Team Members:</a:t>
              </a:r>
            </a:p>
          </xdr:txBody>
        </xdr:sp>
        <xdr:sp macro="" textlink="projectSponsor">
          <xdr:nvSpPr>
            <xdr:cNvPr id="133" name="TextBox 132" hidden="1">
              <a:extLst>
                <a:ext uri="{FF2B5EF4-FFF2-40B4-BE49-F238E27FC236}">
                  <a16:creationId xmlns:a16="http://schemas.microsoft.com/office/drawing/2014/main" id="{00000000-0008-0000-0100-000085000000}"/>
                </a:ext>
              </a:extLst>
            </xdr:cNvPr>
            <xdr:cNvSpPr txBox="1"/>
          </xdr:nvSpPr>
          <xdr:spPr>
            <a:xfrm>
              <a:off x="18790951" y="5164118"/>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Manager">
          <xdr:nvSpPr>
            <xdr:cNvPr id="134" name="TextBox 133" hidden="1">
              <a:extLst>
                <a:ext uri="{FF2B5EF4-FFF2-40B4-BE49-F238E27FC236}">
                  <a16:creationId xmlns:a16="http://schemas.microsoft.com/office/drawing/2014/main" id="{00000000-0008-0000-0100-000086000000}"/>
                </a:ext>
              </a:extLst>
            </xdr:cNvPr>
            <xdr:cNvSpPr txBox="1"/>
          </xdr:nvSpPr>
          <xdr:spPr>
            <a:xfrm>
              <a:off x="18790951" y="552270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B37F4B57-8563-423F-87AB-73DC24AD37A0}" type="TxLink">
                <a:rPr lang="en-US" sz="1800" b="0" i="0" u="none" strike="noStrike">
                  <a:solidFill>
                    <a:schemeClr val="bg1">
                      <a:lumMod val="95000"/>
                    </a:schemeClr>
                  </a:solidFill>
                  <a:latin typeface="Calibri"/>
                  <a:cs typeface="Calibri"/>
                </a:rPr>
                <a:pPr algn="l"/>
                <a:t>Name of Project Manager</a:t>
              </a:fld>
              <a:endParaRPr lang="en-PH" sz="1800" b="1">
                <a:solidFill>
                  <a:schemeClr val="bg1">
                    <a:lumMod val="95000"/>
                  </a:schemeClr>
                </a:solidFill>
              </a:endParaRPr>
            </a:p>
          </xdr:txBody>
        </xdr:sp>
        <xdr:sp macro="" textlink="projectChampion">
          <xdr:nvSpPr>
            <xdr:cNvPr id="135" name="TextBox 134" hidden="1">
              <a:extLst>
                <a:ext uri="{FF2B5EF4-FFF2-40B4-BE49-F238E27FC236}">
                  <a16:creationId xmlns:a16="http://schemas.microsoft.com/office/drawing/2014/main" id="{00000000-0008-0000-0100-000087000000}"/>
                </a:ext>
              </a:extLst>
            </xdr:cNvPr>
            <xdr:cNvSpPr txBox="1"/>
          </xdr:nvSpPr>
          <xdr:spPr>
            <a:xfrm>
              <a:off x="18790951" y="584543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FD9AE3F-7FDE-46CE-8AE7-069BD55B5EE2}" type="TxLink">
                <a:rPr lang="en-US" sz="1800" b="0" i="0" u="none" strike="noStrike">
                  <a:solidFill>
                    <a:schemeClr val="bg1">
                      <a:lumMod val="95000"/>
                    </a:schemeClr>
                  </a:solidFill>
                  <a:latin typeface="Calibri"/>
                  <a:cs typeface="Calibri"/>
                </a:rPr>
                <a:pPr algn="l"/>
                <a:t>Name of Project Champion</a:t>
              </a:fld>
              <a:endParaRPr lang="en-PH" sz="1800" b="1">
                <a:solidFill>
                  <a:schemeClr val="bg1">
                    <a:lumMod val="95000"/>
                  </a:schemeClr>
                </a:solidFill>
              </a:endParaRPr>
            </a:p>
          </xdr:txBody>
        </xdr:sp>
        <xdr:sp macro="" textlink="team_members_Concat">
          <xdr:nvSpPr>
            <xdr:cNvPr id="136" name="TextBox 135" hidden="1">
              <a:extLst>
                <a:ext uri="{FF2B5EF4-FFF2-40B4-BE49-F238E27FC236}">
                  <a16:creationId xmlns:a16="http://schemas.microsoft.com/office/drawing/2014/main" id="{00000000-0008-0000-0100-000088000000}"/>
                </a:ext>
              </a:extLst>
            </xdr:cNvPr>
            <xdr:cNvSpPr txBox="1"/>
          </xdr:nvSpPr>
          <xdr:spPr>
            <a:xfrm>
              <a:off x="18826811" y="6177131"/>
              <a:ext cx="5257354" cy="1424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D8AF9AB-FBEF-48FA-B903-35ECBAB3E01A}" type="TxLink">
                <a:rPr lang="en-US" sz="1600" b="0" i="0" u="none" strike="noStrike">
                  <a:solidFill>
                    <a:schemeClr val="bg1">
                      <a:lumMod val="95000"/>
                    </a:schemeClr>
                  </a:solidFill>
                  <a:latin typeface="Calibri"/>
                  <a:cs typeface="Calibri"/>
                </a:rPr>
                <a:pPr algn="l"/>
                <a:t>Team Member A
Team Member B
Team Member C
Team Member D
Team Member E</a:t>
              </a:fld>
              <a:endParaRPr lang="en-US" sz="2800" b="0" i="0" u="none" strike="noStrike">
                <a:solidFill>
                  <a:schemeClr val="bg1">
                    <a:lumMod val="95000"/>
                  </a:schemeClr>
                </a:solidFill>
                <a:latin typeface="Calibri"/>
                <a:cs typeface="Calibri"/>
              </a:endParaRPr>
            </a:p>
          </xdr:txBody>
        </xdr:sp>
      </xdr:grpSp>
    </xdr:grpSp>
    <xdr:clientData/>
  </xdr:twoCellAnchor>
  <xdr:twoCellAnchor>
    <xdr:from>
      <xdr:col>0</xdr:col>
      <xdr:colOff>0</xdr:colOff>
      <xdr:row>22</xdr:row>
      <xdr:rowOff>110926</xdr:rowOff>
    </xdr:from>
    <xdr:to>
      <xdr:col>1</xdr:col>
      <xdr:colOff>195943</xdr:colOff>
      <xdr:row>27</xdr:row>
      <xdr:rowOff>100041</xdr:rowOff>
    </xdr:to>
    <xdr:sp macro="" textlink="">
      <xdr:nvSpPr>
        <xdr:cNvPr id="150" name="timelineShade">
          <a:extLst>
            <a:ext uri="{FF2B5EF4-FFF2-40B4-BE49-F238E27FC236}">
              <a16:creationId xmlns:a16="http://schemas.microsoft.com/office/drawing/2014/main" id="{00000000-0008-0000-0100-000096000000}"/>
            </a:ext>
          </a:extLst>
        </xdr:cNvPr>
        <xdr:cNvSpPr/>
      </xdr:nvSpPr>
      <xdr:spPr>
        <a:xfrm>
          <a:off x="0" y="4729309"/>
          <a:ext cx="805543" cy="916767"/>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0</xdr:col>
      <xdr:colOff>0</xdr:colOff>
      <xdr:row>25</xdr:row>
      <xdr:rowOff>105998</xdr:rowOff>
    </xdr:from>
    <xdr:to>
      <xdr:col>1</xdr:col>
      <xdr:colOff>154004</xdr:colOff>
      <xdr:row>27</xdr:row>
      <xdr:rowOff>150045</xdr:rowOff>
    </xdr:to>
    <xdr:sp macro="" textlink="">
      <xdr:nvSpPr>
        <xdr:cNvPr id="153" name="TextBox 152">
          <a:extLst>
            <a:ext uri="{FF2B5EF4-FFF2-40B4-BE49-F238E27FC236}">
              <a16:creationId xmlns:a16="http://schemas.microsoft.com/office/drawing/2014/main" id="{00000000-0008-0000-0100-000099000000}"/>
            </a:ext>
          </a:extLst>
        </xdr:cNvPr>
        <xdr:cNvSpPr txBox="1"/>
      </xdr:nvSpPr>
      <xdr:spPr>
        <a:xfrm>
          <a:off x="0" y="5219018"/>
          <a:ext cx="763604" cy="409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PH" sz="1000" b="1" baseline="0">
              <a:solidFill>
                <a:schemeClr val="tx2">
                  <a:lumMod val="20000"/>
                  <a:lumOff val="80000"/>
                </a:schemeClr>
              </a:solidFill>
            </a:rPr>
            <a:t>BUDGET</a:t>
          </a:r>
        </a:p>
      </xdr:txBody>
    </xdr:sp>
    <xdr:clientData/>
  </xdr:twoCellAnchor>
  <xdr:twoCellAnchor editAs="oneCell">
    <xdr:from>
      <xdr:col>0</xdr:col>
      <xdr:colOff>114300</xdr:colOff>
      <xdr:row>23</xdr:row>
      <xdr:rowOff>47253</xdr:rowOff>
    </xdr:from>
    <xdr:to>
      <xdr:col>1</xdr:col>
      <xdr:colOff>67048</xdr:colOff>
      <xdr:row>26</xdr:row>
      <xdr:rowOff>60961</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6">
          <a:lum bright="70000" contrast="-70000"/>
        </a:blip>
        <a:stretch>
          <a:fillRect/>
        </a:stretch>
      </xdr:blipFill>
      <xdr:spPr>
        <a:xfrm>
          <a:off x="114300" y="4794513"/>
          <a:ext cx="562348" cy="5623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494477</xdr:colOff>
      <xdr:row>3</xdr:row>
      <xdr:rowOff>45720</xdr:rowOff>
    </xdr:from>
    <xdr:to>
      <xdr:col>22</xdr:col>
      <xdr:colOff>365741</xdr:colOff>
      <xdr:row>5</xdr:row>
      <xdr:rowOff>34899</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7144177" y="594360"/>
          <a:ext cx="2309664" cy="3549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endParaRPr lang="en-PH" sz="1600" b="1">
            <a:solidFill>
              <a:schemeClr val="tx2">
                <a:lumMod val="20000"/>
                <a:lumOff val="80000"/>
              </a:schemeClr>
            </a:solidFill>
          </a:endParaRPr>
        </a:p>
      </xdr:txBody>
    </xdr:sp>
    <xdr:clientData/>
  </xdr:twoCellAnchor>
  <xdr:twoCellAnchor>
    <xdr:from>
      <xdr:col>6</xdr:col>
      <xdr:colOff>564776</xdr:colOff>
      <xdr:row>4</xdr:row>
      <xdr:rowOff>17930</xdr:rowOff>
    </xdr:from>
    <xdr:to>
      <xdr:col>31</xdr:col>
      <xdr:colOff>599853</xdr:colOff>
      <xdr:row>38</xdr:row>
      <xdr:rowOff>82040</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10237694" y="735106"/>
          <a:ext cx="15275077" cy="6160110"/>
          <a:chOff x="9906000" y="735106"/>
          <a:chExt cx="15275077" cy="6160110"/>
        </a:xfrm>
      </xdr:grpSpPr>
      <xdr:sp macro="" textlink="">
        <xdr:nvSpPr>
          <xdr:cNvPr id="32" name="Rectangle: Folded Corner 31">
            <a:extLst>
              <a:ext uri="{FF2B5EF4-FFF2-40B4-BE49-F238E27FC236}">
                <a16:creationId xmlns:a16="http://schemas.microsoft.com/office/drawing/2014/main" id="{00000000-0008-0000-0200-000020000000}"/>
              </a:ext>
            </a:extLst>
          </xdr:cNvPr>
          <xdr:cNvSpPr/>
        </xdr:nvSpPr>
        <xdr:spPr>
          <a:xfrm>
            <a:off x="9906000" y="735106"/>
            <a:ext cx="15275077" cy="6160110"/>
          </a:xfrm>
          <a:prstGeom prst="foldedCorner">
            <a:avLst>
              <a:gd name="adj" fmla="val 0"/>
            </a:avLst>
          </a:prstGeom>
          <a:solidFill>
            <a:srgbClr val="0D16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pSp>
        <xdr:nvGrpSpPr>
          <xdr:cNvPr id="30" name="Group 29">
            <a:extLst>
              <a:ext uri="{FF2B5EF4-FFF2-40B4-BE49-F238E27FC236}">
                <a16:creationId xmlns:a16="http://schemas.microsoft.com/office/drawing/2014/main" id="{00000000-0008-0000-0200-00001E000000}"/>
              </a:ext>
            </a:extLst>
          </xdr:cNvPr>
          <xdr:cNvGrpSpPr/>
        </xdr:nvGrpSpPr>
        <xdr:grpSpPr>
          <a:xfrm>
            <a:off x="10324204" y="1031838"/>
            <a:ext cx="7734749" cy="3280186"/>
            <a:chOff x="16725004" y="610496"/>
            <a:chExt cx="7734749" cy="3280186"/>
          </a:xfrm>
        </xdr:grpSpPr>
        <xdr:sp macro="" textlink="">
          <xdr:nvSpPr>
            <xdr:cNvPr id="2" name="Rectangle: Folded Corner 1">
              <a:extLst>
                <a:ext uri="{FF2B5EF4-FFF2-40B4-BE49-F238E27FC236}">
                  <a16:creationId xmlns:a16="http://schemas.microsoft.com/office/drawing/2014/main" id="{00000000-0008-0000-0200-000002000000}"/>
                </a:ext>
              </a:extLst>
            </xdr:cNvPr>
            <xdr:cNvSpPr/>
          </xdr:nvSpPr>
          <xdr:spPr>
            <a:xfrm>
              <a:off x="16725004" y="610496"/>
              <a:ext cx="6421867" cy="3280186"/>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6938364" y="1262679"/>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Project</a:t>
              </a:r>
              <a:r>
                <a:rPr lang="en-PH" sz="1400" b="1" baseline="0">
                  <a:solidFill>
                    <a:schemeClr val="tx2">
                      <a:lumMod val="20000"/>
                      <a:lumOff val="80000"/>
                    </a:schemeClr>
                  </a:solidFill>
                </a:rPr>
                <a:t> Name</a:t>
              </a:r>
              <a:r>
                <a:rPr lang="en-PH" sz="1400" b="1">
                  <a:solidFill>
                    <a:schemeClr val="tx2">
                      <a:lumMod val="20000"/>
                      <a:lumOff val="80000"/>
                    </a:schemeClr>
                  </a:solidFill>
                </a:rPr>
                <a:t>:</a:t>
              </a: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16938364" y="1563893"/>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Company:</a:t>
              </a:r>
            </a:p>
          </xdr:txBody>
        </xdr:sp>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6938364" y="1918895"/>
              <a:ext cx="144000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Start Date:</a:t>
              </a:r>
            </a:p>
          </xdr:txBody>
        </xdr:sp>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6938364" y="2268966"/>
              <a:ext cx="1440000" cy="313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End Date:</a:t>
              </a:r>
            </a:p>
          </xdr:txBody>
        </xdr: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6938364" y="2648175"/>
              <a:ext cx="1440000" cy="3132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tx2">
                      <a:lumMod val="20000"/>
                      <a:lumOff val="80000"/>
                    </a:schemeClr>
                  </a:solidFill>
                </a:rPr>
                <a:t>Budget:</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7182204" y="621702"/>
              <a:ext cx="2026901"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PROJECT DETAILS</a:t>
              </a:r>
            </a:p>
          </xdr:txBody>
        </xdr:sp>
        <xdr:pic>
          <xdr:nvPicPr>
            <xdr:cNvPr id="14" name="Picture 13">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6808824" y="652182"/>
              <a:ext cx="411480" cy="404309"/>
            </a:xfrm>
            <a:prstGeom prst="rect">
              <a:avLst/>
            </a:prstGeom>
            <a:noFill/>
            <a:extLst>
              <a:ext uri="{909E8E84-426E-40DD-AFC4-6F175D3DCCD1}">
                <a14:hiddenFill xmlns:a14="http://schemas.microsoft.com/office/drawing/2010/main">
                  <a:solidFill>
                    <a:srgbClr val="FFFFFF"/>
                  </a:solidFill>
                </a14:hiddenFill>
              </a:ext>
            </a:extLst>
          </xdr:spPr>
        </xdr:pic>
        <xdr:sp macro="" textlink="project_name">
          <xdr:nvSpPr>
            <xdr:cNvPr id="25" name="TextBox 24">
              <a:extLst>
                <a:ext uri="{FF2B5EF4-FFF2-40B4-BE49-F238E27FC236}">
                  <a16:creationId xmlns:a16="http://schemas.microsoft.com/office/drawing/2014/main" id="{00000000-0008-0000-0200-000019000000}"/>
                </a:ext>
              </a:extLst>
            </xdr:cNvPr>
            <xdr:cNvSpPr txBox="1"/>
          </xdr:nvSpPr>
          <xdr:spPr>
            <a:xfrm>
              <a:off x="18458330" y="1237129"/>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7788CD0-9B1A-4DEC-8B35-9241457840FF}" type="TxLink">
                <a:rPr lang="en-US" sz="1800" b="0" i="0" u="none" strike="noStrike">
                  <a:solidFill>
                    <a:schemeClr val="bg1">
                      <a:lumMod val="95000"/>
                    </a:schemeClr>
                  </a:solidFill>
                  <a:latin typeface="Calibri Light"/>
                  <a:cs typeface="Calibri Light"/>
                </a:rPr>
                <a:pPr algn="l"/>
                <a:t>Project Omicron</a:t>
              </a:fld>
              <a:endParaRPr lang="en-PH" sz="1800" b="0">
                <a:solidFill>
                  <a:schemeClr val="bg1">
                    <a:lumMod val="95000"/>
                  </a:schemeClr>
                </a:solidFill>
              </a:endParaRPr>
            </a:p>
          </xdr:txBody>
        </xdr:sp>
        <xdr:sp macro="" textlink="company_name">
          <xdr:nvSpPr>
            <xdr:cNvPr id="26" name="TextBox 25">
              <a:extLst>
                <a:ext uri="{FF2B5EF4-FFF2-40B4-BE49-F238E27FC236}">
                  <a16:creationId xmlns:a16="http://schemas.microsoft.com/office/drawing/2014/main" id="{00000000-0008-0000-0200-00001A000000}"/>
                </a:ext>
              </a:extLst>
            </xdr:cNvPr>
            <xdr:cNvSpPr txBox="1"/>
          </xdr:nvSpPr>
          <xdr:spPr>
            <a:xfrm>
              <a:off x="18458330" y="1622612"/>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7D43786-BE93-4121-A5D1-8B38247F82A2}" type="TxLink">
                <a:rPr lang="en-US" sz="1800" b="0" i="0" u="none" strike="noStrike">
                  <a:solidFill>
                    <a:schemeClr val="bg1">
                      <a:lumMod val="95000"/>
                    </a:schemeClr>
                  </a:solidFill>
                  <a:latin typeface="Arial"/>
                  <a:cs typeface="Arial"/>
                </a:rPr>
                <a:pPr algn="l"/>
                <a:t>COMPANY ABC</a:t>
              </a:fld>
              <a:endParaRPr lang="en-PH" sz="1800" b="0">
                <a:solidFill>
                  <a:schemeClr val="bg1">
                    <a:lumMod val="95000"/>
                  </a:schemeClr>
                </a:solidFill>
              </a:endParaRPr>
            </a:p>
          </xdr:txBody>
        </xdr:sp>
        <xdr:sp macro="" textlink="projectSponsor">
          <xdr:nvSpPr>
            <xdr:cNvPr id="27" name="TextBox 26">
              <a:extLst>
                <a:ext uri="{FF2B5EF4-FFF2-40B4-BE49-F238E27FC236}">
                  <a16:creationId xmlns:a16="http://schemas.microsoft.com/office/drawing/2014/main" id="{00000000-0008-0000-0200-00001B000000}"/>
                </a:ext>
              </a:extLst>
            </xdr:cNvPr>
            <xdr:cNvSpPr txBox="1"/>
          </xdr:nvSpPr>
          <xdr:spPr>
            <a:xfrm>
              <a:off x="18458330" y="191844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Sponsor">
          <xdr:nvSpPr>
            <xdr:cNvPr id="28" name="TextBox 27">
              <a:extLst>
                <a:ext uri="{FF2B5EF4-FFF2-40B4-BE49-F238E27FC236}">
                  <a16:creationId xmlns:a16="http://schemas.microsoft.com/office/drawing/2014/main" id="{00000000-0008-0000-0200-00001C000000}"/>
                </a:ext>
              </a:extLst>
            </xdr:cNvPr>
            <xdr:cNvSpPr txBox="1"/>
          </xdr:nvSpPr>
          <xdr:spPr>
            <a:xfrm>
              <a:off x="18458330" y="2268070"/>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Sponsor">
          <xdr:nvSpPr>
            <xdr:cNvPr id="29" name="TextBox 28">
              <a:extLst>
                <a:ext uri="{FF2B5EF4-FFF2-40B4-BE49-F238E27FC236}">
                  <a16:creationId xmlns:a16="http://schemas.microsoft.com/office/drawing/2014/main" id="{00000000-0008-0000-0200-00001D000000}"/>
                </a:ext>
              </a:extLst>
            </xdr:cNvPr>
            <xdr:cNvSpPr txBox="1"/>
          </xdr:nvSpPr>
          <xdr:spPr>
            <a:xfrm>
              <a:off x="18458330" y="2653553"/>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grpSp>
      <xdr:grpSp>
        <xdr:nvGrpSpPr>
          <xdr:cNvPr id="31" name="Group 30">
            <a:extLst>
              <a:ext uri="{FF2B5EF4-FFF2-40B4-BE49-F238E27FC236}">
                <a16:creationId xmlns:a16="http://schemas.microsoft.com/office/drawing/2014/main" id="{00000000-0008-0000-0200-00001F000000}"/>
              </a:ext>
            </a:extLst>
          </xdr:cNvPr>
          <xdr:cNvGrpSpPr/>
        </xdr:nvGrpSpPr>
        <xdr:grpSpPr>
          <a:xfrm>
            <a:off x="16951363" y="1031838"/>
            <a:ext cx="7993380" cy="3246570"/>
            <a:chOff x="16610704" y="4489973"/>
            <a:chExt cx="7993380" cy="3246570"/>
          </a:xfrm>
        </xdr:grpSpPr>
        <xdr:sp macro="" textlink="">
          <xdr:nvSpPr>
            <xdr:cNvPr id="15" name="Rectangle: Folded Corner 14">
              <a:extLst>
                <a:ext uri="{FF2B5EF4-FFF2-40B4-BE49-F238E27FC236}">
                  <a16:creationId xmlns:a16="http://schemas.microsoft.com/office/drawing/2014/main" id="{00000000-0008-0000-0200-00000F000000}"/>
                </a:ext>
              </a:extLst>
            </xdr:cNvPr>
            <xdr:cNvSpPr/>
          </xdr:nvSpPr>
          <xdr:spPr>
            <a:xfrm>
              <a:off x="16610704" y="4489973"/>
              <a:ext cx="7993380" cy="3246570"/>
            </a:xfrm>
            <a:prstGeom prst="foldedCorner">
              <a:avLst>
                <a:gd name="adj" fmla="val 9831"/>
              </a:avLst>
            </a:prstGeom>
            <a:solidFill>
              <a:schemeClr val="tx1">
                <a:lumMod val="50000"/>
                <a:lumOff val="50000"/>
                <a:alpha val="14118"/>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6694972" y="5522708"/>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Manager:</a:t>
              </a:r>
            </a:p>
          </xdr:txBody>
        </xdr: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6694972" y="5164118"/>
              <a:ext cx="1691620"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Sponsor:</a:t>
              </a:r>
            </a:p>
          </xdr:txBody>
        </xdr:sp>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6694972" y="5845437"/>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Project Champion:</a:t>
              </a:r>
            </a:p>
          </xdr:txBody>
        </xdr:sp>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7220304" y="4573793"/>
              <a:ext cx="2026901"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PH" sz="1600" b="1">
                  <a:solidFill>
                    <a:schemeClr val="tx2">
                      <a:lumMod val="20000"/>
                      <a:lumOff val="80000"/>
                    </a:schemeClr>
                  </a:solidFill>
                </a:rPr>
                <a:t>TEAM</a:t>
              </a:r>
            </a:p>
          </xdr:txBody>
        </xdr:sp>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2">
              <a:lum bright="70000" contrast="-70000"/>
            </a:blip>
            <a:stretch>
              <a:fillRect/>
            </a:stretch>
          </xdr:blipFill>
          <xdr:spPr>
            <a:xfrm>
              <a:off x="16694524" y="4505213"/>
              <a:ext cx="518160" cy="510988"/>
            </a:xfrm>
            <a:prstGeom prst="rect">
              <a:avLst/>
            </a:prstGeom>
          </xdr:spPr>
        </xdr:pic>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6687352" y="6159202"/>
              <a:ext cx="1691620" cy="309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PH" sz="1400" b="1">
                  <a:solidFill>
                    <a:schemeClr val="bg1">
                      <a:lumMod val="65000"/>
                    </a:schemeClr>
                  </a:solidFill>
                </a:rPr>
                <a:t>Team Members:</a:t>
              </a:r>
            </a:p>
          </xdr:txBody>
        </xdr:sp>
        <xdr:sp macro="" textlink="projectSponsor">
          <xdr:nvSpPr>
            <xdr:cNvPr id="21" name="TextBox 20">
              <a:extLst>
                <a:ext uri="{FF2B5EF4-FFF2-40B4-BE49-F238E27FC236}">
                  <a16:creationId xmlns:a16="http://schemas.microsoft.com/office/drawing/2014/main" id="{00000000-0008-0000-0200-000015000000}"/>
                </a:ext>
              </a:extLst>
            </xdr:cNvPr>
            <xdr:cNvSpPr txBox="1"/>
          </xdr:nvSpPr>
          <xdr:spPr>
            <a:xfrm>
              <a:off x="18436364" y="5164118"/>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FEAF37C1-D26E-41C3-AFAA-DA31C812CA34}" type="TxLink">
                <a:rPr lang="en-US" sz="1800" b="0" i="0" u="none" strike="noStrike">
                  <a:solidFill>
                    <a:schemeClr val="bg1">
                      <a:lumMod val="95000"/>
                    </a:schemeClr>
                  </a:solidFill>
                  <a:latin typeface="Calibri"/>
                  <a:cs typeface="Calibri"/>
                </a:rPr>
                <a:pPr algn="l"/>
                <a:t>Name of Project Sponsor</a:t>
              </a:fld>
              <a:endParaRPr lang="en-PH" sz="1800" b="1">
                <a:solidFill>
                  <a:schemeClr val="bg1">
                    <a:lumMod val="95000"/>
                  </a:schemeClr>
                </a:solidFill>
              </a:endParaRPr>
            </a:p>
          </xdr:txBody>
        </xdr:sp>
        <xdr:sp macro="" textlink="projectManager">
          <xdr:nvSpPr>
            <xdr:cNvPr id="22" name="TextBox 21">
              <a:extLst>
                <a:ext uri="{FF2B5EF4-FFF2-40B4-BE49-F238E27FC236}">
                  <a16:creationId xmlns:a16="http://schemas.microsoft.com/office/drawing/2014/main" id="{00000000-0008-0000-0200-000016000000}"/>
                </a:ext>
              </a:extLst>
            </xdr:cNvPr>
            <xdr:cNvSpPr txBox="1"/>
          </xdr:nvSpPr>
          <xdr:spPr>
            <a:xfrm>
              <a:off x="18436364" y="5522707"/>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B37F4B57-8563-423F-87AB-73DC24AD37A0}" type="TxLink">
                <a:rPr lang="en-US" sz="1800" b="0" i="0" u="none" strike="noStrike">
                  <a:solidFill>
                    <a:schemeClr val="bg1">
                      <a:lumMod val="95000"/>
                    </a:schemeClr>
                  </a:solidFill>
                  <a:latin typeface="Calibri"/>
                  <a:cs typeface="Calibri"/>
                </a:rPr>
                <a:pPr algn="l"/>
                <a:t>Name of Project Manager</a:t>
              </a:fld>
              <a:endParaRPr lang="en-PH" sz="1800" b="1">
                <a:solidFill>
                  <a:schemeClr val="bg1">
                    <a:lumMod val="95000"/>
                  </a:schemeClr>
                </a:solidFill>
              </a:endParaRPr>
            </a:p>
          </xdr:txBody>
        </xdr:sp>
        <xdr:sp macro="" textlink="projectChampion">
          <xdr:nvSpPr>
            <xdr:cNvPr id="23" name="TextBox 22">
              <a:extLst>
                <a:ext uri="{FF2B5EF4-FFF2-40B4-BE49-F238E27FC236}">
                  <a16:creationId xmlns:a16="http://schemas.microsoft.com/office/drawing/2014/main" id="{00000000-0008-0000-0200-000017000000}"/>
                </a:ext>
              </a:extLst>
            </xdr:cNvPr>
            <xdr:cNvSpPr txBox="1"/>
          </xdr:nvSpPr>
          <xdr:spPr>
            <a:xfrm>
              <a:off x="18436364" y="5845436"/>
              <a:ext cx="6001423" cy="309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2FD9AE3F-7FDE-46CE-8AE7-069BD55B5EE2}" type="TxLink">
                <a:rPr lang="en-US" sz="1800" b="0" i="0" u="none" strike="noStrike">
                  <a:solidFill>
                    <a:schemeClr val="bg1">
                      <a:lumMod val="95000"/>
                    </a:schemeClr>
                  </a:solidFill>
                  <a:latin typeface="Calibri"/>
                  <a:cs typeface="Calibri"/>
                </a:rPr>
                <a:pPr algn="l"/>
                <a:t>Name of Project Champion</a:t>
              </a:fld>
              <a:endParaRPr lang="en-PH" sz="1800" b="1">
                <a:solidFill>
                  <a:schemeClr val="bg1">
                    <a:lumMod val="95000"/>
                  </a:schemeClr>
                </a:solidFill>
              </a:endParaRPr>
            </a:p>
          </xdr:txBody>
        </xdr:sp>
        <xdr:sp macro="" textlink="team_members_Concat">
          <xdr:nvSpPr>
            <xdr:cNvPr id="24" name="TextBox 23">
              <a:extLst>
                <a:ext uri="{FF2B5EF4-FFF2-40B4-BE49-F238E27FC236}">
                  <a16:creationId xmlns:a16="http://schemas.microsoft.com/office/drawing/2014/main" id="{00000000-0008-0000-0200-000018000000}"/>
                </a:ext>
              </a:extLst>
            </xdr:cNvPr>
            <xdr:cNvSpPr txBox="1"/>
          </xdr:nvSpPr>
          <xdr:spPr>
            <a:xfrm>
              <a:off x="18472224" y="6177131"/>
              <a:ext cx="5257354" cy="1424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AD8AF9AB-FBEF-48FA-B903-35ECBAB3E01A}" type="TxLink">
                <a:rPr lang="en-US" sz="1600" b="0" i="0" u="none" strike="noStrike">
                  <a:solidFill>
                    <a:schemeClr val="bg1">
                      <a:lumMod val="95000"/>
                    </a:schemeClr>
                  </a:solidFill>
                  <a:latin typeface="Calibri"/>
                  <a:cs typeface="Calibri"/>
                </a:rPr>
                <a:pPr algn="l"/>
                <a:t>Team Member A
Team Member B
Team Member C
Team Member D
Team Member E</a:t>
              </a:fld>
              <a:endParaRPr lang="en-US" sz="2800" b="0" i="0" u="none" strike="noStrike">
                <a:solidFill>
                  <a:schemeClr val="bg1">
                    <a:lumMod val="95000"/>
                  </a:schemeClr>
                </a:solidFill>
                <a:latin typeface="Calibri"/>
                <a:cs typeface="Calibri"/>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363743</xdr:colOff>
      <xdr:row>5</xdr:row>
      <xdr:rowOff>117438</xdr:rowOff>
    </xdr:from>
    <xdr:to>
      <xdr:col>8</xdr:col>
      <xdr:colOff>249522</xdr:colOff>
      <xdr:row>10</xdr:row>
      <xdr:rowOff>1344</xdr:rowOff>
    </xdr:to>
    <xdr:sp macro="" textlink="">
      <xdr:nvSpPr>
        <xdr:cNvPr id="2" name="Text Box 44"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5093970" y="1348740"/>
          <a:ext cx="3533775" cy="100584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15</xdr:col>
          <xdr:colOff>0</xdr:colOff>
          <xdr:row>6</xdr:row>
          <xdr:rowOff>68580</xdr:rowOff>
        </xdr:from>
        <xdr:to>
          <xdr:col>34</xdr:col>
          <xdr:colOff>38100</xdr:colOff>
          <xdr:row>7</xdr:row>
          <xdr:rowOff>38100</xdr:rowOff>
        </xdr:to>
        <xdr:sp macro="" textlink="">
          <xdr:nvSpPr>
            <xdr:cNvPr id="5121" name="Scroll Bar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13</xdr:col>
      <xdr:colOff>26894</xdr:colOff>
      <xdr:row>8</xdr:row>
      <xdr:rowOff>80683</xdr:rowOff>
    </xdr:from>
    <xdr:to>
      <xdr:col>13</xdr:col>
      <xdr:colOff>896921</xdr:colOff>
      <xdr:row>9</xdr:row>
      <xdr:rowOff>53788</xdr:rowOff>
    </xdr:to>
    <xdr:sp macro="" textlink="">
      <xdr:nvSpPr>
        <xdr:cNvPr id="8" name="Rectangle: Rounded Corners 7">
          <a:hlinkClick xmlns:r="http://schemas.openxmlformats.org/officeDocument/2006/relationships" r:id="rId1"/>
          <a:extLst>
            <a:ext uri="{FF2B5EF4-FFF2-40B4-BE49-F238E27FC236}">
              <a16:creationId xmlns:a16="http://schemas.microsoft.com/office/drawing/2014/main" id="{00000000-0008-0000-0300-000008000000}"/>
            </a:ext>
          </a:extLst>
        </xdr:cNvPr>
        <xdr:cNvSpPr/>
      </xdr:nvSpPr>
      <xdr:spPr>
        <a:xfrm>
          <a:off x="12469906" y="1900518"/>
          <a:ext cx="870027" cy="2599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 GANTT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0</xdr:colOff>
      <xdr:row>1</xdr:row>
      <xdr:rowOff>0</xdr:rowOff>
    </xdr:from>
    <xdr:to>
      <xdr:col>21</xdr:col>
      <xdr:colOff>0</xdr:colOff>
      <xdr:row>6874</xdr:row>
      <xdr:rowOff>103272</xdr:rowOff>
    </xdr:to>
    <xdr:grpSp>
      <xdr:nvGrpSpPr>
        <xdr:cNvPr id="8" name="Group 7">
          <a:extLst>
            <a:ext uri="{FF2B5EF4-FFF2-40B4-BE49-F238E27FC236}">
              <a16:creationId xmlns:a16="http://schemas.microsoft.com/office/drawing/2014/main" id="{00000000-0008-0000-0400-000008000000}"/>
            </a:ext>
          </a:extLst>
        </xdr:cNvPr>
        <xdr:cNvGrpSpPr/>
      </xdr:nvGrpSpPr>
      <xdr:grpSpPr>
        <a:xfrm>
          <a:off x="22936200" y="185057"/>
          <a:ext cx="0" cy="1290746215"/>
          <a:chOff x="2855899" y="1963271"/>
          <a:chExt cx="19579558" cy="735073331"/>
        </a:xfrm>
      </xdr:grpSpPr>
      <xdr:sp macro="" textlink="">
        <xdr:nvSpPr>
          <xdr:cNvPr id="9" name="Rectangle 8">
            <a:extLst>
              <a:ext uri="{FF2B5EF4-FFF2-40B4-BE49-F238E27FC236}">
                <a16:creationId xmlns:a16="http://schemas.microsoft.com/office/drawing/2014/main" id="{00000000-0008-0000-0400-000009000000}"/>
              </a:ext>
            </a:extLst>
          </xdr:cNvPr>
          <xdr:cNvSpPr/>
        </xdr:nvSpPr>
        <xdr:spPr>
          <a:xfrm>
            <a:off x="2859741" y="1963271"/>
            <a:ext cx="1491983" cy="1290917"/>
          </a:xfrm>
          <a:prstGeom prst="rect">
            <a:avLst/>
          </a:prstGeom>
          <a:solidFill>
            <a:srgbClr val="161D2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2855899" y="1992085"/>
          <a:ext cx="1484940" cy="1210877"/>
        </xdr:xfrm>
        <a:graphic>
          <a:graphicData uri="http://schemas.openxmlformats.org/drawingml/2006/chart">
            <c:chart xmlns:c="http://schemas.openxmlformats.org/drawingml/2006/chart" xmlns:r="http://schemas.openxmlformats.org/officeDocument/2006/relationships" r:id="rId1"/>
          </a:graphicData>
        </a:graphic>
      </xdr:graphicFrame>
      <xdr:sp macro="" textlink="'Project Data'!X6">
        <xdr:nvSpPr>
          <xdr:cNvPr id="11" name="TextBox 10">
            <a:extLst>
              <a:ext uri="{FF2B5EF4-FFF2-40B4-BE49-F238E27FC236}">
                <a16:creationId xmlns:a16="http://schemas.microsoft.com/office/drawing/2014/main" id="{00000000-0008-0000-0400-00000B000000}"/>
              </a:ext>
            </a:extLst>
          </xdr:cNvPr>
          <xdr:cNvSpPr txBox="1"/>
        </xdr:nvSpPr>
        <xdr:spPr>
          <a:xfrm>
            <a:off x="22435457" y="736560033"/>
            <a:ext cx="0" cy="4765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7AA6925-A0E9-4ED2-8803-C9DAA6012AE2}" type="TxLink">
              <a:rPr lang="en-US" sz="1600" b="1" i="0" u="none" strike="noStrike">
                <a:solidFill>
                  <a:srgbClr val="00FAFA"/>
                </a:solidFill>
                <a:latin typeface="Arial"/>
                <a:cs typeface="Arial"/>
              </a:rPr>
              <a:pPr algn="ctr"/>
              <a:t>48%</a:t>
            </a:fld>
            <a:endParaRPr lang="en-PH" sz="2000" b="1">
              <a:solidFill>
                <a:srgbClr val="00FAFA"/>
              </a:solidFill>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108857</xdr:colOff>
      <xdr:row>0</xdr:row>
      <xdr:rowOff>65314</xdr:rowOff>
    </xdr:from>
    <xdr:to>
      <xdr:col>1</xdr:col>
      <xdr:colOff>1122317</xdr:colOff>
      <xdr:row>0</xdr:row>
      <xdr:rowOff>293914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729343" y="65314"/>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83820</xdr:colOff>
      <xdr:row>0</xdr:row>
      <xdr:rowOff>68580</xdr:rowOff>
    </xdr:from>
    <xdr:to>
      <xdr:col>9</xdr:col>
      <xdr:colOff>1097280</xdr:colOff>
      <xdr:row>1</xdr:row>
      <xdr:rowOff>15240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9700260" y="68580"/>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115145</xdr:colOff>
      <xdr:row>1</xdr:row>
      <xdr:rowOff>58420</xdr:rowOff>
    </xdr:from>
    <xdr:to>
      <xdr:col>0</xdr:col>
      <xdr:colOff>1667932</xdr:colOff>
      <xdr:row>1</xdr:row>
      <xdr:rowOff>296334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15145" y="557953"/>
          <a:ext cx="1552787" cy="23791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twoCellAnchor editAs="absolute">
    <xdr:from>
      <xdr:col>0</xdr:col>
      <xdr:colOff>85513</xdr:colOff>
      <xdr:row>18</xdr:row>
      <xdr:rowOff>36406</xdr:rowOff>
    </xdr:from>
    <xdr:to>
      <xdr:col>0</xdr:col>
      <xdr:colOff>1708573</xdr:colOff>
      <xdr:row>27</xdr:row>
      <xdr:rowOff>110066</xdr:rowOff>
    </xdr:to>
    <mc:AlternateContent xmlns:mc="http://schemas.openxmlformats.org/markup-compatibility/2006" xmlns:sle15="http://schemas.microsoft.com/office/drawing/2012/slicer">
      <mc:Choice Requires="sle15">
        <xdr:graphicFrame macro="">
          <xdr:nvGraphicFramePr>
            <xdr:cNvPr id="3" name="Position">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85513" y="3854873"/>
              <a:ext cx="1623060" cy="1750060"/>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91440</xdr:colOff>
      <xdr:row>9</xdr:row>
      <xdr:rowOff>135465</xdr:rowOff>
    </xdr:from>
    <xdr:to>
      <xdr:col>0</xdr:col>
      <xdr:colOff>1699260</xdr:colOff>
      <xdr:row>17</xdr:row>
      <xdr:rowOff>160866</xdr:rowOff>
    </xdr:to>
    <mc:AlternateContent xmlns:mc="http://schemas.openxmlformats.org/markup-compatibility/2006" xmlns:sle15="http://schemas.microsoft.com/office/drawing/2012/slicer">
      <mc:Choice Requires="sle15">
        <xdr:graphicFrame macro="">
          <xdr:nvGraphicFramePr>
            <xdr:cNvPr id="4" name="Department">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91440" y="2277532"/>
              <a:ext cx="1607820" cy="1515534"/>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80432</xdr:colOff>
      <xdr:row>2</xdr:row>
      <xdr:rowOff>73659</xdr:rowOff>
    </xdr:from>
    <xdr:to>
      <xdr:col>0</xdr:col>
      <xdr:colOff>1701799</xdr:colOff>
      <xdr:row>9</xdr:row>
      <xdr:rowOff>59265</xdr:rowOff>
    </xdr:to>
    <mc:AlternateContent xmlns:mc="http://schemas.openxmlformats.org/markup-compatibility/2006" xmlns:sle15="http://schemas.microsoft.com/office/drawing/2012/slicer">
      <mc:Choice Requires="sle15">
        <xdr:graphicFrame macro="">
          <xdr:nvGraphicFramePr>
            <xdr:cNvPr id="5" name="Project Role">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roject Role"/>
            </a:graphicData>
          </a:graphic>
        </xdr:graphicFrame>
      </mc:Choice>
      <mc:Fallback xmlns="">
        <xdr:sp macro="" textlink="">
          <xdr:nvSpPr>
            <xdr:cNvPr id="0" name=""/>
            <xdr:cNvSpPr>
              <a:spLocks noTextEdit="1"/>
            </xdr:cNvSpPr>
          </xdr:nvSpPr>
          <xdr:spPr>
            <a:xfrm>
              <a:off x="80432" y="911859"/>
              <a:ext cx="1621367" cy="1289473"/>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106680</xdr:colOff>
      <xdr:row>0</xdr:row>
      <xdr:rowOff>45720</xdr:rowOff>
    </xdr:from>
    <xdr:to>
      <xdr:col>1</xdr:col>
      <xdr:colOff>510540</xdr:colOff>
      <xdr:row>0</xdr:row>
      <xdr:rowOff>274320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06680" y="45720"/>
          <a:ext cx="1013460"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83820</xdr:colOff>
      <xdr:row>3</xdr:row>
      <xdr:rowOff>22860</xdr:rowOff>
    </xdr:from>
    <xdr:to>
      <xdr:col>0</xdr:col>
      <xdr:colOff>1341120</xdr:colOff>
      <xdr:row>3</xdr:row>
      <xdr:rowOff>190500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83820" y="388620"/>
          <a:ext cx="125730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t>VIEW</a:t>
          </a:r>
          <a:r>
            <a:rPr lang="en-PH" sz="800" baseline="0"/>
            <a:t> DASHBOARD</a:t>
          </a:r>
          <a:endParaRPr lang="en-PH" sz="8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293792</xdr:colOff>
      <xdr:row>8</xdr:row>
      <xdr:rowOff>41045</xdr:rowOff>
    </xdr:from>
    <xdr:to>
      <xdr:col>9</xdr:col>
      <xdr:colOff>53007</xdr:colOff>
      <xdr:row>17</xdr:row>
      <xdr:rowOff>68317</xdr:rowOff>
    </xdr:to>
    <xdr:grpSp>
      <xdr:nvGrpSpPr>
        <xdr:cNvPr id="33" name="Group 32">
          <a:extLst>
            <a:ext uri="{FF2B5EF4-FFF2-40B4-BE49-F238E27FC236}">
              <a16:creationId xmlns:a16="http://schemas.microsoft.com/office/drawing/2014/main" id="{00000000-0008-0000-0A00-000021000000}"/>
            </a:ext>
          </a:extLst>
        </xdr:cNvPr>
        <xdr:cNvGrpSpPr/>
      </xdr:nvGrpSpPr>
      <xdr:grpSpPr>
        <a:xfrm>
          <a:off x="1674357" y="1287139"/>
          <a:ext cx="4474650" cy="1640919"/>
          <a:chOff x="3759139" y="1237535"/>
          <a:chExt cx="4375009" cy="1845073"/>
        </a:xfrm>
        <a:solidFill>
          <a:schemeClr val="accent5">
            <a:lumMod val="20000"/>
            <a:lumOff val="80000"/>
          </a:schemeClr>
        </a:solidFill>
      </xdr:grpSpPr>
      <xdr:sp macro="" textlink="">
        <xdr:nvSpPr>
          <xdr:cNvPr id="27" name="TextBox 26">
            <a:extLst>
              <a:ext uri="{FF2B5EF4-FFF2-40B4-BE49-F238E27FC236}">
                <a16:creationId xmlns:a16="http://schemas.microsoft.com/office/drawing/2014/main" id="{00000000-0008-0000-0A00-00001B000000}"/>
              </a:ext>
            </a:extLst>
          </xdr:cNvPr>
          <xdr:cNvSpPr txBox="1"/>
        </xdr:nvSpPr>
        <xdr:spPr>
          <a:xfrm>
            <a:off x="4345768" y="1245707"/>
            <a:ext cx="3788380" cy="1209451"/>
          </a:xfrm>
          <a:prstGeom prst="rect">
            <a:avLst/>
          </a:prstGeom>
          <a:grpFill/>
          <a:ln>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1000" b="0" i="0" u="none" strike="noStrike">
              <a:solidFill>
                <a:srgbClr val="000000"/>
              </a:solidFill>
              <a:latin typeface="Arial"/>
              <a:cs typeface="Arial"/>
            </a:endParaRPr>
          </a:p>
        </xdr:txBody>
      </xdr:sp>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3759139" y="1486413"/>
          <a:ext cx="2334335" cy="1596195"/>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9" name="TextBox 28">
            <a:extLst>
              <a:ext uri="{FF2B5EF4-FFF2-40B4-BE49-F238E27FC236}">
                <a16:creationId xmlns:a16="http://schemas.microsoft.com/office/drawing/2014/main" id="{00000000-0008-0000-0A00-00001D000000}"/>
              </a:ext>
            </a:extLst>
          </xdr:cNvPr>
          <xdr:cNvSpPr txBox="1"/>
        </xdr:nvSpPr>
        <xdr:spPr>
          <a:xfrm>
            <a:off x="5291694" y="1237535"/>
            <a:ext cx="1395276" cy="301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PH" sz="1100" b="1" i="0" baseline="0">
                <a:solidFill>
                  <a:schemeClr val="tx1">
                    <a:lumMod val="65000"/>
                    <a:lumOff val="35000"/>
                  </a:schemeClr>
                </a:solidFill>
                <a:effectLst/>
                <a:latin typeface="+mn-lt"/>
                <a:ea typeface="+mn-ea"/>
                <a:cs typeface="+mn-cs"/>
              </a:rPr>
              <a:t>PROGRESS</a:t>
            </a:r>
            <a:endParaRPr lang="en-PH" sz="1100">
              <a:solidFill>
                <a:schemeClr val="tx1">
                  <a:lumMod val="65000"/>
                  <a:lumOff val="35000"/>
                </a:schemeClr>
              </a:solidFill>
              <a:effectLst/>
            </a:endParaRPr>
          </a:p>
        </xdr:txBody>
      </xdr:sp>
      <xdr:sp macro="" textlink="'Project Data'!X6">
        <xdr:nvSpPr>
          <xdr:cNvPr id="31" name="TextBox 30">
            <a:extLst>
              <a:ext uri="{FF2B5EF4-FFF2-40B4-BE49-F238E27FC236}">
                <a16:creationId xmlns:a16="http://schemas.microsoft.com/office/drawing/2014/main" id="{00000000-0008-0000-0A00-00001F000000}"/>
              </a:ext>
            </a:extLst>
          </xdr:cNvPr>
          <xdr:cNvSpPr txBox="1"/>
        </xdr:nvSpPr>
        <xdr:spPr>
          <a:xfrm>
            <a:off x="4852841" y="1863441"/>
            <a:ext cx="632252" cy="42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fld id="{C78D5C9C-F67B-4CBF-9123-8F6B3A2F9A1E}" type="TxLink">
              <a:rPr lang="en-US" sz="1800" b="1" i="0" u="none" strike="noStrike">
                <a:solidFill>
                  <a:srgbClr val="000000"/>
                </a:solidFill>
                <a:effectLst/>
                <a:latin typeface="Arial"/>
                <a:cs typeface="Arial"/>
              </a:rPr>
              <a:pPr marL="0" marR="0" lvl="0" indent="0" algn="ctr" defTabSz="914400" rtl="0" eaLnBrk="1" fontAlgn="auto" latinLnBrk="0" hangingPunct="1">
                <a:lnSpc>
                  <a:spcPct val="100000"/>
                </a:lnSpc>
                <a:spcBef>
                  <a:spcPts val="0"/>
                </a:spcBef>
                <a:spcAft>
                  <a:spcPts val="0"/>
                </a:spcAft>
                <a:buClrTx/>
                <a:buSzTx/>
                <a:buFontTx/>
                <a:buNone/>
                <a:tabLst/>
                <a:defRPr/>
              </a:pPr>
              <a:t>48%</a:t>
            </a:fld>
            <a:endParaRPr lang="en-PH" sz="2800" b="1">
              <a:solidFill>
                <a:schemeClr val="tx1">
                  <a:lumMod val="65000"/>
                  <a:lumOff val="35000"/>
                </a:schemeClr>
              </a:solidFill>
              <a:effectLst/>
            </a:endParaRPr>
          </a:p>
        </xdr:txBody>
      </xdr:sp>
      <xdr:sp macro="" textlink="">
        <xdr:nvSpPr>
          <xdr:cNvPr id="32" name="TextBox 31">
            <a:extLst>
              <a:ext uri="{FF2B5EF4-FFF2-40B4-BE49-F238E27FC236}">
                <a16:creationId xmlns:a16="http://schemas.microsoft.com/office/drawing/2014/main" id="{00000000-0008-0000-0A00-000020000000}"/>
              </a:ext>
            </a:extLst>
          </xdr:cNvPr>
          <xdr:cNvSpPr txBox="1"/>
        </xdr:nvSpPr>
        <xdr:spPr>
          <a:xfrm>
            <a:off x="4891660" y="2151015"/>
            <a:ext cx="591309" cy="210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PH" sz="700" b="1" i="0" baseline="0">
                <a:solidFill>
                  <a:schemeClr val="bg1">
                    <a:lumMod val="65000"/>
                  </a:schemeClr>
                </a:solidFill>
                <a:effectLst/>
                <a:latin typeface="+mn-lt"/>
                <a:ea typeface="+mn-ea"/>
                <a:cs typeface="+mn-cs"/>
              </a:rPr>
              <a:t>COMPLETE</a:t>
            </a:r>
            <a:endParaRPr lang="en-PH" sz="700">
              <a:solidFill>
                <a:schemeClr val="bg1">
                  <a:lumMod val="65000"/>
                </a:schemeClr>
              </a:solidFill>
              <a:effectLst/>
            </a:endParaRPr>
          </a:p>
        </xdr:txBody>
      </xdr:sp>
    </xdr:grpSp>
    <xdr:clientData/>
  </xdr:twoCellAnchor>
  <xdr:twoCellAnchor>
    <xdr:from>
      <xdr:col>5</xdr:col>
      <xdr:colOff>437986</xdr:colOff>
      <xdr:row>8</xdr:row>
      <xdr:rowOff>82826</xdr:rowOff>
    </xdr:from>
    <xdr:to>
      <xdr:col>10</xdr:col>
      <xdr:colOff>262758</xdr:colOff>
      <xdr:row>14</xdr:row>
      <xdr:rowOff>75206</xdr:rowOff>
    </xdr:to>
    <xdr:graphicFrame macro="">
      <xdr:nvGraphicFramePr>
        <xdr:cNvPr id="2" name="Chart 1" title="dfdf">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26505</xdr:colOff>
      <xdr:row>14</xdr:row>
      <xdr:rowOff>125894</xdr:rowOff>
    </xdr:from>
    <xdr:to>
      <xdr:col>3</xdr:col>
      <xdr:colOff>26505</xdr:colOff>
      <xdr:row>22</xdr:row>
      <xdr:rowOff>152399</xdr:rowOff>
    </xdr:to>
    <xdr:graphicFrame macro="">
      <xdr:nvGraphicFramePr>
        <xdr:cNvPr id="38" name="Chart 37">
          <a:extLst>
            <a:ext uri="{FF2B5EF4-FFF2-40B4-BE49-F238E27FC236}">
              <a16:creationId xmlns:a16="http://schemas.microsoft.com/office/drawing/2014/main" id="{00000000-0008-0000-0A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66262</xdr:colOff>
      <xdr:row>14</xdr:row>
      <xdr:rowOff>125894</xdr:rowOff>
    </xdr:from>
    <xdr:to>
      <xdr:col>6</xdr:col>
      <xdr:colOff>46383</xdr:colOff>
      <xdr:row>22</xdr:row>
      <xdr:rowOff>152399</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86140</xdr:colOff>
      <xdr:row>14</xdr:row>
      <xdr:rowOff>125894</xdr:rowOff>
    </xdr:from>
    <xdr:to>
      <xdr:col>9</xdr:col>
      <xdr:colOff>53009</xdr:colOff>
      <xdr:row>22</xdr:row>
      <xdr:rowOff>152399</xdr:rowOff>
    </xdr:to>
    <xdr:graphicFrame macro="">
      <xdr:nvGraphicFramePr>
        <xdr:cNvPr id="40" name="Chart 39">
          <a:extLst>
            <a:ext uri="{FF2B5EF4-FFF2-40B4-BE49-F238E27FC236}">
              <a16:creationId xmlns:a16="http://schemas.microsoft.com/office/drawing/2014/main" id="{00000000-0008-0000-0A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xdr:row>
      <xdr:rowOff>41045</xdr:rowOff>
    </xdr:from>
    <xdr:to>
      <xdr:col>3</xdr:col>
      <xdr:colOff>198784</xdr:colOff>
      <xdr:row>14</xdr:row>
      <xdr:rowOff>47671</xdr:rowOff>
    </xdr:to>
    <xdr:grpSp>
      <xdr:nvGrpSpPr>
        <xdr:cNvPr id="44" name="Group 43">
          <a:extLst>
            <a:ext uri="{FF2B5EF4-FFF2-40B4-BE49-F238E27FC236}">
              <a16:creationId xmlns:a16="http://schemas.microsoft.com/office/drawing/2014/main" id="{00000000-0008-0000-0A00-00002C000000}"/>
            </a:ext>
          </a:extLst>
        </xdr:cNvPr>
        <xdr:cNvGrpSpPr/>
      </xdr:nvGrpSpPr>
      <xdr:grpSpPr>
        <a:xfrm>
          <a:off x="0" y="1287139"/>
          <a:ext cx="2215843" cy="1082391"/>
          <a:chOff x="1994708" y="1332849"/>
          <a:chExt cx="2150169" cy="1097140"/>
        </a:xfrm>
      </xdr:grpSpPr>
      <xdr:sp macro="" textlink="">
        <xdr:nvSpPr>
          <xdr:cNvPr id="43" name="TextBox 42">
            <a:extLst>
              <a:ext uri="{FF2B5EF4-FFF2-40B4-BE49-F238E27FC236}">
                <a16:creationId xmlns:a16="http://schemas.microsoft.com/office/drawing/2014/main" id="{00000000-0008-0000-0A00-00002B000000}"/>
              </a:ext>
            </a:extLst>
          </xdr:cNvPr>
          <xdr:cNvSpPr txBox="1"/>
        </xdr:nvSpPr>
        <xdr:spPr>
          <a:xfrm>
            <a:off x="2033959" y="1332849"/>
            <a:ext cx="2110918" cy="1083620"/>
          </a:xfrm>
          <a:prstGeom prst="rect">
            <a:avLst/>
          </a:prstGeom>
          <a:solidFill>
            <a:schemeClr val="accent5">
              <a:lumMod val="20000"/>
              <a:lumOff val="80000"/>
            </a:schemeClr>
          </a:solidFill>
          <a:ln>
            <a:solidFill>
              <a:schemeClr val="bg1">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1000" b="0" i="0" u="none" strike="noStrike">
              <a:solidFill>
                <a:srgbClr val="000000"/>
              </a:solidFill>
              <a:latin typeface="Arial"/>
              <a:cs typeface="Arial"/>
            </a:endParaRPr>
          </a:p>
        </xdr:txBody>
      </xdr:sp>
      <xdr:graphicFrame macro="">
        <xdr:nvGraphicFramePr>
          <xdr:cNvPr id="41" name="Chart 10">
            <a:extLst>
              <a:ext uri="{FF2B5EF4-FFF2-40B4-BE49-F238E27FC236}">
                <a16:creationId xmlns:a16="http://schemas.microsoft.com/office/drawing/2014/main" id="{00000000-0008-0000-0A00-000029000000}"/>
              </a:ext>
            </a:extLst>
          </xdr:cNvPr>
          <xdr:cNvGraphicFramePr>
            <a:graphicFrameLocks/>
          </xdr:cNvGraphicFramePr>
        </xdr:nvGraphicFramePr>
        <xdr:xfrm>
          <a:off x="1994708" y="1352996"/>
          <a:ext cx="2104291" cy="107699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xdr:col>
      <xdr:colOff>393163</xdr:colOff>
      <xdr:row>11</xdr:row>
      <xdr:rowOff>170289</xdr:rowOff>
    </xdr:from>
    <xdr:to>
      <xdr:col>2</xdr:col>
      <xdr:colOff>379912</xdr:colOff>
      <xdr:row>12</xdr:row>
      <xdr:rowOff>169448</xdr:rowOff>
    </xdr:to>
    <xdr:sp macro="" textlink="">
      <xdr:nvSpPr>
        <xdr:cNvPr id="16" name="TextBox 15">
          <a:extLst>
            <a:ext uri="{FF2B5EF4-FFF2-40B4-BE49-F238E27FC236}">
              <a16:creationId xmlns:a16="http://schemas.microsoft.com/office/drawing/2014/main" id="{00000000-0008-0000-0A00-000010000000}"/>
            </a:ext>
          </a:extLst>
        </xdr:cNvPr>
        <xdr:cNvSpPr txBox="1"/>
      </xdr:nvSpPr>
      <xdr:spPr>
        <a:xfrm>
          <a:off x="1055014" y="1972963"/>
          <a:ext cx="644247" cy="1820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900" b="1" i="0" baseline="0">
              <a:solidFill>
                <a:schemeClr val="tx1">
                  <a:lumMod val="65000"/>
                  <a:lumOff val="35000"/>
                </a:schemeClr>
              </a:solidFill>
              <a:effectLst/>
              <a:latin typeface="+mn-lt"/>
              <a:ea typeface="+mn-ea"/>
              <a:cs typeface="+mn-cs"/>
            </a:rPr>
            <a:t>SPENT</a:t>
          </a:r>
          <a:endParaRPr lang="en-PH" sz="900">
            <a:solidFill>
              <a:schemeClr val="tx1">
                <a:lumMod val="65000"/>
                <a:lumOff val="35000"/>
              </a:schemeClr>
            </a:solidFill>
            <a:effectLst/>
          </a:endParaRPr>
        </a:p>
      </xdr:txBody>
    </xdr:sp>
    <xdr:clientData/>
  </xdr:twoCellAnchor>
  <xdr:twoCellAnchor>
    <xdr:from>
      <xdr:col>1</xdr:col>
      <xdr:colOff>369734</xdr:colOff>
      <xdr:row>9</xdr:row>
      <xdr:rowOff>139147</xdr:rowOff>
    </xdr:from>
    <xdr:to>
      <xdr:col>2</xdr:col>
      <xdr:colOff>542015</xdr:colOff>
      <xdr:row>10</xdr:row>
      <xdr:rowOff>99393</xdr:rowOff>
    </xdr:to>
    <xdr:sp macro="" textlink="">
      <xdr:nvSpPr>
        <xdr:cNvPr id="17" name="TextBox 16">
          <a:extLst>
            <a:ext uri="{FF2B5EF4-FFF2-40B4-BE49-F238E27FC236}">
              <a16:creationId xmlns:a16="http://schemas.microsoft.com/office/drawing/2014/main" id="{00000000-0008-0000-0A00-000011000000}"/>
            </a:ext>
          </a:extLst>
        </xdr:cNvPr>
        <xdr:cNvSpPr txBox="1"/>
      </xdr:nvSpPr>
      <xdr:spPr>
        <a:xfrm>
          <a:off x="1031585" y="1576061"/>
          <a:ext cx="829779" cy="1431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PH" sz="900" b="1" i="0" baseline="0">
              <a:solidFill>
                <a:schemeClr val="tx1">
                  <a:lumMod val="65000"/>
                  <a:lumOff val="35000"/>
                </a:schemeClr>
              </a:solidFill>
              <a:effectLst/>
              <a:latin typeface="+mn-lt"/>
              <a:ea typeface="+mn-ea"/>
              <a:cs typeface="+mn-cs"/>
            </a:rPr>
            <a:t>REMAINING</a:t>
          </a:r>
          <a:endParaRPr lang="en-PH" sz="900">
            <a:solidFill>
              <a:schemeClr val="tx1">
                <a:lumMod val="65000"/>
                <a:lumOff val="35000"/>
              </a:schemeClr>
            </a:solidFill>
            <a:effectLst/>
          </a:endParaRP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0.13626</cdr:x>
      <cdr:y>0.4432</cdr:y>
    </cdr:from>
    <cdr:to>
      <cdr:x>0.41325</cdr:x>
      <cdr:y>0.68459</cdr:y>
    </cdr:to>
    <cdr:sp macro="" textlink="'Project Data'!AA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286219" y="487488"/>
          <a:ext cx="581798" cy="265512"/>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B4189BAF-AD19-4064-9603-3DB57F61A041}" type="TxLink">
            <a:rPr lang="en-US" sz="1100" b="1" i="0" u="none" strike="noStrike">
              <a:solidFill>
                <a:srgbClr val="000000"/>
              </a:solidFill>
              <a:latin typeface="Calibri"/>
              <a:cs typeface="Calibri"/>
            </a:rPr>
            <a:pPr algn="ctr"/>
            <a:t>20%</a:t>
          </a:fld>
          <a:endParaRPr lang="en-AU" sz="3600" b="1"/>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hn Paul Asensi" refreshedDate="44610.826098148151" createdVersion="7" refreshedVersion="7" minRefreshableVersion="3" recordCount="102" xr:uid="{851A482B-DFB8-4795-8E88-65150653F13D}">
  <cacheSource type="worksheet">
    <worksheetSource name="TaskTable5"/>
  </cacheSource>
  <cacheFields count="20">
    <cacheField name="WBS" numFmtId="0">
      <sharedItems containsMixedTypes="1" containsNumber="1" minValue="1" maxValue="13.2"/>
    </cacheField>
    <cacheField name="PHASE" numFmtId="0">
      <sharedItems containsBlank="1"/>
    </cacheField>
    <cacheField name="MAIN PHASE" numFmtId="1">
      <sharedItems count="13">
        <s v="Project Kick-off"/>
        <s v="Data Sanitation and training content creation"/>
        <s v="Development"/>
        <s v="System Integration Testing"/>
        <s v="Training"/>
        <s v="PRG Business Process Creation - BRD"/>
        <s v="Configuration and Migration"/>
        <s v="Data Migration"/>
        <s v="Infrastructure"/>
        <s v="Pre Live Checklist/Preparation"/>
        <s v="Dry Run"/>
        <s v="Marketing Advertisements/Promotions"/>
        <s v="Go Live "/>
      </sharedItems>
    </cacheField>
    <cacheField name="SP-1" numFmtId="0">
      <sharedItems containsMixedTypes="1" containsNumber="1" containsInteger="1" minValue="0" maxValue="0" count="14">
        <s v="NONE"/>
        <s v="Data Extraction"/>
        <s v="Suki App"/>
        <s v="Test Scripts Creation"/>
        <s v="BRD Creation"/>
        <s v="BRD Submission"/>
        <s v="BRD Processing"/>
        <s v="Configure Business Settings"/>
        <s v="Master Products"/>
        <s v="Stable Internet Connection"/>
        <s v="Install and configure all Hardwares"/>
        <s v="Setup of Hardware and Connectivity"/>
        <s v="Flyers"/>
        <n v="0"/>
      </sharedItems>
    </cacheField>
    <cacheField name="SP-2" numFmtId="0">
      <sharedItems count="68">
        <s v="NONE"/>
        <s v="Data Clean-up"/>
        <s v="Product Update in JDA and My Suki"/>
        <s v="Data Clean-up Sign-off"/>
        <s v="Training Content Creation - Store Operation"/>
        <s v="Training Content Creation - For Customer"/>
        <s v="Training Content Sign-off"/>
        <s v="Suki Hub"/>
        <s v="Picker-Checker"/>
        <s v="Barter Middleware (Merging to prod version)"/>
        <s v="POS Interface"/>
        <s v="Core Middleware"/>
        <s v="Barter POS"/>
        <s v="Multiple Branch Capabilities"/>
        <s v="Customer Loyalty Points"/>
        <s v="System Integration Testing"/>
        <s v="Bugs Fixing"/>
        <s v="Re-testing"/>
        <s v="Sign-off"/>
        <s v="Picker-Checker-Driver"/>
        <s v="Suki App"/>
        <s v="Daily Inventory Uploading and Branch synching"/>
        <s v="Suki Agent"/>
        <s v="Data Management"/>
        <s v="Payment Collections"/>
        <s v="Exceptions and Limitations"/>
        <s v="Support Org Chart"/>
        <s v="Customer Awareness"/>
        <s v="Guidelines and policies"/>
        <s v="Company Configuration"/>
        <s v="Service Level Agreement"/>
        <s v="Shipping Rates"/>
        <s v="Advanced Configuration"/>
        <s v="Configure User Accesss for Suki Hub"/>
        <s v="Provide complete list of Users"/>
        <s v="Configure Users"/>
        <s v="Popular Products"/>
        <s v="Membership Data"/>
        <s v="Inventory"/>
        <s v="Images"/>
        <s v="Wifi acess for entire Store"/>
        <s v="Suki Hardware"/>
        <s v="PDTs"/>
        <s v="LAN Receipt Printer for Picker"/>
        <s v="Dedicated Barter POS"/>
        <s v="Barter POS Hardware"/>
        <s v="Double check all Hardwares if working"/>
        <s v="Check if all Hardwares if working"/>
        <s v="PDTs and Printer"/>
        <s v="POS"/>
        <s v="Wifi speed and availability in entire Stores"/>
        <s v="Double check and stress test Middleware"/>
        <s v="Checklist"/>
        <s v="Do we have Pickers?"/>
        <s v="Do we have central contact or lines?"/>
        <s v="Do we have Checker?"/>
        <s v="Do we have Delivery vehicle and driver?"/>
        <s v="Do we have dedicated lanes/section for Pickup?"/>
        <s v="Do we have dedicated resource for Money remittances?"/>
        <s v="Setup of Barter Suki Integration"/>
        <s v="Setup Picker-Checker-Driver Apps"/>
        <s v="Onboard assigned resources for Picker-Checker-Driver"/>
        <s v="Goods Fill Rate"/>
        <s v="Data re-synching"/>
        <s v="Trial Run (Targeted Customers)"/>
        <s v="Hypercare"/>
        <s v="Social Sites (Organique)"/>
        <s v="Freebies/GCs"/>
      </sharedItems>
    </cacheField>
    <cacheField name="SP-3" numFmtId="0">
      <sharedItems count="1">
        <s v="NONE"/>
      </sharedItems>
    </cacheField>
    <cacheField name="SP-4" numFmtId="0">
      <sharedItems/>
    </cacheField>
    <cacheField name="LEAD" numFmtId="0">
      <sharedItems containsBlank="1"/>
    </cacheField>
    <cacheField name="PREDECESSOR" numFmtId="0">
      <sharedItems containsNonDate="0" containsString="0" containsBlank="1"/>
    </cacheField>
    <cacheField name="WBS Level" numFmtId="0">
      <sharedItems containsSemiMixedTypes="0" containsString="0" containsNumber="1" containsInteger="1" minValue="2" maxValue="4"/>
    </cacheField>
    <cacheField name="PLANNED START" numFmtId="166">
      <sharedItems containsNonDate="0" containsDate="1" containsString="0" containsBlank="1" minDate="2020-03-25T00:00:00" maxDate="2020-05-29T00:00:00"/>
    </cacheField>
    <cacheField name="PLANNED END" numFmtId="166">
      <sharedItems containsNonDate="0" containsDate="1" containsString="0" containsBlank="1" minDate="2020-03-29T00:00:00" maxDate="2020-12-08T00:00:00"/>
    </cacheField>
    <cacheField name="PLANNED DAYS" numFmtId="0">
      <sharedItems containsString="0" containsBlank="1" containsNumber="1" containsInteger="1" minValue="1" maxValue="147"/>
    </cacheField>
    <cacheField name="ACTUAL START" numFmtId="0">
      <sharedItems containsNonDate="0" containsString="0" containsBlank="1"/>
    </cacheField>
    <cacheField name="ACTUAL END" numFmtId="0">
      <sharedItems containsNonDate="0" containsString="0" containsBlank="1"/>
    </cacheField>
    <cacheField name="ACTUAL DAYS" numFmtId="0">
      <sharedItems containsNonDate="0" containsString="0" containsBlank="1"/>
    </cacheField>
    <cacheField name="STATUS" numFmtId="0">
      <sharedItems containsBlank="1"/>
    </cacheField>
    <cacheField name="CMPLT" numFmtId="1">
      <sharedItems containsMixedTypes="1" containsNumber="1" containsInteger="1" minValue="1" maxValue="1"/>
    </cacheField>
    <cacheField name="% DONE" numFmtId="9">
      <sharedItems containsString="0" containsBlank="1" containsNumber="1" minValue="0" maxValue="1"/>
    </cacheField>
    <cacheField name="WORK DAYS" numFmtId="0">
      <sharedItems containsString="0" containsBlank="1" containsNumber="1" containsInteger="1" minValue="0" maxValue="14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
  <r>
    <n v="1"/>
    <s v="Project Kick-off"/>
    <x v="0"/>
    <x v="0"/>
    <x v="0"/>
    <x v="0"/>
    <s v="NONE"/>
    <s v="AC"/>
    <m/>
    <n v="2"/>
    <d v="2020-03-25T00:00:00"/>
    <d v="2020-03-29T00:00:00"/>
    <n v="5"/>
    <m/>
    <m/>
    <m/>
    <s v="IN PROGRESS"/>
    <s v=""/>
    <n v="1"/>
    <n v="3"/>
  </r>
  <r>
    <n v="2"/>
    <s v="Data Sanitation and training content creation"/>
    <x v="1"/>
    <x v="0"/>
    <x v="0"/>
    <x v="0"/>
    <s v="NONE"/>
    <s v="KT/DT/_x000a_BP"/>
    <m/>
    <n v="2"/>
    <d v="2020-04-13T00:00:00"/>
    <d v="2020-05-12T00:00:00"/>
    <n v="22"/>
    <m/>
    <m/>
    <m/>
    <s v="COMPLETE"/>
    <n v="1"/>
    <n v="0.5"/>
    <n v="22"/>
  </r>
  <r>
    <n v="2.1"/>
    <s v="Data Extraction"/>
    <x v="1"/>
    <x v="1"/>
    <x v="0"/>
    <x v="0"/>
    <s v="NONE"/>
    <s v="Bpublico"/>
    <m/>
    <n v="3"/>
    <d v="2020-04-13T00:00:00"/>
    <d v="2020-04-17T00:00:00"/>
    <n v="5"/>
    <m/>
    <m/>
    <m/>
    <s v="COMPLETE"/>
    <n v="1"/>
    <n v="1"/>
    <n v="5"/>
  </r>
  <r>
    <s v="2.1.1"/>
    <s v="Data Clean-up"/>
    <x v="1"/>
    <x v="1"/>
    <x v="1"/>
    <x v="0"/>
    <s v="NONE"/>
    <s v="Ktamis"/>
    <m/>
    <n v="4"/>
    <d v="2020-04-17T00:00:00"/>
    <d v="2020-05-07T00:00:00"/>
    <n v="21"/>
    <m/>
    <m/>
    <m/>
    <s v="COMPLETE"/>
    <n v="1"/>
    <n v="1"/>
    <n v="15"/>
  </r>
  <r>
    <s v="2.1.2"/>
    <s v="Product Update in JDA and My Suki"/>
    <x v="1"/>
    <x v="1"/>
    <x v="2"/>
    <x v="0"/>
    <s v="NONE"/>
    <s v="Ktamis"/>
    <m/>
    <n v="4"/>
    <d v="2020-04-17T00:00:00"/>
    <d v="2020-04-20T00:00:00"/>
    <n v="4"/>
    <m/>
    <m/>
    <m/>
    <s v="COMPLETE"/>
    <n v="1"/>
    <n v="0.9"/>
    <n v="2"/>
  </r>
  <r>
    <s v="2.1.3"/>
    <s v="Data Clean-up Sign-off"/>
    <x v="1"/>
    <x v="1"/>
    <x v="3"/>
    <x v="0"/>
    <s v="NONE"/>
    <m/>
    <m/>
    <n v="4"/>
    <d v="2020-05-07T00:00:00"/>
    <d v="2020-05-07T00:00:00"/>
    <n v="1"/>
    <m/>
    <m/>
    <m/>
    <m/>
    <s v=""/>
    <n v="0"/>
    <n v="1"/>
  </r>
  <r>
    <s v="2.1.4"/>
    <s v="Training Content Creation - Store Operation"/>
    <x v="1"/>
    <x v="1"/>
    <x v="4"/>
    <x v="0"/>
    <s v="NONE"/>
    <s v="Bpublico"/>
    <m/>
    <n v="4"/>
    <d v="2020-04-20T00:00:00"/>
    <d v="2020-05-12T00:00:00"/>
    <n v="23"/>
    <m/>
    <m/>
    <m/>
    <s v="COMPLETE"/>
    <n v="1"/>
    <n v="1"/>
    <n v="17"/>
  </r>
  <r>
    <s v="2.1.5"/>
    <s v="Training Content Creation - For Customer"/>
    <x v="1"/>
    <x v="1"/>
    <x v="5"/>
    <x v="0"/>
    <s v="NONE"/>
    <s v="Bpublico"/>
    <m/>
    <n v="4"/>
    <d v="2020-04-20T00:00:00"/>
    <d v="2020-05-12T00:00:00"/>
    <n v="23"/>
    <m/>
    <m/>
    <m/>
    <s v="COMPLETE"/>
    <n v="1"/>
    <n v="1"/>
    <n v="17"/>
  </r>
  <r>
    <s v="2.1.6"/>
    <s v="Training Content Sign-off"/>
    <x v="1"/>
    <x v="1"/>
    <x v="6"/>
    <x v="0"/>
    <s v="NONE"/>
    <m/>
    <m/>
    <n v="4"/>
    <d v="2020-05-12T00:00:00"/>
    <d v="2020-05-12T00:00:00"/>
    <n v="1"/>
    <m/>
    <m/>
    <m/>
    <m/>
    <s v=""/>
    <n v="0"/>
    <n v="1"/>
  </r>
  <r>
    <n v="3"/>
    <s v="Development"/>
    <x v="2"/>
    <x v="0"/>
    <x v="0"/>
    <x v="0"/>
    <s v="NONE"/>
    <s v="BP"/>
    <m/>
    <n v="2"/>
    <d v="2020-04-08T00:00:00"/>
    <d v="2020-05-08T00:00:00"/>
    <n v="23"/>
    <m/>
    <m/>
    <m/>
    <s v="COMPLETE"/>
    <n v="1"/>
    <n v="1"/>
    <n v="23"/>
  </r>
  <r>
    <n v="3.1"/>
    <s v="Suki App"/>
    <x v="2"/>
    <x v="2"/>
    <x v="0"/>
    <x v="0"/>
    <s v="NONE"/>
    <m/>
    <m/>
    <n v="3"/>
    <d v="2020-04-08T00:00:00"/>
    <d v="2020-04-08T00:00:00"/>
    <n v="1"/>
    <m/>
    <m/>
    <m/>
    <s v="COMPLETE"/>
    <n v="1"/>
    <n v="0.4"/>
    <n v="1"/>
  </r>
  <r>
    <s v="3.1.1"/>
    <s v="Suki Hub"/>
    <x v="2"/>
    <x v="2"/>
    <x v="7"/>
    <x v="0"/>
    <s v="NONE"/>
    <m/>
    <m/>
    <n v="4"/>
    <d v="2020-04-08T00:00:00"/>
    <d v="2020-04-08T00:00:00"/>
    <n v="1"/>
    <m/>
    <m/>
    <m/>
    <s v="COMPLETE"/>
    <n v="1"/>
    <n v="1"/>
    <n v="1"/>
  </r>
  <r>
    <s v="3.1.2"/>
    <s v="Picker-Checker"/>
    <x v="2"/>
    <x v="2"/>
    <x v="8"/>
    <x v="0"/>
    <s v="NONE"/>
    <m/>
    <m/>
    <n v="4"/>
    <d v="2020-04-08T00:00:00"/>
    <d v="2020-04-08T00:00:00"/>
    <n v="1"/>
    <m/>
    <m/>
    <m/>
    <s v="COMPLETE"/>
    <n v="1"/>
    <n v="1"/>
    <n v="1"/>
  </r>
  <r>
    <s v="3.1.3"/>
    <s v="Barter Middleware (Merging to prod version)"/>
    <x v="2"/>
    <x v="2"/>
    <x v="9"/>
    <x v="0"/>
    <s v="NONE"/>
    <m/>
    <m/>
    <n v="4"/>
    <d v="2020-05-01T00:00:00"/>
    <d v="2020-05-08T00:00:00"/>
    <n v="8"/>
    <m/>
    <m/>
    <m/>
    <s v="COMPLETE"/>
    <n v="1"/>
    <n v="1"/>
    <n v="6"/>
  </r>
  <r>
    <s v="3.1.4"/>
    <s v="POS Interface"/>
    <x v="2"/>
    <x v="2"/>
    <x v="10"/>
    <x v="0"/>
    <s v="NONE"/>
    <m/>
    <m/>
    <n v="4"/>
    <d v="2020-05-01T00:00:00"/>
    <d v="2020-05-08T00:00:00"/>
    <n v="8"/>
    <m/>
    <m/>
    <m/>
    <s v="COMPLETE"/>
    <n v="1"/>
    <n v="1"/>
    <n v="6"/>
  </r>
  <r>
    <s v="3.1.5"/>
    <s v="Core Middleware"/>
    <x v="2"/>
    <x v="2"/>
    <x v="11"/>
    <x v="0"/>
    <s v="NONE"/>
    <m/>
    <m/>
    <n v="4"/>
    <d v="2020-05-01T00:00:00"/>
    <d v="2020-05-08T00:00:00"/>
    <n v="8"/>
    <m/>
    <m/>
    <m/>
    <s v="COMPLETE"/>
    <n v="1"/>
    <n v="1"/>
    <n v="6"/>
  </r>
  <r>
    <s v="3.1.6"/>
    <s v="Barter POS"/>
    <x v="2"/>
    <x v="2"/>
    <x v="12"/>
    <x v="0"/>
    <s v="NONE"/>
    <m/>
    <m/>
    <n v="4"/>
    <d v="2020-05-01T00:00:00"/>
    <d v="2020-05-08T00:00:00"/>
    <n v="8"/>
    <m/>
    <m/>
    <m/>
    <s v="COMPLETE"/>
    <n v="1"/>
    <n v="1"/>
    <n v="6"/>
  </r>
  <r>
    <s v="3.1.7"/>
    <s v="Multiple Branch Capabilities"/>
    <x v="2"/>
    <x v="2"/>
    <x v="13"/>
    <x v="0"/>
    <s v="NONE"/>
    <m/>
    <m/>
    <n v="4"/>
    <d v="2020-05-01T00:00:00"/>
    <d v="2020-05-08T00:00:00"/>
    <n v="8"/>
    <m/>
    <m/>
    <m/>
    <s v="COMPLETE"/>
    <n v="1"/>
    <n v="1"/>
    <n v="6"/>
  </r>
  <r>
    <s v="3.1.8"/>
    <s v="Customer Loyalty Points"/>
    <x v="2"/>
    <x v="2"/>
    <x v="14"/>
    <x v="0"/>
    <s v="NONE"/>
    <m/>
    <m/>
    <n v="4"/>
    <d v="2020-05-01T00:00:00"/>
    <d v="2020-05-08T00:00:00"/>
    <n v="8"/>
    <m/>
    <m/>
    <m/>
    <s v="COMPLETE"/>
    <n v="1"/>
    <n v="1"/>
    <n v="6"/>
  </r>
  <r>
    <n v="4"/>
    <s v="System Integration Testing"/>
    <x v="3"/>
    <x v="0"/>
    <x v="0"/>
    <x v="0"/>
    <s v="NONE"/>
    <s v="BP"/>
    <m/>
    <n v="2"/>
    <d v="2020-05-01T00:00:00"/>
    <d v="2020-05-11T00:00:00"/>
    <n v="7"/>
    <m/>
    <m/>
    <m/>
    <s v="COMPLETE"/>
    <n v="1"/>
    <n v="1"/>
    <n v="7"/>
  </r>
  <r>
    <n v="4.0999999999999996"/>
    <s v="Test Scripts Creation"/>
    <x v="3"/>
    <x v="3"/>
    <x v="0"/>
    <x v="0"/>
    <s v="NONE"/>
    <m/>
    <m/>
    <n v="3"/>
    <d v="2020-05-04T00:00:00"/>
    <d v="2020-05-09T00:00:00"/>
    <n v="6"/>
    <m/>
    <m/>
    <m/>
    <s v="COMPLETE"/>
    <n v="1"/>
    <n v="1"/>
    <n v="5"/>
  </r>
  <r>
    <s v="4.1.1"/>
    <s v="System Integration Testing"/>
    <x v="3"/>
    <x v="3"/>
    <x v="15"/>
    <x v="0"/>
    <s v="NONE"/>
    <m/>
    <m/>
    <n v="4"/>
    <d v="2020-05-10T00:00:00"/>
    <d v="2020-05-10T00:00:00"/>
    <n v="1"/>
    <m/>
    <m/>
    <m/>
    <m/>
    <s v=""/>
    <n v="1"/>
    <n v="0"/>
  </r>
  <r>
    <s v="4.1.2"/>
    <s v="Bugs Fixing"/>
    <x v="3"/>
    <x v="3"/>
    <x v="16"/>
    <x v="0"/>
    <s v="NONE"/>
    <m/>
    <m/>
    <n v="4"/>
    <d v="2020-05-10T00:00:00"/>
    <d v="2020-05-10T00:00:00"/>
    <n v="1"/>
    <m/>
    <m/>
    <m/>
    <m/>
    <s v=""/>
    <n v="1"/>
    <n v="0"/>
  </r>
  <r>
    <s v="4.1.3"/>
    <s v="Re-testing"/>
    <x v="3"/>
    <x v="3"/>
    <x v="17"/>
    <x v="0"/>
    <s v="NONE"/>
    <m/>
    <m/>
    <n v="4"/>
    <d v="2020-05-10T00:00:00"/>
    <d v="2020-05-10T00:00:00"/>
    <n v="1"/>
    <m/>
    <m/>
    <m/>
    <m/>
    <s v=""/>
    <n v="1"/>
    <n v="0"/>
  </r>
  <r>
    <s v="4.1.4"/>
    <s v="Sign-off"/>
    <x v="3"/>
    <x v="3"/>
    <x v="18"/>
    <x v="0"/>
    <s v="NONE"/>
    <m/>
    <m/>
    <n v="4"/>
    <d v="2020-05-11T00:00:00"/>
    <d v="2020-05-11T00:00:00"/>
    <n v="1"/>
    <m/>
    <m/>
    <m/>
    <m/>
    <s v=""/>
    <n v="1"/>
    <n v="1"/>
  </r>
  <r>
    <n v="5"/>
    <s v="Training"/>
    <x v="4"/>
    <x v="0"/>
    <x v="0"/>
    <x v="0"/>
    <s v="NONE"/>
    <s v="JM/EA/_x000a_AC/BP"/>
    <m/>
    <n v="2"/>
    <d v="2020-05-07T00:00:00"/>
    <d v="2020-05-12T00:00:00"/>
    <n v="4"/>
    <m/>
    <m/>
    <m/>
    <s v="COMPLETE"/>
    <n v="1"/>
    <n v="1"/>
    <n v="4"/>
  </r>
  <r>
    <n v="5.0999999999999996"/>
    <s v="Suki App"/>
    <x v="4"/>
    <x v="2"/>
    <x v="0"/>
    <x v="0"/>
    <s v="NONE"/>
    <s v="Acodilla"/>
    <m/>
    <n v="3"/>
    <d v="2020-05-07T00:00:00"/>
    <d v="2020-05-07T00:00:00"/>
    <n v="1"/>
    <m/>
    <m/>
    <m/>
    <s v="COMPLETE"/>
    <n v="1"/>
    <n v="1"/>
    <n v="1"/>
  </r>
  <r>
    <s v="5.1.1"/>
    <s v="Suki Hub"/>
    <x v="4"/>
    <x v="2"/>
    <x v="7"/>
    <x v="0"/>
    <s v="NONE"/>
    <s v="Acodilla"/>
    <m/>
    <n v="4"/>
    <d v="2020-05-11T00:00:00"/>
    <d v="2020-05-11T00:00:00"/>
    <n v="1"/>
    <m/>
    <m/>
    <m/>
    <s v="COMPLETE"/>
    <n v="1"/>
    <n v="1"/>
    <n v="1"/>
  </r>
  <r>
    <s v="5.1.2"/>
    <s v="Picker-Checker-Driver"/>
    <x v="4"/>
    <x v="2"/>
    <x v="19"/>
    <x v="0"/>
    <s v="NONE"/>
    <s v="Acodilla"/>
    <m/>
    <n v="4"/>
    <d v="2020-05-12T00:00:00"/>
    <d v="2020-05-12T00:00:00"/>
    <n v="1"/>
    <m/>
    <m/>
    <m/>
    <s v="COMPLETE"/>
    <n v="1"/>
    <n v="1"/>
    <n v="1"/>
  </r>
  <r>
    <n v="6"/>
    <s v="PRG Business Process Creation - BRD"/>
    <x v="5"/>
    <x v="0"/>
    <x v="0"/>
    <x v="0"/>
    <s v="NONE"/>
    <s v="GS/JV"/>
    <m/>
    <n v="2"/>
    <d v="2020-04-17T00:00:00"/>
    <d v="2020-05-13T00:00:00"/>
    <n v="19"/>
    <m/>
    <m/>
    <m/>
    <m/>
    <s v=""/>
    <n v="1"/>
    <n v="19"/>
  </r>
  <r>
    <n v="6.1"/>
    <s v="BRD Creation"/>
    <x v="5"/>
    <x v="4"/>
    <x v="0"/>
    <x v="0"/>
    <s v="NONE"/>
    <m/>
    <m/>
    <n v="3"/>
    <d v="2020-04-17T00:00:00"/>
    <d v="2020-04-28T00:00:00"/>
    <n v="12"/>
    <m/>
    <m/>
    <m/>
    <m/>
    <s v=""/>
    <n v="1"/>
    <n v="8"/>
  </r>
  <r>
    <s v="6.1.1"/>
    <s v="Suki App"/>
    <x v="5"/>
    <x v="4"/>
    <x v="20"/>
    <x v="0"/>
    <s v="NONE"/>
    <m/>
    <m/>
    <n v="4"/>
    <d v="2020-04-17T00:00:00"/>
    <d v="2020-04-28T00:00:00"/>
    <n v="12"/>
    <m/>
    <m/>
    <m/>
    <m/>
    <s v=""/>
    <n v="1"/>
    <n v="8"/>
  </r>
  <r>
    <s v="6.1.2"/>
    <s v="Suki Hub"/>
    <x v="5"/>
    <x v="4"/>
    <x v="7"/>
    <x v="0"/>
    <s v="NONE"/>
    <m/>
    <m/>
    <n v="4"/>
    <d v="2020-04-17T00:00:00"/>
    <d v="2020-04-28T00:00:00"/>
    <n v="12"/>
    <m/>
    <m/>
    <m/>
    <m/>
    <s v=""/>
    <n v="1"/>
    <n v="8"/>
  </r>
  <r>
    <s v="6.1.3"/>
    <s v="Picker-Checker"/>
    <x v="5"/>
    <x v="4"/>
    <x v="8"/>
    <x v="0"/>
    <s v="NONE"/>
    <m/>
    <m/>
    <n v="4"/>
    <d v="2020-04-17T00:00:00"/>
    <d v="2020-04-28T00:00:00"/>
    <n v="12"/>
    <m/>
    <m/>
    <m/>
    <m/>
    <s v=""/>
    <n v="1"/>
    <n v="8"/>
  </r>
  <r>
    <s v="6.1.4"/>
    <s v="Daily Inventory Uploading and Branch synching"/>
    <x v="5"/>
    <x v="4"/>
    <x v="21"/>
    <x v="0"/>
    <s v="NONE"/>
    <m/>
    <m/>
    <n v="4"/>
    <d v="2020-04-17T00:00:00"/>
    <d v="2020-04-28T00:00:00"/>
    <n v="12"/>
    <m/>
    <m/>
    <m/>
    <m/>
    <s v=""/>
    <n v="1"/>
    <n v="8"/>
  </r>
  <r>
    <s v="6.1.5"/>
    <s v="Suki Agent"/>
    <x v="5"/>
    <x v="4"/>
    <x v="22"/>
    <x v="0"/>
    <s v="NONE"/>
    <m/>
    <m/>
    <n v="4"/>
    <d v="2020-04-17T00:00:00"/>
    <d v="2020-04-28T00:00:00"/>
    <n v="12"/>
    <m/>
    <m/>
    <m/>
    <m/>
    <s v=""/>
    <n v="1"/>
    <n v="8"/>
  </r>
  <r>
    <s v="6.1.6"/>
    <s v="Customer Loyalty Points"/>
    <x v="5"/>
    <x v="4"/>
    <x v="14"/>
    <x v="0"/>
    <s v="NONE"/>
    <m/>
    <m/>
    <n v="4"/>
    <d v="2020-04-17T00:00:00"/>
    <d v="2020-04-28T00:00:00"/>
    <n v="12"/>
    <m/>
    <m/>
    <m/>
    <m/>
    <s v=""/>
    <n v="1"/>
    <n v="8"/>
  </r>
  <r>
    <s v="6.1.7"/>
    <s v="Data Management"/>
    <x v="5"/>
    <x v="4"/>
    <x v="23"/>
    <x v="0"/>
    <s v="NONE"/>
    <m/>
    <m/>
    <n v="4"/>
    <d v="2020-04-17T00:00:00"/>
    <d v="2020-04-28T00:00:00"/>
    <n v="12"/>
    <m/>
    <m/>
    <m/>
    <m/>
    <s v=""/>
    <n v="1"/>
    <n v="8"/>
  </r>
  <r>
    <s v="6.1.8"/>
    <s v="Payment Collections"/>
    <x v="5"/>
    <x v="4"/>
    <x v="24"/>
    <x v="0"/>
    <s v="NONE"/>
    <m/>
    <m/>
    <n v="4"/>
    <d v="2020-04-17T00:00:00"/>
    <d v="2020-04-28T00:00:00"/>
    <n v="12"/>
    <m/>
    <m/>
    <m/>
    <m/>
    <s v=""/>
    <n v="1"/>
    <n v="8"/>
  </r>
  <r>
    <s v="6.1.9"/>
    <s v="Exceptions and Limitations"/>
    <x v="5"/>
    <x v="4"/>
    <x v="25"/>
    <x v="0"/>
    <s v="NONE"/>
    <m/>
    <m/>
    <n v="4"/>
    <d v="2020-04-17T00:00:00"/>
    <d v="2020-04-28T00:00:00"/>
    <n v="12"/>
    <m/>
    <m/>
    <m/>
    <m/>
    <s v=""/>
    <n v="1"/>
    <n v="8"/>
  </r>
  <r>
    <s v="6.1.10"/>
    <s v="Support Org Chart"/>
    <x v="5"/>
    <x v="4"/>
    <x v="26"/>
    <x v="0"/>
    <s v="NONE"/>
    <m/>
    <m/>
    <n v="4"/>
    <d v="2020-04-17T00:00:00"/>
    <d v="2020-04-28T00:00:00"/>
    <n v="12"/>
    <m/>
    <m/>
    <m/>
    <m/>
    <s v=""/>
    <n v="1"/>
    <n v="8"/>
  </r>
  <r>
    <s v="6.1.11"/>
    <s v="Customer Awareness"/>
    <x v="5"/>
    <x v="4"/>
    <x v="27"/>
    <x v="0"/>
    <s v="NONE"/>
    <m/>
    <m/>
    <n v="4"/>
    <d v="2020-04-17T00:00:00"/>
    <d v="2020-04-28T00:00:00"/>
    <n v="12"/>
    <m/>
    <m/>
    <m/>
    <m/>
    <s v=""/>
    <n v="1"/>
    <n v="8"/>
  </r>
  <r>
    <s v="6.1.12"/>
    <s v="Guidelines and policies"/>
    <x v="5"/>
    <x v="4"/>
    <x v="28"/>
    <x v="0"/>
    <s v="NONE"/>
    <m/>
    <m/>
    <n v="4"/>
    <d v="2020-04-17T00:00:00"/>
    <d v="2020-04-28T00:00:00"/>
    <n v="12"/>
    <m/>
    <m/>
    <m/>
    <m/>
    <s v=""/>
    <n v="1"/>
    <n v="8"/>
  </r>
  <r>
    <n v="6.2"/>
    <s v="BRD Submission"/>
    <x v="5"/>
    <x v="5"/>
    <x v="0"/>
    <x v="0"/>
    <s v="NONE"/>
    <m/>
    <m/>
    <n v="3"/>
    <d v="2020-04-29T00:00:00"/>
    <d v="2020-04-29T00:00:00"/>
    <n v="1"/>
    <m/>
    <m/>
    <m/>
    <m/>
    <s v=""/>
    <n v="1"/>
    <n v="1"/>
  </r>
  <r>
    <n v="6.3"/>
    <s v="BRD Processing"/>
    <x v="5"/>
    <x v="6"/>
    <x v="0"/>
    <x v="0"/>
    <s v="NONE"/>
    <m/>
    <m/>
    <n v="3"/>
    <d v="2020-04-30T00:00:00"/>
    <d v="2020-05-13T00:00:00"/>
    <n v="14"/>
    <m/>
    <m/>
    <m/>
    <m/>
    <s v=""/>
    <n v="1"/>
    <n v="10"/>
  </r>
  <r>
    <n v="7"/>
    <s v="Configuration and Migration"/>
    <x v="6"/>
    <x v="0"/>
    <x v="0"/>
    <x v="0"/>
    <s v="NONE"/>
    <s v="BP"/>
    <m/>
    <n v="2"/>
    <d v="2020-05-11T00:00:00"/>
    <d v="2020-05-15T00:00:00"/>
    <n v="5"/>
    <m/>
    <m/>
    <m/>
    <s v="COMPLETE"/>
    <n v="1"/>
    <n v="1"/>
    <n v="5"/>
  </r>
  <r>
    <n v="7.1"/>
    <s v="Configure Business Settings"/>
    <x v="6"/>
    <x v="7"/>
    <x v="0"/>
    <x v="0"/>
    <s v="NONE"/>
    <m/>
    <m/>
    <n v="3"/>
    <d v="2020-05-11T00:00:00"/>
    <d v="2020-05-15T00:00:00"/>
    <n v="5"/>
    <m/>
    <m/>
    <m/>
    <s v="COMPLETE"/>
    <n v="1"/>
    <n v="1"/>
    <n v="5"/>
  </r>
  <r>
    <s v="7.1.1"/>
    <s v="Company Configuration"/>
    <x v="6"/>
    <x v="7"/>
    <x v="29"/>
    <x v="0"/>
    <s v="NONE"/>
    <m/>
    <m/>
    <n v="4"/>
    <d v="2020-05-11T00:00:00"/>
    <d v="2020-05-15T00:00:00"/>
    <n v="5"/>
    <m/>
    <m/>
    <m/>
    <s v="COMPLETE"/>
    <n v="1"/>
    <n v="1"/>
    <n v="5"/>
  </r>
  <r>
    <s v="7.1.2"/>
    <s v="Service Level Agreement"/>
    <x v="6"/>
    <x v="7"/>
    <x v="30"/>
    <x v="0"/>
    <s v="NONE"/>
    <m/>
    <m/>
    <n v="4"/>
    <d v="2020-05-11T00:00:00"/>
    <d v="2020-05-15T00:00:00"/>
    <n v="5"/>
    <m/>
    <m/>
    <m/>
    <s v="COMPLETE"/>
    <n v="1"/>
    <n v="1"/>
    <n v="5"/>
  </r>
  <r>
    <s v="7.1.3"/>
    <s v="Shipping Rates"/>
    <x v="6"/>
    <x v="7"/>
    <x v="31"/>
    <x v="0"/>
    <s v="NONE"/>
    <m/>
    <m/>
    <n v="4"/>
    <d v="2020-05-11T00:00:00"/>
    <d v="2020-05-15T00:00:00"/>
    <n v="5"/>
    <m/>
    <m/>
    <m/>
    <s v="COMPLETE"/>
    <n v="1"/>
    <n v="1"/>
    <n v="5"/>
  </r>
  <r>
    <s v="7.1.4"/>
    <s v="Advanced Configuration"/>
    <x v="6"/>
    <x v="7"/>
    <x v="32"/>
    <x v="0"/>
    <s v="NONE"/>
    <m/>
    <m/>
    <n v="4"/>
    <d v="2020-05-11T00:00:00"/>
    <d v="2020-05-15T00:00:00"/>
    <n v="5"/>
    <m/>
    <m/>
    <m/>
    <s v="COMPLETE"/>
    <n v="1"/>
    <n v="1"/>
    <n v="5"/>
  </r>
  <r>
    <s v="7.1.5"/>
    <s v="Configure User Accesss for Suki Hub"/>
    <x v="6"/>
    <x v="7"/>
    <x v="33"/>
    <x v="0"/>
    <s v="NONE"/>
    <m/>
    <m/>
    <n v="4"/>
    <d v="2020-05-11T00:00:00"/>
    <d v="2020-05-15T00:00:00"/>
    <n v="5"/>
    <m/>
    <m/>
    <m/>
    <s v="COMPLETE"/>
    <n v="1"/>
    <n v="1"/>
    <n v="5"/>
  </r>
  <r>
    <s v="7.1.6"/>
    <s v="Provide complete list of Users"/>
    <x v="6"/>
    <x v="7"/>
    <x v="34"/>
    <x v="0"/>
    <s v="NONE"/>
    <m/>
    <m/>
    <n v="4"/>
    <d v="2020-05-11T00:00:00"/>
    <d v="2020-05-15T00:00:00"/>
    <n v="5"/>
    <m/>
    <m/>
    <m/>
    <s v="COMPLETE"/>
    <n v="1"/>
    <n v="1"/>
    <n v="5"/>
  </r>
  <r>
    <s v="7.1.7"/>
    <s v="Configure Users"/>
    <x v="6"/>
    <x v="7"/>
    <x v="35"/>
    <x v="0"/>
    <s v="NONE"/>
    <m/>
    <m/>
    <n v="4"/>
    <d v="2020-05-11T00:00:00"/>
    <d v="2020-05-15T00:00:00"/>
    <n v="5"/>
    <m/>
    <m/>
    <m/>
    <s v="COMPLETE"/>
    <n v="1"/>
    <n v="1"/>
    <n v="5"/>
  </r>
  <r>
    <n v="8"/>
    <s v="Data Migration"/>
    <x v="7"/>
    <x v="0"/>
    <x v="0"/>
    <x v="0"/>
    <s v="NONE"/>
    <s v="KT"/>
    <m/>
    <n v="2"/>
    <d v="2020-05-11T00:00:00"/>
    <d v="2020-05-15T00:00:00"/>
    <n v="5"/>
    <m/>
    <m/>
    <m/>
    <s v="COMPLETE"/>
    <n v="1"/>
    <n v="1"/>
    <n v="5"/>
  </r>
  <r>
    <n v="8.1"/>
    <s v="Master Products"/>
    <x v="7"/>
    <x v="8"/>
    <x v="0"/>
    <x v="0"/>
    <s v="NONE"/>
    <m/>
    <m/>
    <n v="3"/>
    <d v="2020-05-11T00:00:00"/>
    <d v="2020-05-15T00:00:00"/>
    <n v="5"/>
    <m/>
    <m/>
    <m/>
    <s v="COMPLETE"/>
    <n v="1"/>
    <n v="1"/>
    <n v="5"/>
  </r>
  <r>
    <s v="8.1.1"/>
    <s v="Popular Products"/>
    <x v="7"/>
    <x v="8"/>
    <x v="36"/>
    <x v="0"/>
    <s v="NONE"/>
    <m/>
    <m/>
    <n v="4"/>
    <d v="2020-05-11T00:00:00"/>
    <d v="2020-05-15T00:00:00"/>
    <n v="5"/>
    <m/>
    <m/>
    <m/>
    <s v="COMPLETE"/>
    <n v="1"/>
    <n v="1"/>
    <n v="5"/>
  </r>
  <r>
    <s v="8.1.2"/>
    <s v="Membership Data"/>
    <x v="7"/>
    <x v="8"/>
    <x v="37"/>
    <x v="0"/>
    <s v="NONE"/>
    <m/>
    <m/>
    <n v="4"/>
    <d v="2020-05-11T00:00:00"/>
    <d v="2020-05-15T00:00:00"/>
    <n v="5"/>
    <m/>
    <m/>
    <m/>
    <s v="COMPLETE"/>
    <n v="1"/>
    <n v="1"/>
    <n v="5"/>
  </r>
  <r>
    <s v="8.1.3"/>
    <s v="Inventory"/>
    <x v="7"/>
    <x v="8"/>
    <x v="38"/>
    <x v="0"/>
    <s v="NONE"/>
    <m/>
    <m/>
    <n v="4"/>
    <d v="2020-05-11T00:00:00"/>
    <d v="2020-05-15T00:00:00"/>
    <n v="5"/>
    <m/>
    <m/>
    <m/>
    <m/>
    <s v=""/>
    <n v="1"/>
    <n v="5"/>
  </r>
  <r>
    <s v="8.1.4"/>
    <s v="Images"/>
    <x v="7"/>
    <x v="8"/>
    <x v="39"/>
    <x v="0"/>
    <s v="NONE"/>
    <m/>
    <m/>
    <n v="4"/>
    <d v="2020-05-11T00:00:00"/>
    <d v="2020-05-15T00:00:00"/>
    <n v="5"/>
    <m/>
    <m/>
    <m/>
    <s v="COMPLETE"/>
    <n v="1"/>
    <n v="0.87"/>
    <n v="5"/>
  </r>
  <r>
    <n v="9"/>
    <s v="Infrastructure"/>
    <x v="8"/>
    <x v="0"/>
    <x v="0"/>
    <x v="0"/>
    <s v="NONE"/>
    <s v="AC"/>
    <m/>
    <n v="2"/>
    <d v="2020-04-30T00:00:00"/>
    <d v="2020-05-12T00:00:00"/>
    <n v="9"/>
    <m/>
    <m/>
    <m/>
    <s v="COMPLETE"/>
    <n v="1"/>
    <n v="1"/>
    <n v="9"/>
  </r>
  <r>
    <n v="9.1"/>
    <s v="Stable Internet Connection"/>
    <x v="8"/>
    <x v="9"/>
    <x v="0"/>
    <x v="0"/>
    <s v="NONE"/>
    <m/>
    <m/>
    <n v="3"/>
    <d v="2020-04-30T00:00:00"/>
    <d v="2020-04-30T00:00:00"/>
    <n v="1"/>
    <m/>
    <m/>
    <m/>
    <s v="COMPLETE"/>
    <n v="1"/>
    <n v="1"/>
    <n v="1"/>
  </r>
  <r>
    <s v="9.1.1"/>
    <s v="Wifi acess for entire Store"/>
    <x v="8"/>
    <x v="9"/>
    <x v="40"/>
    <x v="0"/>
    <s v="NONE"/>
    <m/>
    <m/>
    <n v="4"/>
    <d v="2020-04-30T00:00:00"/>
    <d v="2020-04-30T00:00:00"/>
    <n v="1"/>
    <m/>
    <m/>
    <m/>
    <s v="COMPLETE"/>
    <n v="1"/>
    <n v="1"/>
    <n v="1"/>
  </r>
  <r>
    <s v="9.1.2"/>
    <s v="Suki Hardware"/>
    <x v="8"/>
    <x v="9"/>
    <x v="41"/>
    <x v="0"/>
    <s v="NONE"/>
    <m/>
    <m/>
    <n v="4"/>
    <d v="2020-05-11T00:00:00"/>
    <d v="2020-05-12T00:00:00"/>
    <n v="2"/>
    <m/>
    <m/>
    <m/>
    <s v="COMPLETE"/>
    <n v="1"/>
    <n v="1"/>
    <n v="2"/>
  </r>
  <r>
    <s v="9.1.3"/>
    <s v="PDTs"/>
    <x v="8"/>
    <x v="9"/>
    <x v="42"/>
    <x v="0"/>
    <s v="NONE"/>
    <m/>
    <m/>
    <n v="4"/>
    <d v="2020-05-12T00:00:00"/>
    <d v="2020-05-12T00:00:00"/>
    <n v="1"/>
    <m/>
    <m/>
    <m/>
    <s v="COMPLETE"/>
    <n v="1"/>
    <n v="1"/>
    <n v="1"/>
  </r>
  <r>
    <s v="9.1.4"/>
    <s v="LAN Receipt Printer for Picker"/>
    <x v="8"/>
    <x v="9"/>
    <x v="43"/>
    <x v="0"/>
    <s v="NONE"/>
    <m/>
    <m/>
    <n v="4"/>
    <d v="2020-05-11T00:00:00"/>
    <d v="2020-05-12T00:00:00"/>
    <n v="2"/>
    <m/>
    <m/>
    <m/>
    <s v="COMPLETE"/>
    <n v="1"/>
    <n v="1"/>
    <n v="2"/>
  </r>
  <r>
    <s v="9.1.5"/>
    <s v="Dedicated Barter POS"/>
    <x v="8"/>
    <x v="9"/>
    <x v="44"/>
    <x v="0"/>
    <s v="NONE"/>
    <m/>
    <m/>
    <n v="4"/>
    <d v="2020-05-11T00:00:00"/>
    <d v="2020-05-12T00:00:00"/>
    <n v="2"/>
    <m/>
    <m/>
    <m/>
    <s v="COMPLETE"/>
    <n v="1"/>
    <n v="1"/>
    <n v="2"/>
  </r>
  <r>
    <s v="9.1.6"/>
    <s v="Barter POS Hardware"/>
    <x v="8"/>
    <x v="9"/>
    <x v="45"/>
    <x v="0"/>
    <s v="NONE"/>
    <m/>
    <m/>
    <n v="4"/>
    <d v="2020-05-11T00:00:00"/>
    <d v="2020-05-12T00:00:00"/>
    <n v="2"/>
    <m/>
    <m/>
    <m/>
    <s v="COMPLETE"/>
    <n v="1"/>
    <n v="1"/>
    <n v="2"/>
  </r>
  <r>
    <n v="10"/>
    <s v="Pre Live Checklist/Preparation"/>
    <x v="9"/>
    <x v="0"/>
    <x v="0"/>
    <x v="0"/>
    <s v="NONE"/>
    <s v="AC"/>
    <m/>
    <n v="2"/>
    <d v="2020-05-11T00:00:00"/>
    <d v="2020-05-15T00:00:00"/>
    <n v="5"/>
    <m/>
    <m/>
    <m/>
    <s v="COMPLETE"/>
    <n v="1"/>
    <n v="1"/>
    <n v="5"/>
  </r>
  <r>
    <n v="10.1"/>
    <s v="Install and configure all Hardwares"/>
    <x v="9"/>
    <x v="10"/>
    <x v="0"/>
    <x v="0"/>
    <s v="NONE"/>
    <m/>
    <m/>
    <n v="3"/>
    <d v="2020-05-11T00:00:00"/>
    <d v="2020-05-15T00:00:00"/>
    <n v="5"/>
    <m/>
    <m/>
    <m/>
    <s v="COMPLETE"/>
    <n v="1"/>
    <n v="1"/>
    <n v="5"/>
  </r>
  <r>
    <s v="10.1.1"/>
    <s v="PDTs"/>
    <x v="9"/>
    <x v="10"/>
    <x v="42"/>
    <x v="0"/>
    <s v="NONE"/>
    <m/>
    <m/>
    <n v="4"/>
    <d v="2020-05-11T00:00:00"/>
    <d v="2020-05-15T00:00:00"/>
    <n v="5"/>
    <m/>
    <m/>
    <m/>
    <s v="COMPLETE"/>
    <n v="1"/>
    <n v="1"/>
    <n v="5"/>
  </r>
  <r>
    <s v="10.1.2"/>
    <s v="LAN Receipt Printer for Picker"/>
    <x v="9"/>
    <x v="10"/>
    <x v="43"/>
    <x v="0"/>
    <s v="NONE"/>
    <m/>
    <m/>
    <n v="4"/>
    <d v="2020-05-11T00:00:00"/>
    <d v="2020-05-15T00:00:00"/>
    <n v="5"/>
    <m/>
    <m/>
    <m/>
    <m/>
    <s v=""/>
    <n v="1"/>
    <n v="5"/>
  </r>
  <r>
    <s v="10.1.3"/>
    <s v="Dedicated Barter POS"/>
    <x v="9"/>
    <x v="10"/>
    <x v="44"/>
    <x v="0"/>
    <s v="NONE"/>
    <m/>
    <m/>
    <n v="4"/>
    <d v="2020-05-11T00:00:00"/>
    <d v="2020-05-15T00:00:00"/>
    <n v="5"/>
    <m/>
    <m/>
    <m/>
    <s v="COMPLETE"/>
    <n v="1"/>
    <n v="1"/>
    <n v="5"/>
  </r>
  <r>
    <s v="10.1.4"/>
    <s v="Double check all Hardwares if working"/>
    <x v="9"/>
    <x v="10"/>
    <x v="46"/>
    <x v="0"/>
    <s v="NONE"/>
    <m/>
    <m/>
    <n v="4"/>
    <d v="2020-05-11T00:00:00"/>
    <d v="2020-05-15T00:00:00"/>
    <n v="5"/>
    <m/>
    <m/>
    <m/>
    <s v="COMPLETE"/>
    <n v="1"/>
    <n v="1"/>
    <n v="5"/>
  </r>
  <r>
    <s v="10.1.5"/>
    <s v="Check if all Hardwares if working"/>
    <x v="9"/>
    <x v="10"/>
    <x v="47"/>
    <x v="0"/>
    <s v="NONE"/>
    <m/>
    <m/>
    <n v="4"/>
    <d v="2020-05-11T00:00:00"/>
    <d v="2020-05-15T00:00:00"/>
    <n v="5"/>
    <m/>
    <m/>
    <m/>
    <s v="COMPLETE"/>
    <n v="1"/>
    <n v="1"/>
    <n v="5"/>
  </r>
  <r>
    <s v="10.1.6"/>
    <s v="PDTs and Printer"/>
    <x v="9"/>
    <x v="10"/>
    <x v="48"/>
    <x v="0"/>
    <s v="NONE"/>
    <m/>
    <m/>
    <n v="4"/>
    <d v="2020-05-11T00:00:00"/>
    <d v="2020-05-15T00:00:00"/>
    <n v="5"/>
    <m/>
    <m/>
    <m/>
    <s v="COMPLETE"/>
    <n v="1"/>
    <n v="1"/>
    <n v="5"/>
  </r>
  <r>
    <s v="10.1.7"/>
    <s v="POS"/>
    <x v="9"/>
    <x v="10"/>
    <x v="49"/>
    <x v="0"/>
    <s v="NONE"/>
    <m/>
    <m/>
    <n v="4"/>
    <d v="2020-05-11T00:00:00"/>
    <d v="2020-05-15T00:00:00"/>
    <n v="5"/>
    <m/>
    <m/>
    <m/>
    <s v="COMPLETE"/>
    <n v="1"/>
    <n v="1"/>
    <n v="5"/>
  </r>
  <r>
    <s v="10.1.8"/>
    <s v="Wifi speed and availability in entire Stores"/>
    <x v="9"/>
    <x v="10"/>
    <x v="50"/>
    <x v="0"/>
    <s v="NONE"/>
    <m/>
    <m/>
    <n v="4"/>
    <d v="2020-05-11T00:00:00"/>
    <d v="2020-05-15T00:00:00"/>
    <n v="5"/>
    <m/>
    <m/>
    <m/>
    <s v="COMPLETE"/>
    <n v="1"/>
    <n v="1"/>
    <n v="5"/>
  </r>
  <r>
    <s v="10.1.9"/>
    <s v="Double check and stress test Middleware"/>
    <x v="9"/>
    <x v="10"/>
    <x v="51"/>
    <x v="0"/>
    <s v="NONE"/>
    <m/>
    <m/>
    <n v="4"/>
    <d v="2020-05-11T00:00:00"/>
    <d v="2020-05-15T00:00:00"/>
    <n v="5"/>
    <m/>
    <m/>
    <m/>
    <s v="COMPLETE"/>
    <n v="1"/>
    <n v="1"/>
    <n v="5"/>
  </r>
  <r>
    <s v="10.1.10"/>
    <s v="Checklist"/>
    <x v="9"/>
    <x v="10"/>
    <x v="52"/>
    <x v="0"/>
    <s v="NONE"/>
    <m/>
    <m/>
    <n v="4"/>
    <d v="2020-05-11T00:00:00"/>
    <d v="2020-05-15T00:00:00"/>
    <n v="5"/>
    <m/>
    <m/>
    <m/>
    <s v="COMPLETE"/>
    <n v="1"/>
    <n v="1"/>
    <n v="5"/>
  </r>
  <r>
    <s v="10.1.11"/>
    <s v="Do we have Pickers?"/>
    <x v="9"/>
    <x v="10"/>
    <x v="53"/>
    <x v="0"/>
    <s v="NONE"/>
    <m/>
    <m/>
    <n v="4"/>
    <d v="2020-05-11T00:00:00"/>
    <d v="2020-05-15T00:00:00"/>
    <n v="5"/>
    <m/>
    <m/>
    <m/>
    <m/>
    <s v=""/>
    <n v="1"/>
    <n v="5"/>
  </r>
  <r>
    <s v="10.1.12"/>
    <s v="Do we have central contact or lines?"/>
    <x v="9"/>
    <x v="10"/>
    <x v="54"/>
    <x v="0"/>
    <s v="NONE"/>
    <m/>
    <m/>
    <n v="4"/>
    <d v="2020-05-11T00:00:00"/>
    <d v="2020-05-15T00:00:00"/>
    <n v="5"/>
    <m/>
    <m/>
    <m/>
    <m/>
    <s v=""/>
    <n v="1"/>
    <n v="5"/>
  </r>
  <r>
    <s v="10.1.13"/>
    <s v="Do we have Checker?"/>
    <x v="9"/>
    <x v="10"/>
    <x v="55"/>
    <x v="0"/>
    <s v="NONE"/>
    <m/>
    <m/>
    <n v="4"/>
    <d v="2020-05-11T00:00:00"/>
    <d v="2020-05-15T00:00:00"/>
    <n v="5"/>
    <m/>
    <m/>
    <m/>
    <m/>
    <s v=""/>
    <n v="1"/>
    <n v="5"/>
  </r>
  <r>
    <s v="10.1.14"/>
    <s v="Do we have Delivery vehicle and driver?"/>
    <x v="9"/>
    <x v="10"/>
    <x v="56"/>
    <x v="0"/>
    <s v="NONE"/>
    <m/>
    <m/>
    <n v="4"/>
    <d v="2020-05-11T00:00:00"/>
    <d v="2020-05-15T00:00:00"/>
    <n v="5"/>
    <m/>
    <m/>
    <m/>
    <m/>
    <s v=""/>
    <n v="1"/>
    <n v="5"/>
  </r>
  <r>
    <s v="10.1.15"/>
    <s v="Do we have dedicated lanes/section for Pickup?"/>
    <x v="9"/>
    <x v="10"/>
    <x v="57"/>
    <x v="0"/>
    <s v="NONE"/>
    <m/>
    <m/>
    <n v="4"/>
    <d v="2020-05-11T00:00:00"/>
    <d v="2020-05-15T00:00:00"/>
    <n v="5"/>
    <m/>
    <m/>
    <m/>
    <m/>
    <s v=""/>
    <n v="1"/>
    <n v="5"/>
  </r>
  <r>
    <s v="10.1.16"/>
    <s v="Do we have dedicated resource for Money remittances?"/>
    <x v="9"/>
    <x v="10"/>
    <x v="58"/>
    <x v="0"/>
    <s v="NONE"/>
    <m/>
    <m/>
    <n v="4"/>
    <d v="2020-05-11T00:00:00"/>
    <d v="2020-05-15T00:00:00"/>
    <n v="5"/>
    <m/>
    <m/>
    <m/>
    <m/>
    <s v=""/>
    <n v="1"/>
    <n v="5"/>
  </r>
  <r>
    <n v="11"/>
    <s v="Dry Run"/>
    <x v="10"/>
    <x v="0"/>
    <x v="0"/>
    <x v="0"/>
    <s v="NONE"/>
    <s v="JM/EA/_x000a_AC"/>
    <m/>
    <n v="2"/>
    <d v="2020-05-11T00:00:00"/>
    <d v="2020-05-26T00:00:00"/>
    <n v="12"/>
    <m/>
    <m/>
    <m/>
    <s v="COMPLETE"/>
    <n v="1"/>
    <n v="1"/>
    <n v="12"/>
  </r>
  <r>
    <n v="11.1"/>
    <s v="Setup of Hardware and Connectivity"/>
    <x v="10"/>
    <x v="11"/>
    <x v="0"/>
    <x v="0"/>
    <s v="NONE"/>
    <m/>
    <m/>
    <n v="3"/>
    <d v="2020-05-11T00:00:00"/>
    <d v="2020-05-15T00:00:00"/>
    <n v="5"/>
    <m/>
    <m/>
    <m/>
    <s v="COMPLETE"/>
    <n v="1"/>
    <n v="1"/>
    <n v="5"/>
  </r>
  <r>
    <s v="11.1.1"/>
    <s v="Setup of Barter Suki Integration"/>
    <x v="10"/>
    <x v="11"/>
    <x v="59"/>
    <x v="0"/>
    <s v="NONE"/>
    <m/>
    <m/>
    <n v="4"/>
    <d v="2020-05-11T00:00:00"/>
    <d v="2020-05-15T00:00:00"/>
    <n v="5"/>
    <m/>
    <m/>
    <m/>
    <s v="COMPLETE"/>
    <n v="1"/>
    <n v="1"/>
    <n v="5"/>
  </r>
  <r>
    <s v="11.1.2"/>
    <s v="Setup Picker-Checker-Driver Apps"/>
    <x v="10"/>
    <x v="11"/>
    <x v="60"/>
    <x v="0"/>
    <s v="NONE"/>
    <m/>
    <m/>
    <n v="4"/>
    <d v="2020-05-11T00:00:00"/>
    <d v="2020-05-15T00:00:00"/>
    <n v="5"/>
    <m/>
    <m/>
    <m/>
    <s v="COMPLETE"/>
    <n v="1"/>
    <n v="1"/>
    <n v="5"/>
  </r>
  <r>
    <s v="11.1.3"/>
    <s v="Onboard assigned resources for Picker-Checker-Driver"/>
    <x v="10"/>
    <x v="11"/>
    <x v="61"/>
    <x v="0"/>
    <s v="NONE"/>
    <m/>
    <m/>
    <n v="4"/>
    <d v="2020-05-11T00:00:00"/>
    <d v="2020-05-15T00:00:00"/>
    <n v="5"/>
    <m/>
    <m/>
    <m/>
    <s v="COMPLETE"/>
    <n v="1"/>
    <n v="1"/>
    <n v="5"/>
  </r>
  <r>
    <s v="11.1.4"/>
    <s v="Goods Fill Rate"/>
    <x v="10"/>
    <x v="11"/>
    <x v="62"/>
    <x v="0"/>
    <s v="NONE"/>
    <m/>
    <m/>
    <n v="4"/>
    <d v="2020-05-11T00:00:00"/>
    <d v="2020-05-15T00:00:00"/>
    <n v="5"/>
    <m/>
    <m/>
    <m/>
    <s v="COMPLETE"/>
    <n v="1"/>
    <n v="1"/>
    <n v="5"/>
  </r>
  <r>
    <s v="11.1.5"/>
    <s v="Data re-synching"/>
    <x v="10"/>
    <x v="11"/>
    <x v="63"/>
    <x v="0"/>
    <s v="NONE"/>
    <m/>
    <m/>
    <n v="4"/>
    <d v="2020-05-11T00:00:00"/>
    <d v="2020-05-15T00:00:00"/>
    <n v="5"/>
    <m/>
    <m/>
    <m/>
    <s v="COMPLETE"/>
    <n v="1"/>
    <n v="1"/>
    <n v="5"/>
  </r>
  <r>
    <s v="11.1.6"/>
    <s v="Trial Run (Targeted Customers)"/>
    <x v="10"/>
    <x v="11"/>
    <x v="64"/>
    <x v="0"/>
    <s v="NONE"/>
    <m/>
    <m/>
    <n v="4"/>
    <d v="2020-05-25T00:00:00"/>
    <d v="2020-05-26T00:00:00"/>
    <n v="2"/>
    <m/>
    <m/>
    <m/>
    <s v="COMPLETE"/>
    <n v="1"/>
    <n v="1"/>
    <n v="2"/>
  </r>
  <r>
    <s v="11.1.7"/>
    <s v="Hypercare"/>
    <x v="10"/>
    <x v="11"/>
    <x v="65"/>
    <x v="0"/>
    <s v="NONE"/>
    <m/>
    <m/>
    <n v="4"/>
    <d v="2020-05-11T00:00:00"/>
    <d v="2020-05-26T00:00:00"/>
    <n v="16"/>
    <m/>
    <m/>
    <m/>
    <s v="COMPLETE"/>
    <n v="1"/>
    <n v="1"/>
    <n v="12"/>
  </r>
  <r>
    <n v="12"/>
    <s v="Marketing Advertisements/Promotions"/>
    <x v="11"/>
    <x v="0"/>
    <x v="0"/>
    <x v="0"/>
    <s v="NONE"/>
    <s v="DT"/>
    <m/>
    <n v="2"/>
    <d v="2020-05-28T00:00:00"/>
    <d v="2020-05-29T00:00:00"/>
    <n v="2"/>
    <m/>
    <m/>
    <m/>
    <s v="COMPLETE"/>
    <n v="1"/>
    <n v="1"/>
    <n v="2"/>
  </r>
  <r>
    <n v="12.1"/>
    <s v="Flyers"/>
    <x v="11"/>
    <x v="12"/>
    <x v="0"/>
    <x v="0"/>
    <s v="NONE"/>
    <m/>
    <m/>
    <n v="3"/>
    <d v="2020-05-28T00:00:00"/>
    <d v="2020-05-29T00:00:00"/>
    <n v="2"/>
    <m/>
    <m/>
    <m/>
    <s v="COMPLETE"/>
    <n v="1"/>
    <n v="1"/>
    <n v="2"/>
  </r>
  <r>
    <s v="12.1.1"/>
    <s v="Social Sites (Organique)"/>
    <x v="11"/>
    <x v="12"/>
    <x v="66"/>
    <x v="0"/>
    <s v="NONE"/>
    <m/>
    <m/>
    <n v="4"/>
    <d v="2020-05-28T00:00:00"/>
    <d v="2020-05-29T00:00:00"/>
    <n v="2"/>
    <m/>
    <m/>
    <m/>
    <s v="COMPLETE"/>
    <n v="1"/>
    <n v="1"/>
    <n v="2"/>
  </r>
  <r>
    <s v="12.1.2"/>
    <s v="Freebies/GCs"/>
    <x v="11"/>
    <x v="12"/>
    <x v="67"/>
    <x v="0"/>
    <s v="NONE"/>
    <m/>
    <m/>
    <n v="4"/>
    <d v="2020-05-28T00:00:00"/>
    <d v="2020-05-29T00:00:00"/>
    <n v="2"/>
    <m/>
    <m/>
    <m/>
    <s v="COMPLETE"/>
    <n v="1"/>
    <n v="1"/>
    <n v="2"/>
  </r>
  <r>
    <n v="13"/>
    <s v="Go Live "/>
    <x v="12"/>
    <x v="0"/>
    <x v="0"/>
    <x v="0"/>
    <s v="NONE"/>
    <s v="JM/EA"/>
    <m/>
    <n v="2"/>
    <d v="2020-05-15T00:00:00"/>
    <d v="2020-12-07T00:00:00"/>
    <n v="147"/>
    <m/>
    <m/>
    <m/>
    <m/>
    <s v=""/>
    <n v="1"/>
    <n v="147"/>
  </r>
  <r>
    <n v="13.1"/>
    <m/>
    <x v="12"/>
    <x v="13"/>
    <x v="0"/>
    <x v="0"/>
    <s v="NONE"/>
    <m/>
    <m/>
    <n v="3"/>
    <m/>
    <m/>
    <m/>
    <m/>
    <m/>
    <m/>
    <m/>
    <s v=""/>
    <m/>
    <m/>
  </r>
  <r>
    <n v="13.2"/>
    <m/>
    <x v="12"/>
    <x v="13"/>
    <x v="0"/>
    <x v="0"/>
    <s v="NONE"/>
    <m/>
    <m/>
    <n v="3"/>
    <m/>
    <m/>
    <m/>
    <m/>
    <m/>
    <m/>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2E8175-59AA-49DC-9105-F7F2B6BD0DA2}"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F174" firstHeaderRow="0" firstDataRow="1" firstDataCol="1"/>
  <pivotFields count="20">
    <pivotField showAll="0"/>
    <pivotField showAll="0"/>
    <pivotField axis="axisRow" showAll="0">
      <items count="14">
        <item x="6"/>
        <item x="7"/>
        <item x="1"/>
        <item x="2"/>
        <item x="10"/>
        <item x="12"/>
        <item x="8"/>
        <item x="11"/>
        <item x="9"/>
        <item x="5"/>
        <item x="0"/>
        <item x="3"/>
        <item x="4"/>
        <item t="default"/>
      </items>
    </pivotField>
    <pivotField axis="axisRow" showAll="0">
      <items count="15">
        <item h="1" x="13"/>
        <item x="4"/>
        <item x="6"/>
        <item x="5"/>
        <item x="7"/>
        <item x="1"/>
        <item x="12"/>
        <item x="10"/>
        <item x="8"/>
        <item h="1" x="0"/>
        <item x="11"/>
        <item x="9"/>
        <item x="2"/>
        <item x="3"/>
        <item t="default"/>
      </items>
    </pivotField>
    <pivotField axis="axisRow" showAll="0">
      <items count="69">
        <item x="32"/>
        <item x="9"/>
        <item x="12"/>
        <item x="45"/>
        <item x="16"/>
        <item x="47"/>
        <item x="52"/>
        <item x="29"/>
        <item x="33"/>
        <item x="35"/>
        <item x="11"/>
        <item x="27"/>
        <item x="14"/>
        <item x="21"/>
        <item x="1"/>
        <item x="3"/>
        <item x="23"/>
        <item x="63"/>
        <item x="44"/>
        <item x="54"/>
        <item x="55"/>
        <item x="57"/>
        <item x="58"/>
        <item x="56"/>
        <item x="53"/>
        <item x="46"/>
        <item x="51"/>
        <item x="25"/>
        <item x="67"/>
        <item x="62"/>
        <item x="28"/>
        <item x="65"/>
        <item x="39"/>
        <item x="38"/>
        <item x="43"/>
        <item x="37"/>
        <item x="13"/>
        <item h="1" x="0"/>
        <item x="61"/>
        <item x="24"/>
        <item x="42"/>
        <item x="48"/>
        <item x="8"/>
        <item x="19"/>
        <item x="36"/>
        <item x="49"/>
        <item x="10"/>
        <item x="2"/>
        <item x="34"/>
        <item x="17"/>
        <item x="30"/>
        <item x="59"/>
        <item x="60"/>
        <item x="31"/>
        <item x="18"/>
        <item x="66"/>
        <item x="22"/>
        <item x="20"/>
        <item x="41"/>
        <item x="7"/>
        <item x="26"/>
        <item x="15"/>
        <item x="5"/>
        <item x="4"/>
        <item x="6"/>
        <item x="64"/>
        <item x="40"/>
        <item x="50"/>
        <item t="default"/>
      </items>
    </pivotField>
    <pivotField axis="axisRow" showAll="0">
      <items count="2">
        <item x="0"/>
        <item t="default"/>
      </items>
    </pivotField>
    <pivotField showAll="0"/>
    <pivotField showAll="0"/>
    <pivotField showAll="0"/>
    <pivotField showAll="0"/>
    <pivotField showAll="0"/>
    <pivotField showAll="0"/>
    <pivotField dataField="1" showAll="0"/>
    <pivotField showAll="0"/>
    <pivotField showAll="0"/>
    <pivotField dataField="1" showAll="0"/>
    <pivotField showAll="0"/>
    <pivotField showAll="0"/>
    <pivotField dataField="1" showAll="0"/>
    <pivotField dataField="1" showAll="0"/>
  </pivotFields>
  <rowFields count="4">
    <field x="2"/>
    <field x="3"/>
    <field x="4"/>
    <field x="5"/>
  </rowFields>
  <rowItems count="171">
    <i>
      <x/>
    </i>
    <i r="1">
      <x v="4"/>
    </i>
    <i r="2">
      <x/>
    </i>
    <i r="3">
      <x/>
    </i>
    <i r="2">
      <x v="7"/>
    </i>
    <i r="3">
      <x/>
    </i>
    <i r="2">
      <x v="8"/>
    </i>
    <i r="3">
      <x/>
    </i>
    <i r="2">
      <x v="9"/>
    </i>
    <i r="3">
      <x/>
    </i>
    <i r="2">
      <x v="48"/>
    </i>
    <i r="3">
      <x/>
    </i>
    <i r="2">
      <x v="50"/>
    </i>
    <i r="3">
      <x/>
    </i>
    <i r="2">
      <x v="53"/>
    </i>
    <i r="3">
      <x/>
    </i>
    <i>
      <x v="1"/>
    </i>
    <i r="1">
      <x v="8"/>
    </i>
    <i r="2">
      <x v="32"/>
    </i>
    <i r="3">
      <x/>
    </i>
    <i r="2">
      <x v="33"/>
    </i>
    <i r="3">
      <x/>
    </i>
    <i r="2">
      <x v="35"/>
    </i>
    <i r="3">
      <x/>
    </i>
    <i r="2">
      <x v="44"/>
    </i>
    <i r="3">
      <x/>
    </i>
    <i>
      <x v="2"/>
    </i>
    <i r="1">
      <x v="5"/>
    </i>
    <i r="2">
      <x v="14"/>
    </i>
    <i r="3">
      <x/>
    </i>
    <i r="2">
      <x v="15"/>
    </i>
    <i r="3">
      <x/>
    </i>
    <i r="2">
      <x v="47"/>
    </i>
    <i r="3">
      <x/>
    </i>
    <i r="2">
      <x v="62"/>
    </i>
    <i r="3">
      <x/>
    </i>
    <i r="2">
      <x v="63"/>
    </i>
    <i r="3">
      <x/>
    </i>
    <i r="2">
      <x v="64"/>
    </i>
    <i r="3">
      <x/>
    </i>
    <i>
      <x v="3"/>
    </i>
    <i r="1">
      <x v="12"/>
    </i>
    <i r="2">
      <x v="1"/>
    </i>
    <i r="3">
      <x/>
    </i>
    <i r="2">
      <x v="2"/>
    </i>
    <i r="3">
      <x/>
    </i>
    <i r="2">
      <x v="10"/>
    </i>
    <i r="3">
      <x/>
    </i>
    <i r="2">
      <x v="12"/>
    </i>
    <i r="3">
      <x/>
    </i>
    <i r="2">
      <x v="36"/>
    </i>
    <i r="3">
      <x/>
    </i>
    <i r="2">
      <x v="42"/>
    </i>
    <i r="3">
      <x/>
    </i>
    <i r="2">
      <x v="46"/>
    </i>
    <i r="3">
      <x/>
    </i>
    <i r="2">
      <x v="59"/>
    </i>
    <i r="3">
      <x/>
    </i>
    <i>
      <x v="4"/>
    </i>
    <i r="1">
      <x v="10"/>
    </i>
    <i r="2">
      <x v="17"/>
    </i>
    <i r="3">
      <x/>
    </i>
    <i r="2">
      <x v="29"/>
    </i>
    <i r="3">
      <x/>
    </i>
    <i r="2">
      <x v="31"/>
    </i>
    <i r="3">
      <x/>
    </i>
    <i r="2">
      <x v="38"/>
    </i>
    <i r="3">
      <x/>
    </i>
    <i r="2">
      <x v="51"/>
    </i>
    <i r="3">
      <x/>
    </i>
    <i r="2">
      <x v="52"/>
    </i>
    <i r="3">
      <x/>
    </i>
    <i r="2">
      <x v="65"/>
    </i>
    <i r="3">
      <x/>
    </i>
    <i>
      <x v="6"/>
    </i>
    <i r="1">
      <x v="11"/>
    </i>
    <i r="2">
      <x v="3"/>
    </i>
    <i r="3">
      <x/>
    </i>
    <i r="2">
      <x v="18"/>
    </i>
    <i r="3">
      <x/>
    </i>
    <i r="2">
      <x v="34"/>
    </i>
    <i r="3">
      <x/>
    </i>
    <i r="2">
      <x v="40"/>
    </i>
    <i r="3">
      <x/>
    </i>
    <i r="2">
      <x v="58"/>
    </i>
    <i r="3">
      <x/>
    </i>
    <i r="2">
      <x v="66"/>
    </i>
    <i r="3">
      <x/>
    </i>
    <i>
      <x v="7"/>
    </i>
    <i r="1">
      <x v="6"/>
    </i>
    <i r="2">
      <x v="28"/>
    </i>
    <i r="3">
      <x/>
    </i>
    <i r="2">
      <x v="55"/>
    </i>
    <i r="3">
      <x/>
    </i>
    <i>
      <x v="8"/>
    </i>
    <i r="1">
      <x v="7"/>
    </i>
    <i r="2">
      <x v="5"/>
    </i>
    <i r="3">
      <x/>
    </i>
    <i r="2">
      <x v="6"/>
    </i>
    <i r="3">
      <x/>
    </i>
    <i r="2">
      <x v="18"/>
    </i>
    <i r="3">
      <x/>
    </i>
    <i r="2">
      <x v="19"/>
    </i>
    <i r="3">
      <x/>
    </i>
    <i r="2">
      <x v="20"/>
    </i>
    <i r="3">
      <x/>
    </i>
    <i r="2">
      <x v="21"/>
    </i>
    <i r="3">
      <x/>
    </i>
    <i r="2">
      <x v="22"/>
    </i>
    <i r="3">
      <x/>
    </i>
    <i r="2">
      <x v="23"/>
    </i>
    <i r="3">
      <x/>
    </i>
    <i r="2">
      <x v="24"/>
    </i>
    <i r="3">
      <x/>
    </i>
    <i r="2">
      <x v="25"/>
    </i>
    <i r="3">
      <x/>
    </i>
    <i r="2">
      <x v="26"/>
    </i>
    <i r="3">
      <x/>
    </i>
    <i r="2">
      <x v="34"/>
    </i>
    <i r="3">
      <x/>
    </i>
    <i r="2">
      <x v="40"/>
    </i>
    <i r="3">
      <x/>
    </i>
    <i r="2">
      <x v="41"/>
    </i>
    <i r="3">
      <x/>
    </i>
    <i r="2">
      <x v="45"/>
    </i>
    <i r="3">
      <x/>
    </i>
    <i r="2">
      <x v="67"/>
    </i>
    <i r="3">
      <x/>
    </i>
    <i>
      <x v="9"/>
    </i>
    <i r="1">
      <x v="1"/>
    </i>
    <i r="2">
      <x v="11"/>
    </i>
    <i r="3">
      <x/>
    </i>
    <i r="2">
      <x v="12"/>
    </i>
    <i r="3">
      <x/>
    </i>
    <i r="2">
      <x v="13"/>
    </i>
    <i r="3">
      <x/>
    </i>
    <i r="2">
      <x v="16"/>
    </i>
    <i r="3">
      <x/>
    </i>
    <i r="2">
      <x v="27"/>
    </i>
    <i r="3">
      <x/>
    </i>
    <i r="2">
      <x v="30"/>
    </i>
    <i r="3">
      <x/>
    </i>
    <i r="2">
      <x v="39"/>
    </i>
    <i r="3">
      <x/>
    </i>
    <i r="2">
      <x v="42"/>
    </i>
    <i r="3">
      <x/>
    </i>
    <i r="2">
      <x v="56"/>
    </i>
    <i r="3">
      <x/>
    </i>
    <i r="2">
      <x v="57"/>
    </i>
    <i r="3">
      <x/>
    </i>
    <i r="2">
      <x v="59"/>
    </i>
    <i r="3">
      <x/>
    </i>
    <i r="2">
      <x v="60"/>
    </i>
    <i r="3">
      <x/>
    </i>
    <i>
      <x v="11"/>
    </i>
    <i r="1">
      <x v="13"/>
    </i>
    <i r="2">
      <x v="4"/>
    </i>
    <i r="3">
      <x/>
    </i>
    <i r="2">
      <x v="49"/>
    </i>
    <i r="3">
      <x/>
    </i>
    <i r="2">
      <x v="54"/>
    </i>
    <i r="3">
      <x/>
    </i>
    <i r="2">
      <x v="61"/>
    </i>
    <i r="3">
      <x/>
    </i>
    <i>
      <x v="12"/>
    </i>
    <i r="1">
      <x v="12"/>
    </i>
    <i r="2">
      <x v="43"/>
    </i>
    <i r="3">
      <x/>
    </i>
    <i r="2">
      <x v="59"/>
    </i>
    <i r="3">
      <x/>
    </i>
    <i t="grand">
      <x/>
    </i>
  </rowItems>
  <colFields count="1">
    <field x="-2"/>
  </colFields>
  <colItems count="4">
    <i>
      <x/>
    </i>
    <i i="1">
      <x v="1"/>
    </i>
    <i i="2">
      <x v="2"/>
    </i>
    <i i="3">
      <x v="3"/>
    </i>
  </colItems>
  <dataFields count="4">
    <dataField name="Sum of WORK DAYS" fld="19" baseField="0" baseItem="0"/>
    <dataField name="Count of ACTUAL DAYS" fld="15" subtotal="count" baseField="0" baseItem="0"/>
    <dataField name="Sum of PLANNED DAYS" fld="12" baseField="0" baseItem="0"/>
    <dataField name="Sum of % DONE"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493893DB-5C90-42E9-8574-2652470C821C}" sourceName="Position">
  <extLst>
    <x:ext xmlns:x15="http://schemas.microsoft.com/office/spreadsheetml/2010/11/main" uri="{2F2917AC-EB37-4324-AD4E-5DD8C200BD13}">
      <x15:tableSlicerCache tableId="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6910B59-43F8-45D9-8F59-AF198A5A244D}" sourceName="Department">
  <extLst>
    <x:ext xmlns:x15="http://schemas.microsoft.com/office/spreadsheetml/2010/11/main" uri="{2F2917AC-EB37-4324-AD4E-5DD8C200BD13}">
      <x15:tableSlicerCache tableId="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Role" xr10:uid="{ED336A16-9DE4-426B-A095-F47F0CF92391}" sourceName="Project Role">
  <extLst>
    <x:ext xmlns:x15="http://schemas.microsoft.com/office/spreadsheetml/2010/11/main" uri="{2F2917AC-EB37-4324-AD4E-5DD8C200BD13}">
      <x15:tableSlicerCache tableId="6"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36DB44EA-AF21-4BA6-8054-DA5B6B616621}" cache="Slicer_Position" caption="Position" rowHeight="234950"/>
  <slicer name="Department" xr10:uid="{4AA109C1-F30D-4537-90DB-99FB67572052}" cache="Slicer_Department" caption="Department" rowHeight="234950"/>
  <slicer name="Project Role" xr10:uid="{6DA2B7EF-35F2-4FCE-A2D7-8981EBA87833}" cache="Slicer_Project_Role" caption="Project Rol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6B7330-AE50-49D9-83E6-1354E9984B4F}" name="TaskTable" displayName="TaskTable" ref="D1:T103" totalsRowShown="0" headerRowDxfId="57" dataDxfId="56">
  <autoFilter ref="D1:T103" xr:uid="{A56B7330-AE50-49D9-83E6-1354E9984B4F}"/>
  <tableColumns count="17">
    <tableColumn id="1" xr3:uid="{10C049CC-B87D-422D-AE2A-68F5D7F7E71E}" name="WBS" dataDxfId="55"/>
    <tableColumn id="2" xr3:uid="{FBBFF9F0-DA5C-4381-9642-FC35B34FD59F}" name="PHASE" dataDxfId="54"/>
    <tableColumn id="15" xr3:uid="{D99BB66E-E485-4BD4-8AD5-32C9AA9AA36B}" name="MAIN PHASE" dataDxfId="53">
      <calculatedColumnFormula>IF(TaskTable[[#This Row],[WBS Level]]=2,TaskTable[[#This Row],[PHASE]],OFFSET(TaskTable[[#This Row],[MAIN PHASE]],-1,0))</calculatedColumnFormula>
    </tableColumn>
    <tableColumn id="17" xr3:uid="{BB05A5B2-9A22-4E87-BEC6-6DA6D1560D27}" name="SP-1" dataDxfId="52">
      <calculatedColumnFormula>IF(TaskTable[[#This Row],[WBS Level]]=3,TaskTable[[#This Row],[PHASE]],IF(TaskTable[[#This Row],[WBS Level]]&lt;3,"NONE",OFFSET(TaskTable[[#This Row],[SP-1]],-1,0)))</calculatedColumnFormula>
    </tableColumn>
    <tableColumn id="18" xr3:uid="{B971568F-9389-41CF-B0B0-EBF610B58203}" name="SP-2" dataDxfId="51">
      <calculatedColumnFormula>IF(TaskTable[[#This Row],[WBS Level]]=4,TaskTable[[#This Row],[PHASE]],IF(TaskTable[[#This Row],[WBS Level]]&lt;4,"NONE",OFFSET(TaskTable[[#This Row],[SP-2]],-1,0)))</calculatedColumnFormula>
    </tableColumn>
    <tableColumn id="20" xr3:uid="{5E371EB7-240C-4B6A-A996-C92A1AFA3E45}" name="SP-3" dataDxfId="50">
      <calculatedColumnFormula>IF(TaskTable[[#This Row],[WBS Level]]=5,TaskTable[[#This Row],[PHASE]],IF(TaskTable[[#This Row],[WBS Level]]&lt;5,"NONE",OFFSET(TaskTable[[#This Row],[SP-3]],-1,0)))</calculatedColumnFormula>
    </tableColumn>
    <tableColumn id="19" xr3:uid="{59657939-FF97-49BD-BA6D-9CAF380B1820}" name="SP-4" dataDxfId="49">
      <calculatedColumnFormula>IF(TaskTable[[#This Row],[WBS Level]]=6,TaskTable[[#This Row],[PHASE]],IF(TaskTable[[#This Row],[WBS Level]]&lt;6,"NONE",OFFSET(TaskTable[[#This Row],[SP-4]],-1,0)))</calculatedColumnFormula>
    </tableColumn>
    <tableColumn id="3" xr3:uid="{17DF97BC-740B-4C59-9617-7B40EFFB470D}" name="LEAD" dataDxfId="48"/>
    <tableColumn id="4" xr3:uid="{8CF81B31-CF29-4D34-A012-9D3348524D35}" name="PREDECESSOR" dataDxfId="47"/>
    <tableColumn id="12" xr3:uid="{807259AA-A9D0-4AB0-B626-9B4C073C6BC7}" name="WBS Level" dataDxfId="46">
      <calculatedColumnFormula>LEN(TaskTable[WBS])-LEN(SUBSTITUTE(TaskTable[WBS],".",""))+2</calculatedColumnFormula>
    </tableColumn>
    <tableColumn id="5" xr3:uid="{1A0CAB6A-7C49-4E6D-8411-44155F5AEF5F}" name="START" dataDxfId="45"/>
    <tableColumn id="6" xr3:uid="{6A1CAE07-D16D-4957-BC69-E5ADA459B4B4}" name="END" dataDxfId="44"/>
    <tableColumn id="7" xr3:uid="{00F5E906-9B1D-4244-BCF3-81E75FE39327}" name="DAYS" dataDxfId="43"/>
    <tableColumn id="8" xr3:uid="{60F29B01-794E-4740-AE5E-35793B58D1CD}" name="STATUS" dataDxfId="42"/>
    <tableColumn id="13" xr3:uid="{21CE21C3-740F-4C6A-82D7-4C19CC91BCD6}" name="CMPLT" dataDxfId="41">
      <calculatedColumnFormula>IF(TaskTable[[#This Row],[STATUS]]="COMPLETE",1,"")</calculatedColumnFormula>
    </tableColumn>
    <tableColumn id="9" xr3:uid="{42993196-54AA-49FC-AED3-BCC0500418B4}" name="% DONE" dataDxfId="40" dataCellStyle="Percent"/>
    <tableColumn id="10" xr3:uid="{BA2C0E6B-8467-4BA3-8A9D-57B22BC3981C}" name="WORK DAYS"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1E0891-B4D2-4016-A6EA-E7E8E6CCD707}" name="mainPhaseTable" displayName="mainPhaseTable" ref="AS1:BB16" totalsRowShown="0" headerRowDxfId="38" dataDxfId="37">
  <autoFilter ref="AS1:BB16" xr:uid="{1A1E0891-B4D2-4016-A6EA-E7E8E6CCD707}"/>
  <tableColumns count="10">
    <tableColumn id="1" xr3:uid="{0016CD7C-7810-437B-84FA-D9554360BE8C}" name="PHASE" dataDxfId="36"/>
    <tableColumn id="3" xr3:uid="{F8191A34-528B-483B-8E70-358C68AC1212}" name="START" dataDxfId="35"/>
    <tableColumn id="4" xr3:uid="{1F69E7F4-81FE-4B74-95E7-3C6FFEE185D6}" name="DURATION" dataDxfId="34">
      <calculatedColumnFormula>AY2-AT2</calculatedColumnFormula>
    </tableColumn>
    <tableColumn id="5" xr3:uid="{4C74BFE8-1C13-4AC9-9DF0-64FB04E504F5}" name="% COMPLETE" dataDxfId="33"/>
    <tableColumn id="6" xr3:uid="{CB5EC73D-FFCA-4AA0-8F34-C3406853E568}" name="COMPLETION" dataDxfId="32">
      <calculatedColumnFormula>(AV2/100)*AU2</calculatedColumnFormula>
    </tableColumn>
    <tableColumn id="7" xr3:uid="{98128E1D-90D0-418F-AC36-49EF2AC0C6A2}" name="HEIGHT" dataDxfId="31"/>
    <tableColumn id="8" xr3:uid="{ECBBA21C-DE4F-4145-9585-CCCC445729AA}" name="END" dataDxfId="30"/>
    <tableColumn id="9" xr3:uid="{EBD43B04-F194-42C9-8FC9-497BA6B18EBC}" name="DAYS SINCE START" dataDxfId="29">
      <calculatedColumnFormula>AT2-$B$6</calculatedColumnFormula>
    </tableColumn>
    <tableColumn id="10" xr3:uid="{CC8477CC-B356-497D-AAF8-0B1908DB16D1}" name="TODAY" dataDxfId="28">
      <calculatedColumnFormula>$AQ$4</calculatedColumnFormula>
    </tableColumn>
    <tableColumn id="11" xr3:uid="{1170D0F6-1D5C-4B5A-A4A2-0F3A50FF3093}" name="DAYS SINCE TODAY" dataDxfId="27">
      <calculatedColumnFormula>BA2-AT2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117550-1659-4418-8AED-B7BA9F2C0B4F}" name="Table6" displayName="Table6" ref="B2:J7" totalsRowShown="0" headerRowDxfId="26" dataDxfId="25" tableBorderDxfId="24">
  <autoFilter ref="B2:J7" xr:uid="{CD117550-1659-4418-8AED-B7BA9F2C0B4F}"/>
  <tableColumns count="9">
    <tableColumn id="1" xr3:uid="{0B285407-4FBC-4AF7-9A7F-B602F997D193}" name="Name" dataDxfId="23"/>
    <tableColumn id="2" xr3:uid="{EC2F96B6-9385-4044-AAC0-D280D4BBEA32}" name="Position" dataDxfId="22"/>
    <tableColumn id="3" xr3:uid="{77BF47FB-C8CB-4325-99BE-C49A481B83AA}" name="Department" dataDxfId="21"/>
    <tableColumn id="4" xr3:uid="{DB5828FE-E9D9-46BC-84B8-33D8988DB0CE}" name="Section" dataDxfId="20"/>
    <tableColumn id="5" xr3:uid="{2EDCF499-11A9-4C7F-A797-179906168FFE}" name="Project Role" dataDxfId="19"/>
    <tableColumn id="6" xr3:uid="{2CD645A9-05E8-498F-9724-3C8AA768BA25}" name="Business Email Address" dataDxfId="18"/>
    <tableColumn id="7" xr3:uid="{A489FAAC-4485-4C00-918D-E16CAC41CE12}" name="Mobile Number" dataDxfId="17"/>
    <tableColumn id="8" xr3:uid="{A0EF1720-343D-4594-9645-A30F3C905C46}" name="Days Available" dataDxfId="16"/>
    <tableColumn id="9" xr3:uid="{31D3668A-744E-4E61-A00B-BEA34F1EEBDC}" name="Comment"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FCD6D-341E-4628-9E26-8FD454CC3F1B}">
  <sheetPr codeName="Sheet3"/>
  <dimension ref="A1"/>
  <sheetViews>
    <sheetView workbookViewId="0">
      <selection activeCell="B35" sqref="B35"/>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C488B-FA7E-4E9C-AD43-484650ABBBAD}">
  <sheetPr codeName="Sheet4">
    <tabColor theme="4" tint="0.79998168889431442"/>
  </sheetPr>
  <dimension ref="A1:GN44"/>
  <sheetViews>
    <sheetView showGridLines="0" zoomScale="85" zoomScaleNormal="85" workbookViewId="0">
      <pane ySplit="3" topLeftCell="A4" activePane="bottomLeft" state="frozen"/>
      <selection pane="bottomLeft" activeCell="I5" sqref="I5"/>
    </sheetView>
  </sheetViews>
  <sheetFormatPr defaultColWidth="0" defaultRowHeight="14.4" x14ac:dyDescent="0.3"/>
  <cols>
    <col min="1" max="2" width="8.88671875" style="350" customWidth="1"/>
    <col min="3" max="3" width="12.5546875" style="350" customWidth="1"/>
    <col min="4" max="4" width="1.21875" style="350" customWidth="1"/>
    <col min="5" max="5" width="41.5546875" style="350" bestFit="1" customWidth="1"/>
    <col min="6" max="6" width="11.88671875" style="350" bestFit="1" customWidth="1"/>
    <col min="7" max="7" width="14.33203125" style="350" bestFit="1" customWidth="1"/>
    <col min="8" max="8" width="10" style="350" bestFit="1" customWidth="1"/>
    <col min="9" max="9" width="7.21875" style="350" customWidth="1"/>
    <col min="10" max="11" width="18.6640625" style="350" customWidth="1"/>
    <col min="12" max="12" width="14.5546875" style="350" bestFit="1" customWidth="1"/>
    <col min="13" max="13" width="23.77734375" style="350" customWidth="1"/>
    <col min="14" max="14" width="5" style="350" customWidth="1"/>
    <col min="15" max="15" width="8.44140625" style="350" bestFit="1" customWidth="1"/>
    <col min="16" max="16" width="4.44140625" style="350" customWidth="1"/>
    <col min="17" max="17" width="25.21875" style="350" bestFit="1" customWidth="1"/>
    <col min="18" max="18" width="24.21875" style="350" hidden="1" customWidth="1"/>
    <col min="19" max="19" width="31.5546875" style="350" hidden="1" customWidth="1"/>
    <col min="20" max="20" width="14.33203125" style="350" hidden="1" customWidth="1"/>
    <col min="21" max="21" width="15.44140625" style="350" hidden="1" customWidth="1"/>
    <col min="22" max="22" width="18.77734375" style="350" hidden="1" customWidth="1"/>
    <col min="23" max="23" width="21.6640625" style="350" hidden="1" customWidth="1"/>
    <col min="24" max="24" width="41.5546875" style="350" hidden="1" customWidth="1"/>
    <col min="25" max="25" width="12.88671875" style="350" hidden="1" customWidth="1"/>
    <col min="26" max="26" width="20.21875" style="350" hidden="1" customWidth="1"/>
    <col min="27" max="27" width="13.88671875" style="350" hidden="1" customWidth="1"/>
    <col min="28" max="28" width="16.77734375" style="350" hidden="1" customWidth="1"/>
    <col min="29" max="29" width="13.6640625" style="350" hidden="1" customWidth="1"/>
    <col min="30" max="30" width="15.21875" style="350" hidden="1" customWidth="1"/>
    <col min="31" max="31" width="39.5546875" style="350" hidden="1" customWidth="1"/>
    <col min="32" max="32" width="19.109375" style="350" hidden="1" customWidth="1"/>
    <col min="33" max="33" width="12.33203125" style="350" hidden="1" customWidth="1"/>
    <col min="34" max="34" width="31.6640625" style="350" hidden="1" customWidth="1"/>
    <col min="35" max="35" width="19.109375" style="350" hidden="1" customWidth="1"/>
    <col min="36" max="36" width="42" style="350" hidden="1" customWidth="1"/>
    <col min="37" max="37" width="48.77734375" style="350" hidden="1" customWidth="1"/>
    <col min="38" max="38" width="34.88671875" style="350" hidden="1" customWidth="1"/>
    <col min="39" max="39" width="18.21875" style="350" hidden="1" customWidth="1"/>
    <col min="40" max="40" width="33.33203125" style="350" hidden="1" customWidth="1"/>
    <col min="41" max="41" width="35.77734375" style="350" hidden="1" customWidth="1"/>
    <col min="42" max="42" width="7.6640625" style="350" hidden="1" customWidth="1"/>
    <col min="43" max="43" width="23.6640625" style="350" hidden="1" customWidth="1"/>
    <col min="44" max="44" width="5.77734375" style="350" hidden="1" customWidth="1"/>
    <col min="45" max="45" width="11.88671875" style="350" hidden="1" customWidth="1"/>
    <col min="46" max="46" width="7.5546875" style="350" hidden="1" customWidth="1"/>
    <col min="47" max="47" width="13.33203125" style="350" hidden="1" customWidth="1"/>
    <col min="48" max="48" width="20.21875" style="350" hidden="1" customWidth="1"/>
    <col min="49" max="49" width="9.5546875" style="350" hidden="1" customWidth="1"/>
    <col min="50" max="50" width="7" style="350" hidden="1" customWidth="1"/>
    <col min="51" max="51" width="12.5546875" style="350" hidden="1" customWidth="1"/>
    <col min="52" max="52" width="30.33203125" style="350" hidden="1" customWidth="1"/>
    <col min="53" max="53" width="9.21875" style="350" hidden="1" customWidth="1"/>
    <col min="54" max="54" width="26.109375" style="350" hidden="1" customWidth="1"/>
    <col min="55" max="55" width="34.5546875" style="350" hidden="1" customWidth="1"/>
    <col min="56" max="56" width="14.88671875" style="350" hidden="1" customWidth="1"/>
    <col min="57" max="57" width="16.109375" style="350" hidden="1" customWidth="1"/>
    <col min="58" max="58" width="24.6640625" style="350" hidden="1" customWidth="1"/>
    <col min="59" max="59" width="47.109375" style="350" hidden="1" customWidth="1"/>
    <col min="60" max="60" width="18.33203125" style="350" hidden="1" customWidth="1"/>
    <col min="61" max="61" width="5.109375" style="350" hidden="1" customWidth="1"/>
    <col min="62" max="62" width="15" style="350" hidden="1" customWidth="1"/>
    <col min="63" max="63" width="13.6640625" style="350" hidden="1" customWidth="1"/>
    <col min="64" max="64" width="19.44140625" style="350" hidden="1" customWidth="1"/>
    <col min="65" max="65" width="15.5546875" style="350" hidden="1" customWidth="1"/>
    <col min="66" max="66" width="4.44140625" style="350" hidden="1" customWidth="1"/>
    <col min="67" max="67" width="12.44140625" style="350" hidden="1" customWidth="1"/>
    <col min="68" max="68" width="26.6640625" style="350" hidden="1" customWidth="1"/>
    <col min="69" max="69" width="31.88671875" style="350" hidden="1" customWidth="1"/>
    <col min="70" max="70" width="31.33203125" style="350" hidden="1" customWidth="1"/>
    <col min="71" max="71" width="14.109375" style="350" hidden="1" customWidth="1"/>
    <col min="72" max="72" width="26.21875" style="350" hidden="1" customWidth="1"/>
    <col min="73" max="73" width="9.44140625" style="350" hidden="1" customWidth="1"/>
    <col min="74" max="74" width="21.88671875" style="350" hidden="1" customWidth="1"/>
    <col min="75" max="75" width="27.88671875" style="350" hidden="1" customWidth="1"/>
    <col min="76" max="76" width="31.88671875" style="350" hidden="1" customWidth="1"/>
    <col min="77" max="77" width="29.77734375" style="350" hidden="1" customWidth="1"/>
    <col min="78" max="78" width="13.44140625" style="350" hidden="1" customWidth="1"/>
    <col min="79" max="79" width="7.6640625" style="350" hidden="1" customWidth="1"/>
    <col min="80" max="80" width="21" style="350" hidden="1" customWidth="1"/>
    <col min="81" max="81" width="23.88671875" style="350" hidden="1" customWidth="1"/>
    <col min="82" max="82" width="10" style="350" hidden="1" customWidth="1"/>
    <col min="83" max="83" width="8.44140625" style="350" hidden="1" customWidth="1"/>
    <col min="84" max="84" width="13.21875" style="350" hidden="1" customWidth="1"/>
    <col min="85" max="85" width="8.44140625" style="350" hidden="1" customWidth="1"/>
    <col min="86" max="86" width="16.33203125" style="350" hidden="1" customWidth="1"/>
    <col min="87" max="87" width="23.6640625" style="350" hidden="1" customWidth="1"/>
    <col min="88" max="88" width="18.21875" style="350" hidden="1" customWidth="1"/>
    <col min="89" max="89" width="7.77734375" style="350" hidden="1" customWidth="1"/>
    <col min="90" max="90" width="36" style="350" hidden="1" customWidth="1"/>
    <col min="91" max="91" width="38.21875" style="350" hidden="1" customWidth="1"/>
    <col min="92" max="92" width="22.44140625" style="350" hidden="1" customWidth="1"/>
    <col min="93" max="93" width="27.33203125" style="350" hidden="1" customWidth="1"/>
    <col min="94" max="94" width="22.6640625" style="350" hidden="1" customWidth="1"/>
    <col min="95" max="95" width="36.5546875" style="350" hidden="1" customWidth="1"/>
    <col min="96" max="96" width="7" style="350" hidden="1" customWidth="1"/>
    <col min="97" max="97" width="10.77734375" style="350" hidden="1" customWidth="1"/>
    <col min="98" max="98" width="17.44140625" style="350" hidden="1" customWidth="1"/>
    <col min="99" max="99" width="32.33203125" style="350" hidden="1" customWidth="1"/>
    <col min="100" max="100" width="35.109375" style="350" hidden="1" customWidth="1"/>
    <col min="101" max="101" width="13.6640625" style="350" hidden="1" customWidth="1"/>
    <col min="102" max="102" width="14" style="350" hidden="1" customWidth="1"/>
    <col min="103" max="104" width="28.109375" style="350" hidden="1" customWidth="1"/>
    <col min="105" max="105" width="30.88671875" style="350" hidden="1" customWidth="1"/>
    <col min="106" max="106" width="36.5546875" style="350" hidden="1" customWidth="1"/>
    <col min="107" max="107" width="39.33203125" style="350" hidden="1" customWidth="1"/>
    <col min="108" max="108" width="16.88671875" style="350" hidden="1" customWidth="1"/>
    <col min="109" max="109" width="19.6640625" style="350" hidden="1" customWidth="1"/>
    <col min="110" max="110" width="18.109375" style="350" hidden="1" customWidth="1"/>
    <col min="111" max="111" width="20.88671875" style="350" hidden="1" customWidth="1"/>
    <col min="112" max="112" width="26.6640625" style="350" hidden="1" customWidth="1"/>
    <col min="113" max="113" width="29.5546875" style="350" hidden="1" customWidth="1"/>
    <col min="114" max="114" width="49.109375" style="350" hidden="1" customWidth="1"/>
    <col min="115" max="115" width="51.88671875" style="350" hidden="1" customWidth="1"/>
    <col min="116" max="116" width="31.88671875" style="350" hidden="1" customWidth="1"/>
    <col min="117" max="117" width="23.109375" style="350" hidden="1" customWidth="1"/>
    <col min="118" max="119" width="26.6640625" style="350" hidden="1" customWidth="1"/>
    <col min="120" max="120" width="9.77734375" style="350" hidden="1" customWidth="1"/>
    <col min="121" max="121" width="26.6640625" style="350" hidden="1" customWidth="1"/>
    <col min="122" max="122" width="19.77734375" style="350" hidden="1" customWidth="1"/>
    <col min="123" max="124" width="31.88671875" style="350" hidden="1" customWidth="1"/>
    <col min="125" max="125" width="18.44140625" style="350" hidden="1" customWidth="1"/>
    <col min="126" max="126" width="21.44140625" style="350" hidden="1" customWidth="1"/>
    <col min="127" max="127" width="24.21875" style="350" hidden="1" customWidth="1"/>
    <col min="128" max="128" width="17.5546875" style="350" hidden="1" customWidth="1"/>
    <col min="129" max="129" width="20.33203125" style="350" hidden="1" customWidth="1"/>
    <col min="130" max="130" width="26.6640625" style="350" hidden="1" customWidth="1"/>
    <col min="131" max="131" width="9.109375" style="350" hidden="1" customWidth="1"/>
    <col min="132" max="132" width="14.44140625" style="350" hidden="1" customWidth="1"/>
    <col min="133" max="133" width="17.33203125" style="350" hidden="1" customWidth="1"/>
    <col min="134" max="134" width="28.6640625" style="350" hidden="1" customWidth="1"/>
    <col min="135" max="135" width="31.44140625" style="350" hidden="1" customWidth="1"/>
    <col min="136" max="136" width="33.88671875" style="350" hidden="1" customWidth="1"/>
    <col min="137" max="137" width="36.6640625" style="350" hidden="1" customWidth="1"/>
    <col min="138" max="138" width="39.5546875" style="350" hidden="1" customWidth="1"/>
    <col min="139" max="139" width="36.109375" style="350" hidden="1" customWidth="1"/>
    <col min="140" max="140" width="16.109375" style="350" hidden="1" customWidth="1"/>
    <col min="141" max="141" width="18.88671875" style="350" hidden="1" customWidth="1"/>
    <col min="142" max="142" width="28.21875" style="350" hidden="1" customWidth="1"/>
    <col min="143" max="143" width="31" style="350" hidden="1" customWidth="1"/>
    <col min="144" max="144" width="23.6640625" style="350" hidden="1" customWidth="1"/>
    <col min="145" max="145" width="14.21875" style="350" hidden="1" customWidth="1"/>
    <col min="146" max="146" width="25.21875" style="350" hidden="1" customWidth="1"/>
    <col min="147" max="147" width="26.6640625" style="350" hidden="1" customWidth="1"/>
    <col min="148" max="148" width="29.88671875" style="350" hidden="1" customWidth="1"/>
    <col min="149" max="149" width="32.6640625" style="350" hidden="1" customWidth="1"/>
    <col min="150" max="150" width="33.88671875" style="350" hidden="1" customWidth="1"/>
    <col min="151" max="151" width="36.6640625" style="350" hidden="1" customWidth="1"/>
    <col min="152" max="152" width="31.77734375" style="350" hidden="1" customWidth="1"/>
    <col min="153" max="153" width="34.5546875" style="350" hidden="1" customWidth="1"/>
    <col min="154" max="154" width="25.21875" style="350" hidden="1" customWidth="1"/>
    <col min="155" max="155" width="18.21875" style="350" hidden="1" customWidth="1"/>
    <col min="156" max="156" width="23.6640625" style="350" hidden="1" customWidth="1"/>
    <col min="157" max="157" width="12.33203125" style="350" hidden="1" customWidth="1"/>
    <col min="158" max="158" width="34.5546875" style="350" hidden="1" customWidth="1"/>
    <col min="159" max="160" width="25.88671875" style="350" hidden="1" customWidth="1"/>
    <col min="161" max="161" width="28.6640625" style="350" hidden="1" customWidth="1"/>
    <col min="162" max="162" width="31.88671875" style="350" hidden="1" customWidth="1"/>
    <col min="163" max="163" width="14.77734375" style="350" hidden="1" customWidth="1"/>
    <col min="164" max="166" width="31.88671875" style="350" hidden="1" customWidth="1"/>
    <col min="167" max="167" width="13.21875" style="350" hidden="1" customWidth="1"/>
    <col min="168" max="168" width="15.21875" style="350" hidden="1" customWidth="1"/>
    <col min="169" max="169" width="18" style="350" hidden="1" customWidth="1"/>
    <col min="170" max="172" width="31.88671875" style="350" hidden="1" customWidth="1"/>
    <col min="173" max="173" width="13.21875" style="350" hidden="1" customWidth="1"/>
    <col min="174" max="174" width="31.88671875" style="350" hidden="1" customWidth="1"/>
    <col min="175" max="175" width="21.109375" style="350" hidden="1" customWidth="1"/>
    <col min="176" max="176" width="25.6640625" style="350" hidden="1" customWidth="1"/>
    <col min="177" max="177" width="28.44140625" style="350" hidden="1" customWidth="1"/>
    <col min="178" max="178" width="23.6640625" style="350" hidden="1" customWidth="1"/>
    <col min="179" max="179" width="23" style="350" hidden="1" customWidth="1"/>
    <col min="180" max="180" width="9.77734375" style="350" hidden="1" customWidth="1"/>
    <col min="181" max="181" width="12.44140625" style="350" hidden="1" customWidth="1"/>
    <col min="182" max="182" width="39.5546875" style="350" hidden="1" customWidth="1"/>
    <col min="183" max="183" width="40.77734375" style="350" hidden="1" customWidth="1"/>
    <col min="184" max="184" width="40.21875" style="350" hidden="1" customWidth="1"/>
    <col min="185" max="185" width="43" style="350" hidden="1" customWidth="1"/>
    <col min="186" max="186" width="39.5546875" style="350" hidden="1" customWidth="1"/>
    <col min="187" max="187" width="27.21875" style="350" hidden="1" customWidth="1"/>
    <col min="188" max="188" width="29.33203125" style="350" hidden="1" customWidth="1"/>
    <col min="189" max="189" width="32.109375" style="350" hidden="1" customWidth="1"/>
    <col min="190" max="190" width="24.6640625" style="350" hidden="1" customWidth="1"/>
    <col min="191" max="191" width="27.44140625" style="350" hidden="1" customWidth="1"/>
    <col min="192" max="192" width="38.5546875" style="350" hidden="1" customWidth="1"/>
    <col min="193" max="193" width="41.33203125" style="350" hidden="1" customWidth="1"/>
    <col min="194" max="194" width="9" style="350" hidden="1" customWidth="1"/>
    <col min="195" max="195" width="11.6640625" style="350" hidden="1" customWidth="1"/>
    <col min="196" max="196" width="10.77734375" style="350" hidden="1" customWidth="1"/>
    <col min="197" max="16384" width="8.88671875" style="350" hidden="1"/>
  </cols>
  <sheetData>
    <row r="1" spans="1:15" s="344" customFormat="1" ht="33" customHeight="1" x14ac:dyDescent="0.3">
      <c r="A1" s="341"/>
      <c r="B1" s="341"/>
      <c r="C1" s="342" t="s">
        <v>309</v>
      </c>
      <c r="D1" s="342"/>
      <c r="E1" s="342"/>
      <c r="F1" s="342"/>
      <c r="G1" s="342"/>
      <c r="H1" s="343"/>
      <c r="I1" s="343"/>
      <c r="J1" s="343"/>
      <c r="K1" s="343"/>
      <c r="N1" s="345"/>
      <c r="O1" s="345"/>
    </row>
    <row r="2" spans="1:15" s="344" customFormat="1" ht="22.2" customHeight="1" x14ac:dyDescent="0.3">
      <c r="A2" s="341"/>
      <c r="B2" s="341"/>
      <c r="C2" s="342"/>
      <c r="D2" s="342"/>
      <c r="E2" s="342"/>
      <c r="F2" s="342"/>
      <c r="G2" s="342"/>
      <c r="H2" s="343"/>
      <c r="I2" s="343"/>
      <c r="J2" s="343"/>
      <c r="K2" s="343"/>
      <c r="M2" s="346"/>
      <c r="N2" s="346"/>
      <c r="O2" s="346"/>
    </row>
    <row r="3" spans="1:15" s="344" customFormat="1" ht="30.6" customHeight="1" x14ac:dyDescent="0.3">
      <c r="A3" s="347"/>
      <c r="B3" s="347"/>
      <c r="C3" s="347"/>
      <c r="D3" s="347"/>
      <c r="E3" s="348"/>
      <c r="M3" s="349"/>
      <c r="N3" s="349"/>
      <c r="O3" s="349"/>
    </row>
    <row r="4" spans="1:15" s="344" customFormat="1" ht="14.4" customHeight="1" x14ac:dyDescent="0.3">
      <c r="A4" s="347"/>
      <c r="B4" s="347"/>
      <c r="C4" s="347"/>
      <c r="D4" s="347"/>
      <c r="E4" s="348"/>
      <c r="M4" s="349"/>
      <c r="N4" s="349"/>
      <c r="O4" s="349"/>
    </row>
    <row r="7" spans="1:15" x14ac:dyDescent="0.3">
      <c r="O7" s="351"/>
    </row>
    <row r="21" spans="1:5" x14ac:dyDescent="0.3">
      <c r="E21" s="352"/>
    </row>
    <row r="24" spans="1:5" x14ac:dyDescent="0.3">
      <c r="A24" s="350" t="s">
        <v>307</v>
      </c>
    </row>
    <row r="33" s="350" customFormat="1" x14ac:dyDescent="0.3"/>
    <row r="34" s="350" customFormat="1" x14ac:dyDescent="0.3"/>
    <row r="35" s="350" customFormat="1" x14ac:dyDescent="0.3"/>
    <row r="36" s="350" customFormat="1" x14ac:dyDescent="0.3"/>
    <row r="37" s="350" customFormat="1" x14ac:dyDescent="0.3"/>
    <row r="38" s="350" customFormat="1" x14ac:dyDescent="0.3"/>
    <row r="39" s="350" customFormat="1" x14ac:dyDescent="0.3"/>
    <row r="40" s="350" customFormat="1" x14ac:dyDescent="0.3"/>
    <row r="41" s="350" customFormat="1" x14ac:dyDescent="0.3"/>
    <row r="42" s="350" customFormat="1" x14ac:dyDescent="0.3"/>
    <row r="43" s="350" customFormat="1" x14ac:dyDescent="0.3"/>
    <row r="44" s="350" customFormat="1" x14ac:dyDescent="0.3"/>
  </sheetData>
  <sheetProtection sheet="1" objects="1" scenarios="1" selectLockedCells="1" selectUnlockedCells="1"/>
  <mergeCells count="3">
    <mergeCell ref="N1:O1"/>
    <mergeCell ref="M2:O2"/>
    <mergeCell ref="C1:G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7D194-2208-453E-823B-BE45B16CEC7E}">
  <sheetPr codeName="Sheet10"/>
  <dimension ref="B3:Q248"/>
  <sheetViews>
    <sheetView topLeftCell="G1" zoomScale="85" zoomScaleNormal="85" workbookViewId="0">
      <selection activeCell="I12" sqref="I12"/>
    </sheetView>
  </sheetViews>
  <sheetFormatPr defaultRowHeight="14.4" x14ac:dyDescent="0.3"/>
  <cols>
    <col min="1" max="1" width="8.88671875" style="134"/>
    <col min="2" max="2" width="54.6640625" style="134" bestFit="1" customWidth="1"/>
    <col min="3" max="3" width="18.88671875" style="134" bestFit="1" customWidth="1"/>
    <col min="4" max="4" width="21.5546875" style="134" bestFit="1" customWidth="1"/>
    <col min="5" max="5" width="21.77734375" style="134" bestFit="1" customWidth="1"/>
    <col min="6" max="6" width="15.109375" style="134" bestFit="1" customWidth="1"/>
    <col min="7" max="16384" width="8.88671875" style="134"/>
  </cols>
  <sheetData>
    <row r="3" spans="2:17" x14ac:dyDescent="0.3">
      <c r="B3" s="144" t="s">
        <v>338</v>
      </c>
      <c r="C3" t="s">
        <v>343</v>
      </c>
      <c r="D3" t="s">
        <v>344</v>
      </c>
      <c r="E3" t="s">
        <v>345</v>
      </c>
      <c r="F3" t="s">
        <v>346</v>
      </c>
    </row>
    <row r="4" spans="2:17" x14ac:dyDescent="0.3">
      <c r="B4" s="145" t="s">
        <v>98</v>
      </c>
      <c r="C4" s="150">
        <v>35</v>
      </c>
      <c r="D4" s="150"/>
      <c r="E4" s="150">
        <v>35</v>
      </c>
      <c r="F4" s="150">
        <v>7</v>
      </c>
    </row>
    <row r="5" spans="2:17" x14ac:dyDescent="0.3">
      <c r="B5" s="147" t="s">
        <v>99</v>
      </c>
      <c r="C5" s="150">
        <v>35</v>
      </c>
      <c r="D5" s="150"/>
      <c r="E5" s="150">
        <v>35</v>
      </c>
      <c r="F5" s="150">
        <v>7</v>
      </c>
    </row>
    <row r="6" spans="2:17" x14ac:dyDescent="0.3">
      <c r="B6" s="148" t="s">
        <v>103</v>
      </c>
      <c r="C6" s="150">
        <v>5</v>
      </c>
      <c r="D6" s="150"/>
      <c r="E6" s="150">
        <v>5</v>
      </c>
      <c r="F6" s="150">
        <v>1</v>
      </c>
    </row>
    <row r="7" spans="2:17" x14ac:dyDescent="0.3">
      <c r="B7" s="149" t="s">
        <v>342</v>
      </c>
      <c r="C7" s="150">
        <v>5</v>
      </c>
      <c r="D7" s="150"/>
      <c r="E7" s="150">
        <v>5</v>
      </c>
      <c r="F7" s="150">
        <v>1</v>
      </c>
    </row>
    <row r="8" spans="2:17" x14ac:dyDescent="0.3">
      <c r="B8" s="148" t="s">
        <v>100</v>
      </c>
      <c r="C8" s="150">
        <v>5</v>
      </c>
      <c r="D8" s="150"/>
      <c r="E8" s="150">
        <v>5</v>
      </c>
      <c r="F8" s="150">
        <v>1</v>
      </c>
    </row>
    <row r="9" spans="2:17" x14ac:dyDescent="0.3">
      <c r="B9" s="149" t="s">
        <v>342</v>
      </c>
      <c r="C9" s="150">
        <v>5</v>
      </c>
      <c r="D9" s="150"/>
      <c r="E9" s="150">
        <v>5</v>
      </c>
      <c r="F9" s="150">
        <v>1</v>
      </c>
    </row>
    <row r="10" spans="2:17" x14ac:dyDescent="0.3">
      <c r="B10" s="148" t="s">
        <v>104</v>
      </c>
      <c r="C10" s="150">
        <v>5</v>
      </c>
      <c r="D10" s="150"/>
      <c r="E10" s="150">
        <v>5</v>
      </c>
      <c r="F10" s="150">
        <v>1</v>
      </c>
    </row>
    <row r="11" spans="2:17" x14ac:dyDescent="0.3">
      <c r="B11" s="149" t="s">
        <v>342</v>
      </c>
      <c r="C11" s="150">
        <v>5</v>
      </c>
      <c r="D11" s="150"/>
      <c r="E11" s="150">
        <v>5</v>
      </c>
      <c r="F11" s="150">
        <v>1</v>
      </c>
    </row>
    <row r="12" spans="2:17" x14ac:dyDescent="0.3">
      <c r="B12" s="148" t="s">
        <v>106</v>
      </c>
      <c r="C12" s="150">
        <v>5</v>
      </c>
      <c r="D12" s="150"/>
      <c r="E12" s="150">
        <v>5</v>
      </c>
      <c r="F12" s="150">
        <v>1</v>
      </c>
      <c r="Q12" s="146"/>
    </row>
    <row r="13" spans="2:17" x14ac:dyDescent="0.3">
      <c r="B13" s="149" t="s">
        <v>342</v>
      </c>
      <c r="C13" s="150">
        <v>5</v>
      </c>
      <c r="D13" s="150"/>
      <c r="E13" s="150">
        <v>5</v>
      </c>
      <c r="F13" s="150">
        <v>1</v>
      </c>
    </row>
    <row r="14" spans="2:17" x14ac:dyDescent="0.3">
      <c r="B14" s="148" t="s">
        <v>105</v>
      </c>
      <c r="C14" s="150">
        <v>5</v>
      </c>
      <c r="D14" s="150"/>
      <c r="E14" s="150">
        <v>5</v>
      </c>
      <c r="F14" s="150">
        <v>1</v>
      </c>
    </row>
    <row r="15" spans="2:17" x14ac:dyDescent="0.3">
      <c r="B15" s="149" t="s">
        <v>342</v>
      </c>
      <c r="C15" s="150">
        <v>5</v>
      </c>
      <c r="D15" s="150"/>
      <c r="E15" s="150">
        <v>5</v>
      </c>
      <c r="F15" s="150">
        <v>1</v>
      </c>
    </row>
    <row r="16" spans="2:17" x14ac:dyDescent="0.3">
      <c r="B16" s="148" t="s">
        <v>101</v>
      </c>
      <c r="C16" s="150">
        <v>5</v>
      </c>
      <c r="D16" s="150"/>
      <c r="E16" s="150">
        <v>5</v>
      </c>
      <c r="F16" s="150">
        <v>1</v>
      </c>
    </row>
    <row r="17" spans="2:6" x14ac:dyDescent="0.3">
      <c r="B17" s="149" t="s">
        <v>342</v>
      </c>
      <c r="C17" s="150">
        <v>5</v>
      </c>
      <c r="D17" s="150"/>
      <c r="E17" s="150">
        <v>5</v>
      </c>
      <c r="F17" s="150">
        <v>1</v>
      </c>
    </row>
    <row r="18" spans="2:6" x14ac:dyDescent="0.3">
      <c r="B18" s="148" t="s">
        <v>102</v>
      </c>
      <c r="C18" s="150">
        <v>5</v>
      </c>
      <c r="D18" s="150"/>
      <c r="E18" s="150">
        <v>5</v>
      </c>
      <c r="F18" s="150">
        <v>1</v>
      </c>
    </row>
    <row r="19" spans="2:6" x14ac:dyDescent="0.3">
      <c r="B19" s="149" t="s">
        <v>342</v>
      </c>
      <c r="C19" s="150">
        <v>5</v>
      </c>
      <c r="D19" s="150"/>
      <c r="E19" s="150">
        <v>5</v>
      </c>
      <c r="F19" s="150">
        <v>1</v>
      </c>
    </row>
    <row r="20" spans="2:6" x14ac:dyDescent="0.3">
      <c r="B20" s="145" t="s">
        <v>107</v>
      </c>
      <c r="C20" s="150">
        <v>20</v>
      </c>
      <c r="D20" s="150"/>
      <c r="E20" s="150">
        <v>20</v>
      </c>
      <c r="F20" s="150">
        <v>3.87</v>
      </c>
    </row>
    <row r="21" spans="2:6" x14ac:dyDescent="0.3">
      <c r="B21" s="147" t="s">
        <v>109</v>
      </c>
      <c r="C21" s="150">
        <v>20</v>
      </c>
      <c r="D21" s="150"/>
      <c r="E21" s="150">
        <v>20</v>
      </c>
      <c r="F21" s="150">
        <v>3.87</v>
      </c>
    </row>
    <row r="22" spans="2:6" x14ac:dyDescent="0.3">
      <c r="B22" s="148" t="s">
        <v>113</v>
      </c>
      <c r="C22" s="150">
        <v>5</v>
      </c>
      <c r="D22" s="150"/>
      <c r="E22" s="150">
        <v>5</v>
      </c>
      <c r="F22" s="150">
        <v>0.87</v>
      </c>
    </row>
    <row r="23" spans="2:6" x14ac:dyDescent="0.3">
      <c r="B23" s="149" t="s">
        <v>342</v>
      </c>
      <c r="C23" s="150">
        <v>5</v>
      </c>
      <c r="D23" s="150"/>
      <c r="E23" s="150">
        <v>5</v>
      </c>
      <c r="F23" s="150">
        <v>0.87</v>
      </c>
    </row>
    <row r="24" spans="2:6" x14ac:dyDescent="0.3">
      <c r="B24" s="148" t="s">
        <v>112</v>
      </c>
      <c r="C24" s="150">
        <v>5</v>
      </c>
      <c r="D24" s="150"/>
      <c r="E24" s="150">
        <v>5</v>
      </c>
      <c r="F24" s="150">
        <v>1</v>
      </c>
    </row>
    <row r="25" spans="2:6" x14ac:dyDescent="0.3">
      <c r="B25" s="149" t="s">
        <v>342</v>
      </c>
      <c r="C25" s="150">
        <v>5</v>
      </c>
      <c r="D25" s="150"/>
      <c r="E25" s="150">
        <v>5</v>
      </c>
      <c r="F25" s="150">
        <v>1</v>
      </c>
    </row>
    <row r="26" spans="2:6" x14ac:dyDescent="0.3">
      <c r="B26" s="148" t="s">
        <v>111</v>
      </c>
      <c r="C26" s="150">
        <v>5</v>
      </c>
      <c r="D26" s="150"/>
      <c r="E26" s="150">
        <v>5</v>
      </c>
      <c r="F26" s="150">
        <v>1</v>
      </c>
    </row>
    <row r="27" spans="2:6" x14ac:dyDescent="0.3">
      <c r="B27" s="149" t="s">
        <v>342</v>
      </c>
      <c r="C27" s="150">
        <v>5</v>
      </c>
      <c r="D27" s="150"/>
      <c r="E27" s="150">
        <v>5</v>
      </c>
      <c r="F27" s="150">
        <v>1</v>
      </c>
    </row>
    <row r="28" spans="2:6" x14ac:dyDescent="0.3">
      <c r="B28" s="148" t="s">
        <v>110</v>
      </c>
      <c r="C28" s="150">
        <v>5</v>
      </c>
      <c r="D28" s="150"/>
      <c r="E28" s="150">
        <v>5</v>
      </c>
      <c r="F28" s="150">
        <v>1</v>
      </c>
    </row>
    <row r="29" spans="2:6" x14ac:dyDescent="0.3">
      <c r="B29" s="149" t="s">
        <v>342</v>
      </c>
      <c r="C29" s="150">
        <v>5</v>
      </c>
      <c r="D29" s="150"/>
      <c r="E29" s="150">
        <v>5</v>
      </c>
      <c r="F29" s="150">
        <v>1</v>
      </c>
    </row>
    <row r="30" spans="2:6" x14ac:dyDescent="0.3">
      <c r="B30" s="145" t="s">
        <v>54</v>
      </c>
      <c r="C30" s="150">
        <v>53</v>
      </c>
      <c r="D30" s="150"/>
      <c r="E30" s="150">
        <v>73</v>
      </c>
      <c r="F30" s="150">
        <v>3.9</v>
      </c>
    </row>
    <row r="31" spans="2:6" x14ac:dyDescent="0.3">
      <c r="B31" s="147" t="s">
        <v>56</v>
      </c>
      <c r="C31" s="150">
        <v>53</v>
      </c>
      <c r="D31" s="150"/>
      <c r="E31" s="150">
        <v>73</v>
      </c>
      <c r="F31" s="150">
        <v>3.9</v>
      </c>
    </row>
    <row r="32" spans="2:6" x14ac:dyDescent="0.3">
      <c r="B32" s="148" t="s">
        <v>58</v>
      </c>
      <c r="C32" s="150">
        <v>15</v>
      </c>
      <c r="D32" s="150"/>
      <c r="E32" s="150">
        <v>21</v>
      </c>
      <c r="F32" s="150">
        <v>1</v>
      </c>
    </row>
    <row r="33" spans="2:6" x14ac:dyDescent="0.3">
      <c r="B33" s="149" t="s">
        <v>342</v>
      </c>
      <c r="C33" s="150">
        <v>15</v>
      </c>
      <c r="D33" s="150"/>
      <c r="E33" s="150">
        <v>21</v>
      </c>
      <c r="F33" s="150">
        <v>1</v>
      </c>
    </row>
    <row r="34" spans="2:6" x14ac:dyDescent="0.3">
      <c r="B34" s="148" t="s">
        <v>61</v>
      </c>
      <c r="C34" s="150">
        <v>1</v>
      </c>
      <c r="D34" s="150"/>
      <c r="E34" s="150">
        <v>1</v>
      </c>
      <c r="F34" s="150">
        <v>0</v>
      </c>
    </row>
    <row r="35" spans="2:6" x14ac:dyDescent="0.3">
      <c r="B35" s="149" t="s">
        <v>342</v>
      </c>
      <c r="C35" s="150">
        <v>1</v>
      </c>
      <c r="D35" s="150"/>
      <c r="E35" s="150">
        <v>1</v>
      </c>
      <c r="F35" s="150">
        <v>0</v>
      </c>
    </row>
    <row r="36" spans="2:6" x14ac:dyDescent="0.3">
      <c r="B36" s="148" t="s">
        <v>60</v>
      </c>
      <c r="C36" s="150">
        <v>2</v>
      </c>
      <c r="D36" s="150"/>
      <c r="E36" s="150">
        <v>4</v>
      </c>
      <c r="F36" s="150">
        <v>0.9</v>
      </c>
    </row>
    <row r="37" spans="2:6" x14ac:dyDescent="0.3">
      <c r="B37" s="149" t="s">
        <v>342</v>
      </c>
      <c r="C37" s="150">
        <v>2</v>
      </c>
      <c r="D37" s="150"/>
      <c r="E37" s="150">
        <v>4</v>
      </c>
      <c r="F37" s="150">
        <v>0.9</v>
      </c>
    </row>
    <row r="38" spans="2:6" x14ac:dyDescent="0.3">
      <c r="B38" s="148" t="s">
        <v>63</v>
      </c>
      <c r="C38" s="150">
        <v>17</v>
      </c>
      <c r="D38" s="150"/>
      <c r="E38" s="150">
        <v>23</v>
      </c>
      <c r="F38" s="150">
        <v>1</v>
      </c>
    </row>
    <row r="39" spans="2:6" x14ac:dyDescent="0.3">
      <c r="B39" s="149" t="s">
        <v>342</v>
      </c>
      <c r="C39" s="150">
        <v>17</v>
      </c>
      <c r="D39" s="150"/>
      <c r="E39" s="150">
        <v>23</v>
      </c>
      <c r="F39" s="150">
        <v>1</v>
      </c>
    </row>
    <row r="40" spans="2:6" x14ac:dyDescent="0.3">
      <c r="B40" s="148" t="s">
        <v>62</v>
      </c>
      <c r="C40" s="150">
        <v>17</v>
      </c>
      <c r="D40" s="150"/>
      <c r="E40" s="150">
        <v>23</v>
      </c>
      <c r="F40" s="150">
        <v>1</v>
      </c>
    </row>
    <row r="41" spans="2:6" x14ac:dyDescent="0.3">
      <c r="B41" s="149" t="s">
        <v>342</v>
      </c>
      <c r="C41" s="150">
        <v>17</v>
      </c>
      <c r="D41" s="150"/>
      <c r="E41" s="150">
        <v>23</v>
      </c>
      <c r="F41" s="150">
        <v>1</v>
      </c>
    </row>
    <row r="42" spans="2:6" x14ac:dyDescent="0.3">
      <c r="B42" s="148" t="s">
        <v>64</v>
      </c>
      <c r="C42" s="150">
        <v>1</v>
      </c>
      <c r="D42" s="150"/>
      <c r="E42" s="150">
        <v>1</v>
      </c>
      <c r="F42" s="150">
        <v>0</v>
      </c>
    </row>
    <row r="43" spans="2:6" x14ac:dyDescent="0.3">
      <c r="B43" s="149" t="s">
        <v>342</v>
      </c>
      <c r="C43" s="150">
        <v>1</v>
      </c>
      <c r="D43" s="150"/>
      <c r="E43" s="150">
        <v>1</v>
      </c>
      <c r="F43" s="150">
        <v>0</v>
      </c>
    </row>
    <row r="44" spans="2:6" x14ac:dyDescent="0.3">
      <c r="B44" s="145" t="s">
        <v>65</v>
      </c>
      <c r="C44" s="150">
        <v>38</v>
      </c>
      <c r="D44" s="150"/>
      <c r="E44" s="150">
        <v>50</v>
      </c>
      <c r="F44" s="150">
        <v>8</v>
      </c>
    </row>
    <row r="45" spans="2:6" x14ac:dyDescent="0.3">
      <c r="B45" s="147" t="s">
        <v>67</v>
      </c>
      <c r="C45" s="150">
        <v>38</v>
      </c>
      <c r="D45" s="150"/>
      <c r="E45" s="150">
        <v>50</v>
      </c>
      <c r="F45" s="150">
        <v>8</v>
      </c>
    </row>
    <row r="46" spans="2:6" x14ac:dyDescent="0.3">
      <c r="B46" s="148" t="s">
        <v>70</v>
      </c>
      <c r="C46" s="150">
        <v>6</v>
      </c>
      <c r="D46" s="150"/>
      <c r="E46" s="150">
        <v>8</v>
      </c>
      <c r="F46" s="150">
        <v>1</v>
      </c>
    </row>
    <row r="47" spans="2:6" x14ac:dyDescent="0.3">
      <c r="B47" s="149" t="s">
        <v>342</v>
      </c>
      <c r="C47" s="150">
        <v>6</v>
      </c>
      <c r="D47" s="150"/>
      <c r="E47" s="150">
        <v>8</v>
      </c>
      <c r="F47" s="150">
        <v>1</v>
      </c>
    </row>
    <row r="48" spans="2:6" x14ac:dyDescent="0.3">
      <c r="B48" s="148" t="s">
        <v>73</v>
      </c>
      <c r="C48" s="150">
        <v>6</v>
      </c>
      <c r="D48" s="150"/>
      <c r="E48" s="150">
        <v>8</v>
      </c>
      <c r="F48" s="150">
        <v>1</v>
      </c>
    </row>
    <row r="49" spans="2:6" x14ac:dyDescent="0.3">
      <c r="B49" s="149" t="s">
        <v>342</v>
      </c>
      <c r="C49" s="150">
        <v>6</v>
      </c>
      <c r="D49" s="150"/>
      <c r="E49" s="150">
        <v>8</v>
      </c>
      <c r="F49" s="150">
        <v>1</v>
      </c>
    </row>
    <row r="50" spans="2:6" x14ac:dyDescent="0.3">
      <c r="B50" s="148" t="s">
        <v>72</v>
      </c>
      <c r="C50" s="150">
        <v>6</v>
      </c>
      <c r="D50" s="150"/>
      <c r="E50" s="150">
        <v>8</v>
      </c>
      <c r="F50" s="150">
        <v>1</v>
      </c>
    </row>
    <row r="51" spans="2:6" x14ac:dyDescent="0.3">
      <c r="B51" s="149" t="s">
        <v>342</v>
      </c>
      <c r="C51" s="150">
        <v>6</v>
      </c>
      <c r="D51" s="150"/>
      <c r="E51" s="150">
        <v>8</v>
      </c>
      <c r="F51" s="150">
        <v>1</v>
      </c>
    </row>
    <row r="52" spans="2:6" x14ac:dyDescent="0.3">
      <c r="B52" s="148" t="s">
        <v>75</v>
      </c>
      <c r="C52" s="150">
        <v>6</v>
      </c>
      <c r="D52" s="150"/>
      <c r="E52" s="150">
        <v>8</v>
      </c>
      <c r="F52" s="150">
        <v>1</v>
      </c>
    </row>
    <row r="53" spans="2:6" x14ac:dyDescent="0.3">
      <c r="B53" s="149" t="s">
        <v>342</v>
      </c>
      <c r="C53" s="150">
        <v>6</v>
      </c>
      <c r="D53" s="150"/>
      <c r="E53" s="150">
        <v>8</v>
      </c>
      <c r="F53" s="150">
        <v>1</v>
      </c>
    </row>
    <row r="54" spans="2:6" x14ac:dyDescent="0.3">
      <c r="B54" s="148" t="s">
        <v>74</v>
      </c>
      <c r="C54" s="150">
        <v>6</v>
      </c>
      <c r="D54" s="150"/>
      <c r="E54" s="150">
        <v>8</v>
      </c>
      <c r="F54" s="150">
        <v>1</v>
      </c>
    </row>
    <row r="55" spans="2:6" x14ac:dyDescent="0.3">
      <c r="B55" s="149" t="s">
        <v>342</v>
      </c>
      <c r="C55" s="150">
        <v>6</v>
      </c>
      <c r="D55" s="150"/>
      <c r="E55" s="150">
        <v>8</v>
      </c>
      <c r="F55" s="150">
        <v>1</v>
      </c>
    </row>
    <row r="56" spans="2:6" x14ac:dyDescent="0.3">
      <c r="B56" s="148" t="s">
        <v>69</v>
      </c>
      <c r="C56" s="150">
        <v>1</v>
      </c>
      <c r="D56" s="150"/>
      <c r="E56" s="150">
        <v>1</v>
      </c>
      <c r="F56" s="150">
        <v>1</v>
      </c>
    </row>
    <row r="57" spans="2:6" x14ac:dyDescent="0.3">
      <c r="B57" s="149" t="s">
        <v>342</v>
      </c>
      <c r="C57" s="150">
        <v>1</v>
      </c>
      <c r="D57" s="150"/>
      <c r="E57" s="150">
        <v>1</v>
      </c>
      <c r="F57" s="150">
        <v>1</v>
      </c>
    </row>
    <row r="58" spans="2:6" x14ac:dyDescent="0.3">
      <c r="B58" s="148" t="s">
        <v>71</v>
      </c>
      <c r="C58" s="150">
        <v>6</v>
      </c>
      <c r="D58" s="150"/>
      <c r="E58" s="150">
        <v>8</v>
      </c>
      <c r="F58" s="150">
        <v>1</v>
      </c>
    </row>
    <row r="59" spans="2:6" x14ac:dyDescent="0.3">
      <c r="B59" s="149" t="s">
        <v>342</v>
      </c>
      <c r="C59" s="150">
        <v>6</v>
      </c>
      <c r="D59" s="150"/>
      <c r="E59" s="150">
        <v>8</v>
      </c>
      <c r="F59" s="150">
        <v>1</v>
      </c>
    </row>
    <row r="60" spans="2:6" x14ac:dyDescent="0.3">
      <c r="B60" s="148" t="s">
        <v>68</v>
      </c>
      <c r="C60" s="150">
        <v>1</v>
      </c>
      <c r="D60" s="150"/>
      <c r="E60" s="150">
        <v>1</v>
      </c>
      <c r="F60" s="150">
        <v>1</v>
      </c>
    </row>
    <row r="61" spans="2:6" x14ac:dyDescent="0.3">
      <c r="B61" s="149" t="s">
        <v>342</v>
      </c>
      <c r="C61" s="150">
        <v>1</v>
      </c>
      <c r="D61" s="150"/>
      <c r="E61" s="150">
        <v>1</v>
      </c>
      <c r="F61" s="150">
        <v>1</v>
      </c>
    </row>
    <row r="62" spans="2:6" x14ac:dyDescent="0.3">
      <c r="B62" s="145" t="s">
        <v>137</v>
      </c>
      <c r="C62" s="150">
        <v>39</v>
      </c>
      <c r="D62" s="150"/>
      <c r="E62" s="150">
        <v>43</v>
      </c>
      <c r="F62" s="150">
        <v>7</v>
      </c>
    </row>
    <row r="63" spans="2:6" x14ac:dyDescent="0.3">
      <c r="B63" s="147" t="s">
        <v>139</v>
      </c>
      <c r="C63" s="150">
        <v>39</v>
      </c>
      <c r="D63" s="150"/>
      <c r="E63" s="150">
        <v>43</v>
      </c>
      <c r="F63" s="150">
        <v>7</v>
      </c>
    </row>
    <row r="64" spans="2:6" x14ac:dyDescent="0.3">
      <c r="B64" s="148" t="s">
        <v>144</v>
      </c>
      <c r="C64" s="150">
        <v>5</v>
      </c>
      <c r="D64" s="150"/>
      <c r="E64" s="150">
        <v>5</v>
      </c>
      <c r="F64" s="150">
        <v>1</v>
      </c>
    </row>
    <row r="65" spans="2:6" x14ac:dyDescent="0.3">
      <c r="B65" s="149" t="s">
        <v>342</v>
      </c>
      <c r="C65" s="150">
        <v>5</v>
      </c>
      <c r="D65" s="150"/>
      <c r="E65" s="150">
        <v>5</v>
      </c>
      <c r="F65" s="150">
        <v>1</v>
      </c>
    </row>
    <row r="66" spans="2:6" x14ac:dyDescent="0.3">
      <c r="B66" s="148" t="s">
        <v>143</v>
      </c>
      <c r="C66" s="150">
        <v>5</v>
      </c>
      <c r="D66" s="150"/>
      <c r="E66" s="150">
        <v>5</v>
      </c>
      <c r="F66" s="150">
        <v>1</v>
      </c>
    </row>
    <row r="67" spans="2:6" x14ac:dyDescent="0.3">
      <c r="B67" s="149" t="s">
        <v>342</v>
      </c>
      <c r="C67" s="150">
        <v>5</v>
      </c>
      <c r="D67" s="150"/>
      <c r="E67" s="150">
        <v>5</v>
      </c>
      <c r="F67" s="150">
        <v>1</v>
      </c>
    </row>
    <row r="68" spans="2:6" x14ac:dyDescent="0.3">
      <c r="B68" s="148" t="s">
        <v>146</v>
      </c>
      <c r="C68" s="150">
        <v>12</v>
      </c>
      <c r="D68" s="150"/>
      <c r="E68" s="150">
        <v>16</v>
      </c>
      <c r="F68" s="150">
        <v>1</v>
      </c>
    </row>
    <row r="69" spans="2:6" x14ac:dyDescent="0.3">
      <c r="B69" s="149" t="s">
        <v>342</v>
      </c>
      <c r="C69" s="150">
        <v>12</v>
      </c>
      <c r="D69" s="150"/>
      <c r="E69" s="150">
        <v>16</v>
      </c>
      <c r="F69" s="150">
        <v>1</v>
      </c>
    </row>
    <row r="70" spans="2:6" x14ac:dyDescent="0.3">
      <c r="B70" s="148" t="s">
        <v>142</v>
      </c>
      <c r="C70" s="150">
        <v>5</v>
      </c>
      <c r="D70" s="150"/>
      <c r="E70" s="150">
        <v>5</v>
      </c>
      <c r="F70" s="150">
        <v>1</v>
      </c>
    </row>
    <row r="71" spans="2:6" x14ac:dyDescent="0.3">
      <c r="B71" s="149" t="s">
        <v>342</v>
      </c>
      <c r="C71" s="150">
        <v>5</v>
      </c>
      <c r="D71" s="150"/>
      <c r="E71" s="150">
        <v>5</v>
      </c>
      <c r="F71" s="150">
        <v>1</v>
      </c>
    </row>
    <row r="72" spans="2:6" x14ac:dyDescent="0.3">
      <c r="B72" s="148" t="s">
        <v>140</v>
      </c>
      <c r="C72" s="150">
        <v>5</v>
      </c>
      <c r="D72" s="150"/>
      <c r="E72" s="150">
        <v>5</v>
      </c>
      <c r="F72" s="150">
        <v>1</v>
      </c>
    </row>
    <row r="73" spans="2:6" x14ac:dyDescent="0.3">
      <c r="B73" s="149" t="s">
        <v>342</v>
      </c>
      <c r="C73" s="150">
        <v>5</v>
      </c>
      <c r="D73" s="150"/>
      <c r="E73" s="150">
        <v>5</v>
      </c>
      <c r="F73" s="150">
        <v>1</v>
      </c>
    </row>
    <row r="74" spans="2:6" x14ac:dyDescent="0.3">
      <c r="B74" s="148" t="s">
        <v>141</v>
      </c>
      <c r="C74" s="150">
        <v>5</v>
      </c>
      <c r="D74" s="150"/>
      <c r="E74" s="150">
        <v>5</v>
      </c>
      <c r="F74" s="150">
        <v>1</v>
      </c>
    </row>
    <row r="75" spans="2:6" x14ac:dyDescent="0.3">
      <c r="B75" s="149" t="s">
        <v>342</v>
      </c>
      <c r="C75" s="150">
        <v>5</v>
      </c>
      <c r="D75" s="150"/>
      <c r="E75" s="150">
        <v>5</v>
      </c>
      <c r="F75" s="150">
        <v>1</v>
      </c>
    </row>
    <row r="76" spans="2:6" x14ac:dyDescent="0.3">
      <c r="B76" s="148" t="s">
        <v>145</v>
      </c>
      <c r="C76" s="150">
        <v>2</v>
      </c>
      <c r="D76" s="150"/>
      <c r="E76" s="150">
        <v>2</v>
      </c>
      <c r="F76" s="150">
        <v>1</v>
      </c>
    </row>
    <row r="77" spans="2:6" x14ac:dyDescent="0.3">
      <c r="B77" s="149" t="s">
        <v>342</v>
      </c>
      <c r="C77" s="150">
        <v>2</v>
      </c>
      <c r="D77" s="150"/>
      <c r="E77" s="150">
        <v>2</v>
      </c>
      <c r="F77" s="150">
        <v>1</v>
      </c>
    </row>
    <row r="78" spans="2:6" x14ac:dyDescent="0.3">
      <c r="B78" s="145" t="s">
        <v>114</v>
      </c>
      <c r="C78" s="150">
        <v>10</v>
      </c>
      <c r="D78" s="150"/>
      <c r="E78" s="150">
        <v>10</v>
      </c>
      <c r="F78" s="150">
        <v>6</v>
      </c>
    </row>
    <row r="79" spans="2:6" x14ac:dyDescent="0.3">
      <c r="B79" s="147" t="s">
        <v>115</v>
      </c>
      <c r="C79" s="150">
        <v>10</v>
      </c>
      <c r="D79" s="150"/>
      <c r="E79" s="150">
        <v>10</v>
      </c>
      <c r="F79" s="150">
        <v>6</v>
      </c>
    </row>
    <row r="80" spans="2:6" x14ac:dyDescent="0.3">
      <c r="B80" s="148" t="s">
        <v>121</v>
      </c>
      <c r="C80" s="150">
        <v>2</v>
      </c>
      <c r="D80" s="150"/>
      <c r="E80" s="150">
        <v>2</v>
      </c>
      <c r="F80" s="150">
        <v>1</v>
      </c>
    </row>
    <row r="81" spans="2:6" x14ac:dyDescent="0.3">
      <c r="B81" s="149" t="s">
        <v>342</v>
      </c>
      <c r="C81" s="150">
        <v>2</v>
      </c>
      <c r="D81" s="150"/>
      <c r="E81" s="150">
        <v>2</v>
      </c>
      <c r="F81" s="150">
        <v>1</v>
      </c>
    </row>
    <row r="82" spans="2:6" x14ac:dyDescent="0.3">
      <c r="B82" s="148" t="s">
        <v>120</v>
      </c>
      <c r="C82" s="150">
        <v>2</v>
      </c>
      <c r="D82" s="150"/>
      <c r="E82" s="150">
        <v>2</v>
      </c>
      <c r="F82" s="150">
        <v>1</v>
      </c>
    </row>
    <row r="83" spans="2:6" x14ac:dyDescent="0.3">
      <c r="B83" s="149" t="s">
        <v>342</v>
      </c>
      <c r="C83" s="150">
        <v>2</v>
      </c>
      <c r="D83" s="150"/>
      <c r="E83" s="150">
        <v>2</v>
      </c>
      <c r="F83" s="150">
        <v>1</v>
      </c>
    </row>
    <row r="84" spans="2:6" x14ac:dyDescent="0.3">
      <c r="B84" s="148" t="s">
        <v>119</v>
      </c>
      <c r="C84" s="150">
        <v>2</v>
      </c>
      <c r="D84" s="150"/>
      <c r="E84" s="150">
        <v>2</v>
      </c>
      <c r="F84" s="150">
        <v>1</v>
      </c>
    </row>
    <row r="85" spans="2:6" x14ac:dyDescent="0.3">
      <c r="B85" s="149" t="s">
        <v>342</v>
      </c>
      <c r="C85" s="150">
        <v>2</v>
      </c>
      <c r="D85" s="150"/>
      <c r="E85" s="150">
        <v>2</v>
      </c>
      <c r="F85" s="150">
        <v>1</v>
      </c>
    </row>
    <row r="86" spans="2:6" x14ac:dyDescent="0.3">
      <c r="B86" s="148" t="s">
        <v>118</v>
      </c>
      <c r="C86" s="150">
        <v>1</v>
      </c>
      <c r="D86" s="150"/>
      <c r="E86" s="150">
        <v>1</v>
      </c>
      <c r="F86" s="150">
        <v>1</v>
      </c>
    </row>
    <row r="87" spans="2:6" x14ac:dyDescent="0.3">
      <c r="B87" s="149" t="s">
        <v>342</v>
      </c>
      <c r="C87" s="150">
        <v>1</v>
      </c>
      <c r="D87" s="150"/>
      <c r="E87" s="150">
        <v>1</v>
      </c>
      <c r="F87" s="150">
        <v>1</v>
      </c>
    </row>
    <row r="88" spans="2:6" x14ac:dyDescent="0.3">
      <c r="B88" s="148" t="s">
        <v>117</v>
      </c>
      <c r="C88" s="150">
        <v>2</v>
      </c>
      <c r="D88" s="150"/>
      <c r="E88" s="150">
        <v>2</v>
      </c>
      <c r="F88" s="150">
        <v>1</v>
      </c>
    </row>
    <row r="89" spans="2:6" x14ac:dyDescent="0.3">
      <c r="B89" s="149" t="s">
        <v>342</v>
      </c>
      <c r="C89" s="150">
        <v>2</v>
      </c>
      <c r="D89" s="150"/>
      <c r="E89" s="150">
        <v>2</v>
      </c>
      <c r="F89" s="150">
        <v>1</v>
      </c>
    </row>
    <row r="90" spans="2:6" x14ac:dyDescent="0.3">
      <c r="B90" s="148" t="s">
        <v>116</v>
      </c>
      <c r="C90" s="150">
        <v>1</v>
      </c>
      <c r="D90" s="150"/>
      <c r="E90" s="150">
        <v>1</v>
      </c>
      <c r="F90" s="150">
        <v>1</v>
      </c>
    </row>
    <row r="91" spans="2:6" x14ac:dyDescent="0.3">
      <c r="B91" s="149" t="s">
        <v>342</v>
      </c>
      <c r="C91" s="150">
        <v>1</v>
      </c>
      <c r="D91" s="150"/>
      <c r="E91" s="150">
        <v>1</v>
      </c>
      <c r="F91" s="150">
        <v>1</v>
      </c>
    </row>
    <row r="92" spans="2:6" x14ac:dyDescent="0.3">
      <c r="B92" s="145" t="s">
        <v>147</v>
      </c>
      <c r="C92" s="150">
        <v>4</v>
      </c>
      <c r="D92" s="150"/>
      <c r="E92" s="150">
        <v>4</v>
      </c>
      <c r="F92" s="150">
        <v>2</v>
      </c>
    </row>
    <row r="93" spans="2:6" x14ac:dyDescent="0.3">
      <c r="B93" s="147" t="s">
        <v>149</v>
      </c>
      <c r="C93" s="150">
        <v>4</v>
      </c>
      <c r="D93" s="150"/>
      <c r="E93" s="150">
        <v>4</v>
      </c>
      <c r="F93" s="150">
        <v>2</v>
      </c>
    </row>
    <row r="94" spans="2:6" x14ac:dyDescent="0.3">
      <c r="B94" s="148" t="s">
        <v>151</v>
      </c>
      <c r="C94" s="150">
        <v>2</v>
      </c>
      <c r="D94" s="150"/>
      <c r="E94" s="150">
        <v>2</v>
      </c>
      <c r="F94" s="150">
        <v>1</v>
      </c>
    </row>
    <row r="95" spans="2:6" x14ac:dyDescent="0.3">
      <c r="B95" s="149" t="s">
        <v>342</v>
      </c>
      <c r="C95" s="150">
        <v>2</v>
      </c>
      <c r="D95" s="150"/>
      <c r="E95" s="150">
        <v>2</v>
      </c>
      <c r="F95" s="150">
        <v>1</v>
      </c>
    </row>
    <row r="96" spans="2:6" x14ac:dyDescent="0.3">
      <c r="B96" s="148" t="s">
        <v>150</v>
      </c>
      <c r="C96" s="150">
        <v>2</v>
      </c>
      <c r="D96" s="150"/>
      <c r="E96" s="150">
        <v>2</v>
      </c>
      <c r="F96" s="150">
        <v>1</v>
      </c>
    </row>
    <row r="97" spans="2:6" x14ac:dyDescent="0.3">
      <c r="B97" s="149" t="s">
        <v>342</v>
      </c>
      <c r="C97" s="150">
        <v>2</v>
      </c>
      <c r="D97" s="150"/>
      <c r="E97" s="150">
        <v>2</v>
      </c>
      <c r="F97" s="150">
        <v>1</v>
      </c>
    </row>
    <row r="98" spans="2:6" x14ac:dyDescent="0.3">
      <c r="B98" s="145" t="s">
        <v>122</v>
      </c>
      <c r="C98" s="150">
        <v>80</v>
      </c>
      <c r="D98" s="150"/>
      <c r="E98" s="150">
        <v>80</v>
      </c>
      <c r="F98" s="150">
        <v>16</v>
      </c>
    </row>
    <row r="99" spans="2:6" x14ac:dyDescent="0.3">
      <c r="B99" s="147" t="s">
        <v>123</v>
      </c>
      <c r="C99" s="150">
        <v>80</v>
      </c>
      <c r="D99" s="150"/>
      <c r="E99" s="150">
        <v>80</v>
      </c>
      <c r="F99" s="150">
        <v>16</v>
      </c>
    </row>
    <row r="100" spans="2:6" x14ac:dyDescent="0.3">
      <c r="B100" s="148" t="s">
        <v>125</v>
      </c>
      <c r="C100" s="150">
        <v>5</v>
      </c>
      <c r="D100" s="150"/>
      <c r="E100" s="150">
        <v>5</v>
      </c>
      <c r="F100" s="150">
        <v>1</v>
      </c>
    </row>
    <row r="101" spans="2:6" x14ac:dyDescent="0.3">
      <c r="B101" s="149" t="s">
        <v>342</v>
      </c>
      <c r="C101" s="150">
        <v>5</v>
      </c>
      <c r="D101" s="150"/>
      <c r="E101" s="150">
        <v>5</v>
      </c>
      <c r="F101" s="150">
        <v>1</v>
      </c>
    </row>
    <row r="102" spans="2:6" x14ac:dyDescent="0.3">
      <c r="B102" s="148" t="s">
        <v>130</v>
      </c>
      <c r="C102" s="150">
        <v>5</v>
      </c>
      <c r="D102" s="150"/>
      <c r="E102" s="150">
        <v>5</v>
      </c>
      <c r="F102" s="150">
        <v>1</v>
      </c>
    </row>
    <row r="103" spans="2:6" x14ac:dyDescent="0.3">
      <c r="B103" s="149" t="s">
        <v>342</v>
      </c>
      <c r="C103" s="150">
        <v>5</v>
      </c>
      <c r="D103" s="150"/>
      <c r="E103" s="150">
        <v>5</v>
      </c>
      <c r="F103" s="150">
        <v>1</v>
      </c>
    </row>
    <row r="104" spans="2:6" x14ac:dyDescent="0.3">
      <c r="B104" s="148" t="s">
        <v>120</v>
      </c>
      <c r="C104" s="150">
        <v>5</v>
      </c>
      <c r="D104" s="150"/>
      <c r="E104" s="150">
        <v>5</v>
      </c>
      <c r="F104" s="150">
        <v>1</v>
      </c>
    </row>
    <row r="105" spans="2:6" x14ac:dyDescent="0.3">
      <c r="B105" s="149" t="s">
        <v>342</v>
      </c>
      <c r="C105" s="150">
        <v>5</v>
      </c>
      <c r="D105" s="150"/>
      <c r="E105" s="150">
        <v>5</v>
      </c>
      <c r="F105" s="150">
        <v>1</v>
      </c>
    </row>
    <row r="106" spans="2:6" x14ac:dyDescent="0.3">
      <c r="B106" s="148" t="s">
        <v>132</v>
      </c>
      <c r="C106" s="150">
        <v>5</v>
      </c>
      <c r="D106" s="150"/>
      <c r="E106" s="150">
        <v>5</v>
      </c>
      <c r="F106" s="150">
        <v>1</v>
      </c>
    </row>
    <row r="107" spans="2:6" x14ac:dyDescent="0.3">
      <c r="B107" s="149" t="s">
        <v>342</v>
      </c>
      <c r="C107" s="150">
        <v>5</v>
      </c>
      <c r="D107" s="150"/>
      <c r="E107" s="150">
        <v>5</v>
      </c>
      <c r="F107" s="150">
        <v>1</v>
      </c>
    </row>
    <row r="108" spans="2:6" x14ac:dyDescent="0.3">
      <c r="B108" s="148" t="s">
        <v>133</v>
      </c>
      <c r="C108" s="150">
        <v>5</v>
      </c>
      <c r="D108" s="150"/>
      <c r="E108" s="150">
        <v>5</v>
      </c>
      <c r="F108" s="150">
        <v>1</v>
      </c>
    </row>
    <row r="109" spans="2:6" x14ac:dyDescent="0.3">
      <c r="B109" s="149" t="s">
        <v>342</v>
      </c>
      <c r="C109" s="150">
        <v>5</v>
      </c>
      <c r="D109" s="150"/>
      <c r="E109" s="150">
        <v>5</v>
      </c>
      <c r="F109" s="150">
        <v>1</v>
      </c>
    </row>
    <row r="110" spans="2:6" x14ac:dyDescent="0.3">
      <c r="B110" s="148" t="s">
        <v>135</v>
      </c>
      <c r="C110" s="150">
        <v>5</v>
      </c>
      <c r="D110" s="150"/>
      <c r="E110" s="150">
        <v>5</v>
      </c>
      <c r="F110" s="150">
        <v>1</v>
      </c>
    </row>
    <row r="111" spans="2:6" x14ac:dyDescent="0.3">
      <c r="B111" s="149" t="s">
        <v>342</v>
      </c>
      <c r="C111" s="150">
        <v>5</v>
      </c>
      <c r="D111" s="150"/>
      <c r="E111" s="150">
        <v>5</v>
      </c>
      <c r="F111" s="150">
        <v>1</v>
      </c>
    </row>
    <row r="112" spans="2:6" x14ac:dyDescent="0.3">
      <c r="B112" s="148" t="s">
        <v>136</v>
      </c>
      <c r="C112" s="150">
        <v>5</v>
      </c>
      <c r="D112" s="150"/>
      <c r="E112" s="150">
        <v>5</v>
      </c>
      <c r="F112" s="150">
        <v>1</v>
      </c>
    </row>
    <row r="113" spans="2:6" x14ac:dyDescent="0.3">
      <c r="B113" s="149" t="s">
        <v>342</v>
      </c>
      <c r="C113" s="150">
        <v>5</v>
      </c>
      <c r="D113" s="150"/>
      <c r="E113" s="150">
        <v>5</v>
      </c>
      <c r="F113" s="150">
        <v>1</v>
      </c>
    </row>
    <row r="114" spans="2:6" x14ac:dyDescent="0.3">
      <c r="B114" s="148" t="s">
        <v>134</v>
      </c>
      <c r="C114" s="150">
        <v>5</v>
      </c>
      <c r="D114" s="150"/>
      <c r="E114" s="150">
        <v>5</v>
      </c>
      <c r="F114" s="150">
        <v>1</v>
      </c>
    </row>
    <row r="115" spans="2:6" x14ac:dyDescent="0.3">
      <c r="B115" s="149" t="s">
        <v>342</v>
      </c>
      <c r="C115" s="150">
        <v>5</v>
      </c>
      <c r="D115" s="150"/>
      <c r="E115" s="150">
        <v>5</v>
      </c>
      <c r="F115" s="150">
        <v>1</v>
      </c>
    </row>
    <row r="116" spans="2:6" x14ac:dyDescent="0.3">
      <c r="B116" s="148" t="s">
        <v>131</v>
      </c>
      <c r="C116" s="150">
        <v>5</v>
      </c>
      <c r="D116" s="150"/>
      <c r="E116" s="150">
        <v>5</v>
      </c>
      <c r="F116" s="150">
        <v>1</v>
      </c>
    </row>
    <row r="117" spans="2:6" x14ac:dyDescent="0.3">
      <c r="B117" s="149" t="s">
        <v>342</v>
      </c>
      <c r="C117" s="150">
        <v>5</v>
      </c>
      <c r="D117" s="150"/>
      <c r="E117" s="150">
        <v>5</v>
      </c>
      <c r="F117" s="150">
        <v>1</v>
      </c>
    </row>
    <row r="118" spans="2:6" x14ac:dyDescent="0.3">
      <c r="B118" s="148" t="s">
        <v>124</v>
      </c>
      <c r="C118" s="150">
        <v>5</v>
      </c>
      <c r="D118" s="150"/>
      <c r="E118" s="150">
        <v>5</v>
      </c>
      <c r="F118" s="150">
        <v>1</v>
      </c>
    </row>
    <row r="119" spans="2:6" x14ac:dyDescent="0.3">
      <c r="B119" s="149" t="s">
        <v>342</v>
      </c>
      <c r="C119" s="150">
        <v>5</v>
      </c>
      <c r="D119" s="150"/>
      <c r="E119" s="150">
        <v>5</v>
      </c>
      <c r="F119" s="150">
        <v>1</v>
      </c>
    </row>
    <row r="120" spans="2:6" x14ac:dyDescent="0.3">
      <c r="B120" s="148" t="s">
        <v>129</v>
      </c>
      <c r="C120" s="150">
        <v>5</v>
      </c>
      <c r="D120" s="150"/>
      <c r="E120" s="150">
        <v>5</v>
      </c>
      <c r="F120" s="150">
        <v>1</v>
      </c>
    </row>
    <row r="121" spans="2:6" x14ac:dyDescent="0.3">
      <c r="B121" s="149" t="s">
        <v>342</v>
      </c>
      <c r="C121" s="150">
        <v>5</v>
      </c>
      <c r="D121" s="150"/>
      <c r="E121" s="150">
        <v>5</v>
      </c>
      <c r="F121" s="150">
        <v>1</v>
      </c>
    </row>
    <row r="122" spans="2:6" x14ac:dyDescent="0.3">
      <c r="B122" s="148" t="s">
        <v>119</v>
      </c>
      <c r="C122" s="150">
        <v>5</v>
      </c>
      <c r="D122" s="150"/>
      <c r="E122" s="150">
        <v>5</v>
      </c>
      <c r="F122" s="150">
        <v>1</v>
      </c>
    </row>
    <row r="123" spans="2:6" x14ac:dyDescent="0.3">
      <c r="B123" s="149" t="s">
        <v>342</v>
      </c>
      <c r="C123" s="150">
        <v>5</v>
      </c>
      <c r="D123" s="150"/>
      <c r="E123" s="150">
        <v>5</v>
      </c>
      <c r="F123" s="150">
        <v>1</v>
      </c>
    </row>
    <row r="124" spans="2:6" x14ac:dyDescent="0.3">
      <c r="B124" s="148" t="s">
        <v>118</v>
      </c>
      <c r="C124" s="150">
        <v>5</v>
      </c>
      <c r="D124" s="150"/>
      <c r="E124" s="150">
        <v>5</v>
      </c>
      <c r="F124" s="150">
        <v>1</v>
      </c>
    </row>
    <row r="125" spans="2:6" x14ac:dyDescent="0.3">
      <c r="B125" s="149" t="s">
        <v>342</v>
      </c>
      <c r="C125" s="150">
        <v>5</v>
      </c>
      <c r="D125" s="150"/>
      <c r="E125" s="150">
        <v>5</v>
      </c>
      <c r="F125" s="150">
        <v>1</v>
      </c>
    </row>
    <row r="126" spans="2:6" x14ac:dyDescent="0.3">
      <c r="B126" s="148" t="s">
        <v>126</v>
      </c>
      <c r="C126" s="150">
        <v>5</v>
      </c>
      <c r="D126" s="150"/>
      <c r="E126" s="150">
        <v>5</v>
      </c>
      <c r="F126" s="150">
        <v>1</v>
      </c>
    </row>
    <row r="127" spans="2:6" x14ac:dyDescent="0.3">
      <c r="B127" s="149" t="s">
        <v>342</v>
      </c>
      <c r="C127" s="150">
        <v>5</v>
      </c>
      <c r="D127" s="150"/>
      <c r="E127" s="150">
        <v>5</v>
      </c>
      <c r="F127" s="150">
        <v>1</v>
      </c>
    </row>
    <row r="128" spans="2:6" x14ac:dyDescent="0.3">
      <c r="B128" s="148" t="s">
        <v>127</v>
      </c>
      <c r="C128" s="150">
        <v>5</v>
      </c>
      <c r="D128" s="150"/>
      <c r="E128" s="150">
        <v>5</v>
      </c>
      <c r="F128" s="150">
        <v>1</v>
      </c>
    </row>
    <row r="129" spans="2:6" x14ac:dyDescent="0.3">
      <c r="B129" s="149" t="s">
        <v>342</v>
      </c>
      <c r="C129" s="150">
        <v>5</v>
      </c>
      <c r="D129" s="150"/>
      <c r="E129" s="150">
        <v>5</v>
      </c>
      <c r="F129" s="150">
        <v>1</v>
      </c>
    </row>
    <row r="130" spans="2:6" x14ac:dyDescent="0.3">
      <c r="B130" s="148" t="s">
        <v>128</v>
      </c>
      <c r="C130" s="150">
        <v>5</v>
      </c>
      <c r="D130" s="150"/>
      <c r="E130" s="150">
        <v>5</v>
      </c>
      <c r="F130" s="150">
        <v>1</v>
      </c>
    </row>
    <row r="131" spans="2:6" x14ac:dyDescent="0.3">
      <c r="B131" s="149" t="s">
        <v>342</v>
      </c>
      <c r="C131" s="150">
        <v>5</v>
      </c>
      <c r="D131" s="150"/>
      <c r="E131" s="150">
        <v>5</v>
      </c>
      <c r="F131" s="150">
        <v>1</v>
      </c>
    </row>
    <row r="132" spans="2:6" x14ac:dyDescent="0.3">
      <c r="B132" s="145" t="s">
        <v>85</v>
      </c>
      <c r="C132" s="150">
        <v>96</v>
      </c>
      <c r="D132" s="150"/>
      <c r="E132" s="150">
        <v>144</v>
      </c>
      <c r="F132" s="150">
        <v>12</v>
      </c>
    </row>
    <row r="133" spans="2:6" x14ac:dyDescent="0.3">
      <c r="B133" s="147" t="s">
        <v>87</v>
      </c>
      <c r="C133" s="150">
        <v>96</v>
      </c>
      <c r="D133" s="150"/>
      <c r="E133" s="150">
        <v>144</v>
      </c>
      <c r="F133" s="150">
        <v>12</v>
      </c>
    </row>
    <row r="134" spans="2:6" x14ac:dyDescent="0.3">
      <c r="B134" s="148" t="s">
        <v>94</v>
      </c>
      <c r="C134" s="150">
        <v>8</v>
      </c>
      <c r="D134" s="150"/>
      <c r="E134" s="150">
        <v>12</v>
      </c>
      <c r="F134" s="150">
        <v>1</v>
      </c>
    </row>
    <row r="135" spans="2:6" x14ac:dyDescent="0.3">
      <c r="B135" s="149" t="s">
        <v>342</v>
      </c>
      <c r="C135" s="150">
        <v>8</v>
      </c>
      <c r="D135" s="150"/>
      <c r="E135" s="150">
        <v>12</v>
      </c>
      <c r="F135" s="150">
        <v>1</v>
      </c>
    </row>
    <row r="136" spans="2:6" x14ac:dyDescent="0.3">
      <c r="B136" s="148" t="s">
        <v>75</v>
      </c>
      <c r="C136" s="150">
        <v>8</v>
      </c>
      <c r="D136" s="150"/>
      <c r="E136" s="150">
        <v>12</v>
      </c>
      <c r="F136" s="150">
        <v>1</v>
      </c>
    </row>
    <row r="137" spans="2:6" x14ac:dyDescent="0.3">
      <c r="B137" s="149" t="s">
        <v>342</v>
      </c>
      <c r="C137" s="150">
        <v>8</v>
      </c>
      <c r="D137" s="150"/>
      <c r="E137" s="150">
        <v>12</v>
      </c>
      <c r="F137" s="150">
        <v>1</v>
      </c>
    </row>
    <row r="138" spans="2:6" x14ac:dyDescent="0.3">
      <c r="B138" s="148" t="s">
        <v>88</v>
      </c>
      <c r="C138" s="150">
        <v>8</v>
      </c>
      <c r="D138" s="150"/>
      <c r="E138" s="150">
        <v>12</v>
      </c>
      <c r="F138" s="150">
        <v>1</v>
      </c>
    </row>
    <row r="139" spans="2:6" x14ac:dyDescent="0.3">
      <c r="B139" s="149" t="s">
        <v>342</v>
      </c>
      <c r="C139" s="150">
        <v>8</v>
      </c>
      <c r="D139" s="150"/>
      <c r="E139" s="150">
        <v>12</v>
      </c>
      <c r="F139" s="150">
        <v>1</v>
      </c>
    </row>
    <row r="140" spans="2:6" x14ac:dyDescent="0.3">
      <c r="B140" s="148" t="s">
        <v>90</v>
      </c>
      <c r="C140" s="150">
        <v>8</v>
      </c>
      <c r="D140" s="150"/>
      <c r="E140" s="150">
        <v>12</v>
      </c>
      <c r="F140" s="150">
        <v>1</v>
      </c>
    </row>
    <row r="141" spans="2:6" x14ac:dyDescent="0.3">
      <c r="B141" s="149" t="s">
        <v>342</v>
      </c>
      <c r="C141" s="150">
        <v>8</v>
      </c>
      <c r="D141" s="150"/>
      <c r="E141" s="150">
        <v>12</v>
      </c>
      <c r="F141" s="150">
        <v>1</v>
      </c>
    </row>
    <row r="142" spans="2:6" x14ac:dyDescent="0.3">
      <c r="B142" s="148" t="s">
        <v>92</v>
      </c>
      <c r="C142" s="150">
        <v>8</v>
      </c>
      <c r="D142" s="150"/>
      <c r="E142" s="150">
        <v>12</v>
      </c>
      <c r="F142" s="150">
        <v>1</v>
      </c>
    </row>
    <row r="143" spans="2:6" x14ac:dyDescent="0.3">
      <c r="B143" s="149" t="s">
        <v>342</v>
      </c>
      <c r="C143" s="150">
        <v>8</v>
      </c>
      <c r="D143" s="150"/>
      <c r="E143" s="150">
        <v>12</v>
      </c>
      <c r="F143" s="150">
        <v>1</v>
      </c>
    </row>
    <row r="144" spans="2:6" x14ac:dyDescent="0.3">
      <c r="B144" s="148" t="s">
        <v>95</v>
      </c>
      <c r="C144" s="150">
        <v>8</v>
      </c>
      <c r="D144" s="150"/>
      <c r="E144" s="150">
        <v>12</v>
      </c>
      <c r="F144" s="150">
        <v>1</v>
      </c>
    </row>
    <row r="145" spans="2:6" x14ac:dyDescent="0.3">
      <c r="B145" s="149" t="s">
        <v>342</v>
      </c>
      <c r="C145" s="150">
        <v>8</v>
      </c>
      <c r="D145" s="150"/>
      <c r="E145" s="150">
        <v>12</v>
      </c>
      <c r="F145" s="150">
        <v>1</v>
      </c>
    </row>
    <row r="146" spans="2:6" x14ac:dyDescent="0.3">
      <c r="B146" s="148" t="s">
        <v>91</v>
      </c>
      <c r="C146" s="150">
        <v>8</v>
      </c>
      <c r="D146" s="150"/>
      <c r="E146" s="150">
        <v>12</v>
      </c>
      <c r="F146" s="150">
        <v>1</v>
      </c>
    </row>
    <row r="147" spans="2:6" x14ac:dyDescent="0.3">
      <c r="B147" s="149" t="s">
        <v>342</v>
      </c>
      <c r="C147" s="150">
        <v>8</v>
      </c>
      <c r="D147" s="150"/>
      <c r="E147" s="150">
        <v>12</v>
      </c>
      <c r="F147" s="150">
        <v>1</v>
      </c>
    </row>
    <row r="148" spans="2:6" x14ac:dyDescent="0.3">
      <c r="B148" s="148" t="s">
        <v>69</v>
      </c>
      <c r="C148" s="150">
        <v>8</v>
      </c>
      <c r="D148" s="150"/>
      <c r="E148" s="150">
        <v>12</v>
      </c>
      <c r="F148" s="150">
        <v>1</v>
      </c>
    </row>
    <row r="149" spans="2:6" x14ac:dyDescent="0.3">
      <c r="B149" s="149" t="s">
        <v>342</v>
      </c>
      <c r="C149" s="150">
        <v>8</v>
      </c>
      <c r="D149" s="150"/>
      <c r="E149" s="150">
        <v>12</v>
      </c>
      <c r="F149" s="150">
        <v>1</v>
      </c>
    </row>
    <row r="150" spans="2:6" x14ac:dyDescent="0.3">
      <c r="B150" s="148" t="s">
        <v>89</v>
      </c>
      <c r="C150" s="150">
        <v>8</v>
      </c>
      <c r="D150" s="150"/>
      <c r="E150" s="150">
        <v>12</v>
      </c>
      <c r="F150" s="150">
        <v>1</v>
      </c>
    </row>
    <row r="151" spans="2:6" x14ac:dyDescent="0.3">
      <c r="B151" s="149" t="s">
        <v>342</v>
      </c>
      <c r="C151" s="150">
        <v>8</v>
      </c>
      <c r="D151" s="150"/>
      <c r="E151" s="150">
        <v>12</v>
      </c>
      <c r="F151" s="150">
        <v>1</v>
      </c>
    </row>
    <row r="152" spans="2:6" x14ac:dyDescent="0.3">
      <c r="B152" s="148" t="s">
        <v>67</v>
      </c>
      <c r="C152" s="150">
        <v>8</v>
      </c>
      <c r="D152" s="150"/>
      <c r="E152" s="150">
        <v>12</v>
      </c>
      <c r="F152" s="150">
        <v>1</v>
      </c>
    </row>
    <row r="153" spans="2:6" x14ac:dyDescent="0.3">
      <c r="B153" s="149" t="s">
        <v>342</v>
      </c>
      <c r="C153" s="150">
        <v>8</v>
      </c>
      <c r="D153" s="150"/>
      <c r="E153" s="150">
        <v>12</v>
      </c>
      <c r="F153" s="150">
        <v>1</v>
      </c>
    </row>
    <row r="154" spans="2:6" x14ac:dyDescent="0.3">
      <c r="B154" s="148" t="s">
        <v>68</v>
      </c>
      <c r="C154" s="150">
        <v>8</v>
      </c>
      <c r="D154" s="150"/>
      <c r="E154" s="150">
        <v>12</v>
      </c>
      <c r="F154" s="150">
        <v>1</v>
      </c>
    </row>
    <row r="155" spans="2:6" x14ac:dyDescent="0.3">
      <c r="B155" s="149" t="s">
        <v>342</v>
      </c>
      <c r="C155" s="150">
        <v>8</v>
      </c>
      <c r="D155" s="150"/>
      <c r="E155" s="150">
        <v>12</v>
      </c>
      <c r="F155" s="150">
        <v>1</v>
      </c>
    </row>
    <row r="156" spans="2:6" x14ac:dyDescent="0.3">
      <c r="B156" s="148" t="s">
        <v>93</v>
      </c>
      <c r="C156" s="150">
        <v>8</v>
      </c>
      <c r="D156" s="150"/>
      <c r="E156" s="150">
        <v>12</v>
      </c>
      <c r="F156" s="150">
        <v>1</v>
      </c>
    </row>
    <row r="157" spans="2:6" x14ac:dyDescent="0.3">
      <c r="B157" s="149" t="s">
        <v>342</v>
      </c>
      <c r="C157" s="150">
        <v>8</v>
      </c>
      <c r="D157" s="150"/>
      <c r="E157" s="150">
        <v>12</v>
      </c>
      <c r="F157" s="150">
        <v>1</v>
      </c>
    </row>
    <row r="158" spans="2:6" x14ac:dyDescent="0.3">
      <c r="B158" s="145" t="s">
        <v>76</v>
      </c>
      <c r="C158" s="150">
        <v>1</v>
      </c>
      <c r="D158" s="150"/>
      <c r="E158" s="150">
        <v>4</v>
      </c>
      <c r="F158" s="150">
        <v>4</v>
      </c>
    </row>
    <row r="159" spans="2:6" x14ac:dyDescent="0.3">
      <c r="B159" s="147" t="s">
        <v>77</v>
      </c>
      <c r="C159" s="150">
        <v>1</v>
      </c>
      <c r="D159" s="150"/>
      <c r="E159" s="150">
        <v>4</v>
      </c>
      <c r="F159" s="150">
        <v>4</v>
      </c>
    </row>
    <row r="160" spans="2:6" x14ac:dyDescent="0.3">
      <c r="B160" s="148" t="s">
        <v>78</v>
      </c>
      <c r="C160" s="150">
        <v>0</v>
      </c>
      <c r="D160" s="150"/>
      <c r="E160" s="150">
        <v>1</v>
      </c>
      <c r="F160" s="150">
        <v>1</v>
      </c>
    </row>
    <row r="161" spans="2:6" x14ac:dyDescent="0.3">
      <c r="B161" s="149" t="s">
        <v>342</v>
      </c>
      <c r="C161" s="150">
        <v>0</v>
      </c>
      <c r="D161" s="150"/>
      <c r="E161" s="150">
        <v>1</v>
      </c>
      <c r="F161" s="150">
        <v>1</v>
      </c>
    </row>
    <row r="162" spans="2:6" x14ac:dyDescent="0.3">
      <c r="B162" s="148" t="s">
        <v>79</v>
      </c>
      <c r="C162" s="150">
        <v>0</v>
      </c>
      <c r="D162" s="150"/>
      <c r="E162" s="150">
        <v>1</v>
      </c>
      <c r="F162" s="150">
        <v>1</v>
      </c>
    </row>
    <row r="163" spans="2:6" x14ac:dyDescent="0.3">
      <c r="B163" s="149" t="s">
        <v>342</v>
      </c>
      <c r="C163" s="150">
        <v>0</v>
      </c>
      <c r="D163" s="150"/>
      <c r="E163" s="150">
        <v>1</v>
      </c>
      <c r="F163" s="150">
        <v>1</v>
      </c>
    </row>
    <row r="164" spans="2:6" x14ac:dyDescent="0.3">
      <c r="B164" s="148" t="s">
        <v>80</v>
      </c>
      <c r="C164" s="150">
        <v>1</v>
      </c>
      <c r="D164" s="150"/>
      <c r="E164" s="150">
        <v>1</v>
      </c>
      <c r="F164" s="150">
        <v>1</v>
      </c>
    </row>
    <row r="165" spans="2:6" x14ac:dyDescent="0.3">
      <c r="B165" s="149" t="s">
        <v>342</v>
      </c>
      <c r="C165" s="150">
        <v>1</v>
      </c>
      <c r="D165" s="150"/>
      <c r="E165" s="150">
        <v>1</v>
      </c>
      <c r="F165" s="150">
        <v>1</v>
      </c>
    </row>
    <row r="166" spans="2:6" x14ac:dyDescent="0.3">
      <c r="B166" s="148" t="s">
        <v>76</v>
      </c>
      <c r="C166" s="150">
        <v>0</v>
      </c>
      <c r="D166" s="150"/>
      <c r="E166" s="150">
        <v>1</v>
      </c>
      <c r="F166" s="150">
        <v>1</v>
      </c>
    </row>
    <row r="167" spans="2:6" x14ac:dyDescent="0.3">
      <c r="B167" s="149" t="s">
        <v>342</v>
      </c>
      <c r="C167" s="150">
        <v>0</v>
      </c>
      <c r="D167" s="150"/>
      <c r="E167" s="150">
        <v>1</v>
      </c>
      <c r="F167" s="150">
        <v>1</v>
      </c>
    </row>
    <row r="168" spans="2:6" x14ac:dyDescent="0.3">
      <c r="B168" s="145" t="s">
        <v>81</v>
      </c>
      <c r="C168" s="150">
        <v>2</v>
      </c>
      <c r="D168" s="150"/>
      <c r="E168" s="150">
        <v>2</v>
      </c>
      <c r="F168" s="150">
        <v>2</v>
      </c>
    </row>
    <row r="169" spans="2:6" x14ac:dyDescent="0.3">
      <c r="B169" s="147" t="s">
        <v>67</v>
      </c>
      <c r="C169" s="150">
        <v>2</v>
      </c>
      <c r="D169" s="150"/>
      <c r="E169" s="150">
        <v>2</v>
      </c>
      <c r="F169" s="150">
        <v>2</v>
      </c>
    </row>
    <row r="170" spans="2:6" x14ac:dyDescent="0.3">
      <c r="B170" s="148" t="s">
        <v>84</v>
      </c>
      <c r="C170" s="150">
        <v>1</v>
      </c>
      <c r="D170" s="150"/>
      <c r="E170" s="150">
        <v>1</v>
      </c>
      <c r="F170" s="150">
        <v>1</v>
      </c>
    </row>
    <row r="171" spans="2:6" x14ac:dyDescent="0.3">
      <c r="B171" s="149" t="s">
        <v>342</v>
      </c>
      <c r="C171" s="150">
        <v>1</v>
      </c>
      <c r="D171" s="150"/>
      <c r="E171" s="150">
        <v>1</v>
      </c>
      <c r="F171" s="150">
        <v>1</v>
      </c>
    </row>
    <row r="172" spans="2:6" x14ac:dyDescent="0.3">
      <c r="B172" s="148" t="s">
        <v>68</v>
      </c>
      <c r="C172" s="150">
        <v>1</v>
      </c>
      <c r="D172" s="150"/>
      <c r="E172" s="150">
        <v>1</v>
      </c>
      <c r="F172" s="150">
        <v>1</v>
      </c>
    </row>
    <row r="173" spans="2:6" x14ac:dyDescent="0.3">
      <c r="B173" s="149" t="s">
        <v>342</v>
      </c>
      <c r="C173" s="150">
        <v>1</v>
      </c>
      <c r="D173" s="150"/>
      <c r="E173" s="150">
        <v>1</v>
      </c>
      <c r="F173" s="150">
        <v>1</v>
      </c>
    </row>
    <row r="174" spans="2:6" x14ac:dyDescent="0.3">
      <c r="B174" s="145" t="s">
        <v>339</v>
      </c>
      <c r="C174" s="150">
        <v>378</v>
      </c>
      <c r="D174" s="150"/>
      <c r="E174" s="150">
        <v>465</v>
      </c>
      <c r="F174" s="150">
        <v>71.77000000000001</v>
      </c>
    </row>
    <row r="175" spans="2:6" x14ac:dyDescent="0.3">
      <c r="B175"/>
    </row>
    <row r="176" spans="2:6"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row r="201" spans="2:2" x14ac:dyDescent="0.3">
      <c r="B201"/>
    </row>
    <row r="202" spans="2:2" x14ac:dyDescent="0.3">
      <c r="B202"/>
    </row>
    <row r="203" spans="2:2" x14ac:dyDescent="0.3">
      <c r="B203"/>
    </row>
    <row r="204" spans="2:2" x14ac:dyDescent="0.3">
      <c r="B204"/>
    </row>
    <row r="205" spans="2:2" x14ac:dyDescent="0.3">
      <c r="B205"/>
    </row>
    <row r="206" spans="2:2" x14ac:dyDescent="0.3">
      <c r="B206"/>
    </row>
    <row r="207" spans="2:2" x14ac:dyDescent="0.3">
      <c r="B207"/>
    </row>
    <row r="208" spans="2:2" x14ac:dyDescent="0.3">
      <c r="B208"/>
    </row>
    <row r="209" spans="2:2" x14ac:dyDescent="0.3">
      <c r="B209"/>
    </row>
    <row r="210" spans="2:2" x14ac:dyDescent="0.3">
      <c r="B210"/>
    </row>
    <row r="211" spans="2:2" x14ac:dyDescent="0.3">
      <c r="B211"/>
    </row>
    <row r="212" spans="2:2" x14ac:dyDescent="0.3">
      <c r="B212"/>
    </row>
    <row r="213" spans="2:2" x14ac:dyDescent="0.3">
      <c r="B213"/>
    </row>
    <row r="214" spans="2:2" x14ac:dyDescent="0.3">
      <c r="B214"/>
    </row>
    <row r="215" spans="2:2" x14ac:dyDescent="0.3">
      <c r="B215"/>
    </row>
    <row r="216" spans="2:2" x14ac:dyDescent="0.3">
      <c r="B216"/>
    </row>
    <row r="217" spans="2:2" x14ac:dyDescent="0.3">
      <c r="B217"/>
    </row>
    <row r="218" spans="2:2" x14ac:dyDescent="0.3">
      <c r="B218"/>
    </row>
    <row r="219" spans="2:2" x14ac:dyDescent="0.3">
      <c r="B219"/>
    </row>
    <row r="220" spans="2:2" x14ac:dyDescent="0.3">
      <c r="B220"/>
    </row>
    <row r="221" spans="2:2" x14ac:dyDescent="0.3">
      <c r="B221"/>
    </row>
    <row r="222" spans="2:2" x14ac:dyDescent="0.3">
      <c r="B222"/>
    </row>
    <row r="223" spans="2:2" x14ac:dyDescent="0.3">
      <c r="B223"/>
    </row>
    <row r="224" spans="2:2" x14ac:dyDescent="0.3">
      <c r="B224"/>
    </row>
    <row r="225" spans="2:2" x14ac:dyDescent="0.3">
      <c r="B225"/>
    </row>
    <row r="226" spans="2:2" x14ac:dyDescent="0.3">
      <c r="B226"/>
    </row>
    <row r="227" spans="2:2" x14ac:dyDescent="0.3">
      <c r="B227"/>
    </row>
    <row r="228" spans="2:2" x14ac:dyDescent="0.3">
      <c r="B228"/>
    </row>
    <row r="229" spans="2:2" x14ac:dyDescent="0.3">
      <c r="B229"/>
    </row>
    <row r="230" spans="2:2" x14ac:dyDescent="0.3">
      <c r="B230"/>
    </row>
    <row r="231" spans="2:2" x14ac:dyDescent="0.3">
      <c r="B231"/>
    </row>
    <row r="232" spans="2:2" x14ac:dyDescent="0.3">
      <c r="B232"/>
    </row>
    <row r="233" spans="2:2" x14ac:dyDescent="0.3">
      <c r="B233"/>
    </row>
    <row r="234" spans="2:2" x14ac:dyDescent="0.3">
      <c r="B234"/>
    </row>
    <row r="235" spans="2:2" x14ac:dyDescent="0.3">
      <c r="B235"/>
    </row>
    <row r="236" spans="2:2" x14ac:dyDescent="0.3">
      <c r="B236"/>
    </row>
    <row r="237" spans="2:2" x14ac:dyDescent="0.3">
      <c r="B237"/>
    </row>
    <row r="238" spans="2:2" x14ac:dyDescent="0.3">
      <c r="B238"/>
    </row>
    <row r="239" spans="2:2" x14ac:dyDescent="0.3">
      <c r="B239"/>
    </row>
    <row r="240" spans="2:2" x14ac:dyDescent="0.3">
      <c r="B240"/>
    </row>
    <row r="241" spans="2:2" x14ac:dyDescent="0.3">
      <c r="B241"/>
    </row>
    <row r="242" spans="2:2" x14ac:dyDescent="0.3">
      <c r="B242"/>
    </row>
    <row r="243" spans="2:2" x14ac:dyDescent="0.3">
      <c r="B243"/>
    </row>
    <row r="244" spans="2:2" x14ac:dyDescent="0.3">
      <c r="B244"/>
    </row>
    <row r="245" spans="2:2" x14ac:dyDescent="0.3">
      <c r="B245"/>
    </row>
    <row r="246" spans="2:2" x14ac:dyDescent="0.3">
      <c r="B246"/>
    </row>
    <row r="247" spans="2:2" x14ac:dyDescent="0.3">
      <c r="B247"/>
    </row>
    <row r="248" spans="2:2" x14ac:dyDescent="0.3">
      <c r="B248"/>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72F31-24BC-4C16-AF1F-FB5CAA9DB1AE}">
  <sheetPr codeName="Sheet8">
    <tabColor theme="7" tint="0.79998168889431442"/>
    <pageSetUpPr fitToPage="1"/>
  </sheetPr>
  <dimension ref="A1:BU300"/>
  <sheetViews>
    <sheetView showGridLines="0" tabSelected="1" zoomScale="85" zoomScaleNormal="85" workbookViewId="0">
      <pane xSplit="3" ySplit="12" topLeftCell="D13" activePane="bottomRight" state="frozen"/>
      <selection pane="topRight" activeCell="D1" sqref="D1"/>
      <selection pane="bottomLeft" activeCell="A13" sqref="A13"/>
      <selection pane="bottomRight" activeCell="H17" sqref="H17"/>
    </sheetView>
  </sheetViews>
  <sheetFormatPr defaultColWidth="0" defaultRowHeight="13.2" zeroHeight="1" x14ac:dyDescent="0.25"/>
  <cols>
    <col min="1" max="1" width="0.5546875" style="86" customWidth="1"/>
    <col min="2" max="2" width="7.5546875" style="207" customWidth="1"/>
    <col min="3" max="3" width="29.88671875" style="96" customWidth="1"/>
    <col min="4" max="4" width="16.109375" style="96" customWidth="1"/>
    <col min="5" max="5" width="14.77734375" style="96" bestFit="1" customWidth="1"/>
    <col min="6" max="6" width="24.33203125" style="229" bestFit="1" customWidth="1"/>
    <col min="7" max="7" width="11.6640625" style="220" customWidth="1"/>
    <col min="8" max="8" width="17.33203125" style="223" customWidth="1"/>
    <col min="9" max="9" width="12.77734375" style="96" customWidth="1"/>
    <col min="10" max="10" width="11.33203125" style="220" customWidth="1"/>
    <col min="11" max="11" width="14.77734375" style="107" customWidth="1"/>
    <col min="12" max="12" width="7.21875" style="107" customWidth="1"/>
    <col min="13" max="13" width="12.21875" style="177" customWidth="1"/>
    <col min="14" max="14" width="13.21875" style="178" bestFit="1" customWidth="1"/>
    <col min="15" max="15" width="0.44140625" style="89" customWidth="1"/>
    <col min="16" max="71" width="2.44140625" style="86" customWidth="1"/>
    <col min="72" max="72" width="1.5546875" style="96" customWidth="1"/>
    <col min="73" max="73" width="0" style="86" hidden="1" customWidth="1"/>
    <col min="74" max="16384" width="9.109375" style="86" hidden="1"/>
  </cols>
  <sheetData>
    <row r="1" spans="1:72" ht="27" customHeight="1" x14ac:dyDescent="0.25">
      <c r="B1" s="254" t="s">
        <v>260</v>
      </c>
      <c r="C1" s="254"/>
      <c r="D1" s="257" t="s">
        <v>340</v>
      </c>
      <c r="E1" s="257"/>
      <c r="F1" s="257"/>
      <c r="G1" s="257"/>
      <c r="H1" s="257"/>
      <c r="I1" s="257"/>
      <c r="J1" s="257"/>
      <c r="K1" s="257"/>
      <c r="L1" s="257"/>
      <c r="M1" s="257"/>
      <c r="N1" s="257"/>
      <c r="O1" s="87"/>
      <c r="P1" s="44"/>
      <c r="Q1" s="44"/>
      <c r="R1" s="44"/>
      <c r="S1" s="44"/>
      <c r="T1" s="44"/>
      <c r="U1" s="44"/>
      <c r="V1" s="44"/>
      <c r="W1" s="44"/>
      <c r="X1" s="44"/>
      <c r="Y1" s="44"/>
      <c r="Z1" s="44"/>
      <c r="AA1" s="44"/>
      <c r="AB1" s="44"/>
      <c r="AC1" s="44"/>
      <c r="AD1" s="44"/>
      <c r="AE1" s="44"/>
      <c r="AF1" s="44"/>
      <c r="AG1" s="44"/>
      <c r="AH1" s="44"/>
      <c r="AI1" s="44"/>
      <c r="AJ1" s="44"/>
      <c r="AK1" s="88"/>
      <c r="AL1" s="88"/>
      <c r="AM1" s="88"/>
      <c r="AN1" s="88"/>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row>
    <row r="2" spans="1:72" ht="18.600000000000001" customHeight="1" x14ac:dyDescent="0.25">
      <c r="B2" s="254"/>
      <c r="C2" s="254"/>
      <c r="D2" s="258" t="s">
        <v>341</v>
      </c>
      <c r="E2" s="258"/>
      <c r="F2" s="258"/>
      <c r="G2" s="258"/>
      <c r="H2" s="258"/>
      <c r="I2" s="258"/>
      <c r="J2" s="258"/>
      <c r="K2" s="258"/>
      <c r="L2" s="258"/>
      <c r="M2" s="258"/>
      <c r="N2" s="258"/>
      <c r="P2" s="45"/>
      <c r="Q2" s="45"/>
      <c r="R2" s="45"/>
      <c r="S2" s="45"/>
      <c r="T2" s="45"/>
      <c r="U2" s="45"/>
      <c r="V2" s="45"/>
      <c r="W2" s="45"/>
      <c r="X2" s="45"/>
      <c r="Y2" s="45"/>
      <c r="Z2" s="45"/>
      <c r="AA2" s="45"/>
      <c r="AB2" s="45"/>
      <c r="AC2" s="45"/>
      <c r="AD2" s="45"/>
      <c r="AE2" s="45"/>
      <c r="AF2" s="45"/>
      <c r="AG2" s="45"/>
      <c r="AH2" s="45"/>
      <c r="AI2" s="45"/>
      <c r="AJ2" s="45"/>
      <c r="BS2" s="96"/>
    </row>
    <row r="3" spans="1:72" ht="18" x14ac:dyDescent="0.25">
      <c r="B3" s="203"/>
      <c r="C3" s="86"/>
      <c r="D3" s="91"/>
      <c r="E3" s="91"/>
      <c r="F3" s="224"/>
      <c r="G3" s="213"/>
      <c r="H3" s="92"/>
      <c r="I3" s="91"/>
      <c r="J3" s="213"/>
      <c r="K3" s="93"/>
      <c r="L3" s="93"/>
      <c r="M3" s="91"/>
      <c r="N3" s="94"/>
      <c r="AG3" s="45"/>
      <c r="AH3" s="45"/>
      <c r="AI3" s="45"/>
      <c r="AJ3" s="45"/>
      <c r="BS3" s="96"/>
    </row>
    <row r="4" spans="1:72" ht="16.8" customHeight="1" x14ac:dyDescent="0.3">
      <c r="B4" s="203"/>
      <c r="C4" s="95" t="s">
        <v>242</v>
      </c>
      <c r="D4" s="256">
        <v>44611</v>
      </c>
      <c r="E4" s="256"/>
      <c r="F4" s="256"/>
      <c r="G4" s="256"/>
      <c r="H4" s="256"/>
      <c r="I4" s="256"/>
      <c r="J4" s="213"/>
      <c r="K4" s="93"/>
      <c r="L4" s="93"/>
      <c r="M4" s="91"/>
      <c r="N4" s="94"/>
      <c r="P4" s="46"/>
      <c r="Q4" s="46"/>
      <c r="R4" s="47" t="s">
        <v>246</v>
      </c>
      <c r="S4" s="47"/>
      <c r="T4" s="47"/>
      <c r="U4" s="47"/>
      <c r="V4" s="47"/>
      <c r="W4" s="47"/>
      <c r="X4" s="47"/>
      <c r="Z4" s="48"/>
      <c r="AA4" s="48"/>
      <c r="AB4" s="47" t="s">
        <v>241</v>
      </c>
      <c r="AC4" s="47"/>
      <c r="AD4" s="47"/>
      <c r="AF4" s="57"/>
      <c r="AG4" s="58"/>
      <c r="AH4" s="47" t="s">
        <v>247</v>
      </c>
      <c r="AI4" s="47"/>
      <c r="AJ4" s="47"/>
      <c r="BS4" s="96"/>
    </row>
    <row r="5" spans="1:72" ht="16.8" customHeight="1" x14ac:dyDescent="0.3">
      <c r="B5" s="203"/>
      <c r="C5" s="95" t="s">
        <v>243</v>
      </c>
      <c r="D5" s="255" t="s">
        <v>259</v>
      </c>
      <c r="E5" s="255"/>
      <c r="F5" s="256"/>
      <c r="G5" s="256"/>
      <c r="H5" s="255"/>
      <c r="I5" s="255"/>
      <c r="J5" s="213"/>
      <c r="K5" s="93"/>
      <c r="L5" s="93"/>
      <c r="M5" s="169"/>
      <c r="N5" s="94"/>
      <c r="AI5" s="45"/>
      <c r="AJ5" s="45"/>
      <c r="BS5" s="96"/>
    </row>
    <row r="6" spans="1:72" ht="16.8" customHeight="1" x14ac:dyDescent="0.3">
      <c r="B6" s="203"/>
      <c r="C6" s="95" t="s">
        <v>244</v>
      </c>
      <c r="D6" s="255" t="s">
        <v>258</v>
      </c>
      <c r="E6" s="255"/>
      <c r="F6" s="255"/>
      <c r="G6" s="255"/>
      <c r="H6" s="255"/>
      <c r="I6" s="255"/>
      <c r="J6" s="213"/>
      <c r="K6" s="93"/>
      <c r="L6" s="93"/>
      <c r="M6" s="91"/>
      <c r="N6" s="94"/>
      <c r="P6" s="262" t="s">
        <v>248</v>
      </c>
      <c r="Q6" s="262"/>
      <c r="R6" s="262"/>
      <c r="S6" s="262"/>
      <c r="T6" s="262"/>
      <c r="U6" s="262"/>
      <c r="V6" s="263">
        <v>2</v>
      </c>
      <c r="W6" s="263"/>
      <c r="X6" s="263"/>
      <c r="Y6" s="45"/>
      <c r="Z6" s="45"/>
      <c r="AA6" s="45"/>
      <c r="AB6" s="45"/>
      <c r="AC6" s="45"/>
      <c r="AD6" s="45"/>
      <c r="AE6" s="45"/>
      <c r="AF6" s="45"/>
      <c r="AG6" s="45"/>
      <c r="AH6" s="45"/>
      <c r="AI6" s="45"/>
      <c r="AJ6" s="45"/>
      <c r="BS6" s="96"/>
    </row>
    <row r="7" spans="1:72" ht="16.8" customHeight="1" x14ac:dyDescent="0.3">
      <c r="B7" s="203"/>
      <c r="C7" s="95" t="s">
        <v>245</v>
      </c>
      <c r="D7" s="255" t="s">
        <v>257</v>
      </c>
      <c r="E7" s="255"/>
      <c r="F7" s="255"/>
      <c r="G7" s="255"/>
      <c r="H7" s="255"/>
      <c r="I7" s="255"/>
      <c r="J7" s="213"/>
      <c r="K7" s="93"/>
      <c r="L7" s="93"/>
      <c r="M7" s="91"/>
      <c r="N7" s="94"/>
      <c r="AG7" s="45"/>
      <c r="AH7" s="45"/>
      <c r="AI7" s="45"/>
      <c r="AJ7" s="45"/>
      <c r="BS7" s="96"/>
    </row>
    <row r="8" spans="1:72" ht="12" customHeight="1" x14ac:dyDescent="0.25">
      <c r="B8" s="203"/>
      <c r="C8" s="90"/>
      <c r="D8" s="91"/>
      <c r="E8" s="91"/>
      <c r="F8" s="224"/>
      <c r="G8" s="213"/>
      <c r="H8" s="92"/>
      <c r="I8" s="91"/>
      <c r="J8" s="213"/>
      <c r="K8" s="93"/>
      <c r="L8" s="93"/>
      <c r="M8" s="91"/>
      <c r="N8" s="94"/>
      <c r="P8" s="45"/>
      <c r="Q8" s="45"/>
      <c r="R8" s="45"/>
      <c r="S8" s="45"/>
      <c r="T8" s="45"/>
      <c r="U8" s="45"/>
      <c r="V8" s="45"/>
      <c r="W8" s="45"/>
      <c r="X8" s="45"/>
      <c r="Y8" s="45"/>
      <c r="Z8" s="45"/>
      <c r="AA8" s="45"/>
      <c r="AB8" s="45"/>
      <c r="AC8" s="45"/>
      <c r="AD8" s="45"/>
      <c r="AE8" s="45"/>
      <c r="AF8" s="45"/>
      <c r="AG8" s="45"/>
      <c r="AH8" s="45"/>
      <c r="AI8" s="45"/>
      <c r="AJ8" s="45"/>
      <c r="BS8" s="96"/>
    </row>
    <row r="9" spans="1:72" ht="22.8" customHeight="1" x14ac:dyDescent="0.3">
      <c r="A9" s="96"/>
      <c r="B9" s="204"/>
      <c r="C9" s="86"/>
      <c r="D9" s="86"/>
      <c r="E9" s="86"/>
      <c r="F9" s="225"/>
      <c r="G9" s="214"/>
      <c r="H9" s="97"/>
      <c r="I9" s="86"/>
      <c r="J9" s="239"/>
      <c r="K9" s="98"/>
      <c r="L9" s="98"/>
      <c r="M9" s="99"/>
      <c r="N9" s="100"/>
      <c r="O9" s="101"/>
      <c r="P9" s="261" t="str">
        <f>"Week "&amp;(P11-($D$4-WEEKDAY($D$4,1)+2))/7+1</f>
        <v>Week 2</v>
      </c>
      <c r="Q9" s="261"/>
      <c r="R9" s="261"/>
      <c r="S9" s="261"/>
      <c r="T9" s="261"/>
      <c r="U9" s="261"/>
      <c r="V9" s="261"/>
      <c r="W9" s="261" t="str">
        <f>"Week "&amp;(W11-($D$4-WEEKDAY($D$4,1)+2))/7+1</f>
        <v>Week 3</v>
      </c>
      <c r="X9" s="261"/>
      <c r="Y9" s="261"/>
      <c r="Z9" s="261"/>
      <c r="AA9" s="261"/>
      <c r="AB9" s="261"/>
      <c r="AC9" s="261"/>
      <c r="AD9" s="261" t="str">
        <f>"Week "&amp;(AD11-($D$4-WEEKDAY($D$4,1)+2))/7+1</f>
        <v>Week 4</v>
      </c>
      <c r="AE9" s="261"/>
      <c r="AF9" s="261"/>
      <c r="AG9" s="261"/>
      <c r="AH9" s="261"/>
      <c r="AI9" s="261"/>
      <c r="AJ9" s="261"/>
      <c r="AK9" s="261" t="str">
        <f>"Week "&amp;(AK11-($D$4-WEEKDAY($D$4,1)+2))/7+1</f>
        <v>Week 5</v>
      </c>
      <c r="AL9" s="261"/>
      <c r="AM9" s="261"/>
      <c r="AN9" s="261"/>
      <c r="AO9" s="261"/>
      <c r="AP9" s="261"/>
      <c r="AQ9" s="261"/>
      <c r="AR9" s="261" t="str">
        <f>"Week "&amp;(AR11-($D$4-WEEKDAY($D$4,1)+2))/7+1</f>
        <v>Week 6</v>
      </c>
      <c r="AS9" s="261"/>
      <c r="AT9" s="261"/>
      <c r="AU9" s="261"/>
      <c r="AV9" s="261"/>
      <c r="AW9" s="261"/>
      <c r="AX9" s="261"/>
      <c r="AY9" s="261" t="str">
        <f>"Week "&amp;(AY11-($D$4-WEEKDAY($D$4,1)+2))/7+1</f>
        <v>Week 7</v>
      </c>
      <c r="AZ9" s="261"/>
      <c r="BA9" s="261"/>
      <c r="BB9" s="261"/>
      <c r="BC9" s="261"/>
      <c r="BD9" s="261"/>
      <c r="BE9" s="261"/>
      <c r="BF9" s="261" t="str">
        <f>"Week "&amp;(BF11-($D$4-WEEKDAY($D$4,1)+2))/7+1</f>
        <v>Week 8</v>
      </c>
      <c r="BG9" s="261"/>
      <c r="BH9" s="261"/>
      <c r="BI9" s="261"/>
      <c r="BJ9" s="261"/>
      <c r="BK9" s="261"/>
      <c r="BL9" s="261"/>
      <c r="BM9" s="261" t="str">
        <f>"Week "&amp;(BM11-($D$4-WEEKDAY($D$4,1)+2))/7+1</f>
        <v>Week 9</v>
      </c>
      <c r="BN9" s="261"/>
      <c r="BO9" s="261"/>
      <c r="BP9" s="261"/>
      <c r="BQ9" s="261"/>
      <c r="BR9" s="261"/>
      <c r="BS9" s="264"/>
    </row>
    <row r="10" spans="1:72" ht="19.8" customHeight="1" thickBot="1" x14ac:dyDescent="0.35">
      <c r="A10" s="96"/>
      <c r="B10" s="204"/>
      <c r="C10" s="86"/>
      <c r="D10" s="86"/>
      <c r="E10" s="86"/>
      <c r="F10" s="225"/>
      <c r="G10" s="214"/>
      <c r="H10" s="97"/>
      <c r="I10" s="86"/>
      <c r="J10" s="240"/>
      <c r="K10" s="102"/>
      <c r="L10" s="102"/>
      <c r="M10" s="103"/>
      <c r="N10" s="104"/>
      <c r="O10" s="101"/>
      <c r="P10" s="259">
        <f>P11</f>
        <v>44613</v>
      </c>
      <c r="Q10" s="259"/>
      <c r="R10" s="259"/>
      <c r="S10" s="259"/>
      <c r="T10" s="259"/>
      <c r="U10" s="259"/>
      <c r="V10" s="259"/>
      <c r="W10" s="259">
        <f>W11</f>
        <v>44620</v>
      </c>
      <c r="X10" s="259"/>
      <c r="Y10" s="259"/>
      <c r="Z10" s="259"/>
      <c r="AA10" s="259"/>
      <c r="AB10" s="259"/>
      <c r="AC10" s="259"/>
      <c r="AD10" s="259">
        <f>AD11</f>
        <v>44627</v>
      </c>
      <c r="AE10" s="259"/>
      <c r="AF10" s="259"/>
      <c r="AG10" s="259"/>
      <c r="AH10" s="259"/>
      <c r="AI10" s="259"/>
      <c r="AJ10" s="259"/>
      <c r="AK10" s="259">
        <f>AK11</f>
        <v>44634</v>
      </c>
      <c r="AL10" s="259"/>
      <c r="AM10" s="259"/>
      <c r="AN10" s="259"/>
      <c r="AO10" s="259"/>
      <c r="AP10" s="259"/>
      <c r="AQ10" s="259"/>
      <c r="AR10" s="259">
        <f>AR11</f>
        <v>44641</v>
      </c>
      <c r="AS10" s="259"/>
      <c r="AT10" s="259"/>
      <c r="AU10" s="259"/>
      <c r="AV10" s="259"/>
      <c r="AW10" s="259"/>
      <c r="AX10" s="259"/>
      <c r="AY10" s="259">
        <f>AY11</f>
        <v>44648</v>
      </c>
      <c r="AZ10" s="259"/>
      <c r="BA10" s="259"/>
      <c r="BB10" s="259"/>
      <c r="BC10" s="259"/>
      <c r="BD10" s="259"/>
      <c r="BE10" s="259"/>
      <c r="BF10" s="259">
        <f>BF11</f>
        <v>44655</v>
      </c>
      <c r="BG10" s="259"/>
      <c r="BH10" s="259"/>
      <c r="BI10" s="259"/>
      <c r="BJ10" s="259"/>
      <c r="BK10" s="259"/>
      <c r="BL10" s="259"/>
      <c r="BM10" s="259">
        <f>BM11</f>
        <v>44662</v>
      </c>
      <c r="BN10" s="259"/>
      <c r="BO10" s="259"/>
      <c r="BP10" s="259"/>
      <c r="BQ10" s="259"/>
      <c r="BR10" s="259"/>
      <c r="BS10" s="260"/>
    </row>
    <row r="11" spans="1:72" ht="15" customHeight="1" thickBot="1" x14ac:dyDescent="0.35">
      <c r="A11" s="316"/>
      <c r="B11" s="353" t="s">
        <v>43</v>
      </c>
      <c r="C11" s="317" t="s">
        <v>376</v>
      </c>
      <c r="D11" s="353" t="s">
        <v>45</v>
      </c>
      <c r="E11" s="356" t="s">
        <v>46</v>
      </c>
      <c r="F11" s="358" t="s">
        <v>371</v>
      </c>
      <c r="G11" s="318"/>
      <c r="H11" s="359"/>
      <c r="I11" s="360" t="s">
        <v>16</v>
      </c>
      <c r="J11" s="319"/>
      <c r="K11" s="361"/>
      <c r="L11" s="320" t="s">
        <v>375</v>
      </c>
      <c r="M11" s="320"/>
      <c r="N11" s="321"/>
      <c r="O11" s="101"/>
      <c r="P11" s="49">
        <f>D4-WEEKDAY(D4,1)+2+7*(V6-1)</f>
        <v>44613</v>
      </c>
      <c r="Q11" s="49">
        <f t="shared" ref="Q11:BS11" si="0">P11+1</f>
        <v>44614</v>
      </c>
      <c r="R11" s="49">
        <f t="shared" si="0"/>
        <v>44615</v>
      </c>
      <c r="S11" s="49">
        <f t="shared" si="0"/>
        <v>44616</v>
      </c>
      <c r="T11" s="49">
        <f t="shared" si="0"/>
        <v>44617</v>
      </c>
      <c r="U11" s="49">
        <f t="shared" si="0"/>
        <v>44618</v>
      </c>
      <c r="V11" s="49">
        <f t="shared" si="0"/>
        <v>44619</v>
      </c>
      <c r="W11" s="49">
        <f t="shared" si="0"/>
        <v>44620</v>
      </c>
      <c r="X11" s="49">
        <f t="shared" si="0"/>
        <v>44621</v>
      </c>
      <c r="Y11" s="49">
        <f t="shared" si="0"/>
        <v>44622</v>
      </c>
      <c r="Z11" s="49">
        <f t="shared" si="0"/>
        <v>44623</v>
      </c>
      <c r="AA11" s="49">
        <f t="shared" si="0"/>
        <v>44624</v>
      </c>
      <c r="AB11" s="49">
        <f t="shared" si="0"/>
        <v>44625</v>
      </c>
      <c r="AC11" s="49">
        <f t="shared" si="0"/>
        <v>44626</v>
      </c>
      <c r="AD11" s="49">
        <f t="shared" si="0"/>
        <v>44627</v>
      </c>
      <c r="AE11" s="49">
        <f t="shared" si="0"/>
        <v>44628</v>
      </c>
      <c r="AF11" s="49">
        <f t="shared" si="0"/>
        <v>44629</v>
      </c>
      <c r="AG11" s="49">
        <f t="shared" si="0"/>
        <v>44630</v>
      </c>
      <c r="AH11" s="49">
        <f t="shared" si="0"/>
        <v>44631</v>
      </c>
      <c r="AI11" s="49">
        <f t="shared" si="0"/>
        <v>44632</v>
      </c>
      <c r="AJ11" s="49">
        <f t="shared" si="0"/>
        <v>44633</v>
      </c>
      <c r="AK11" s="49">
        <f t="shared" si="0"/>
        <v>44634</v>
      </c>
      <c r="AL11" s="49">
        <f t="shared" si="0"/>
        <v>44635</v>
      </c>
      <c r="AM11" s="49">
        <f t="shared" si="0"/>
        <v>44636</v>
      </c>
      <c r="AN11" s="49">
        <f t="shared" si="0"/>
        <v>44637</v>
      </c>
      <c r="AO11" s="49">
        <f t="shared" si="0"/>
        <v>44638</v>
      </c>
      <c r="AP11" s="49">
        <f t="shared" si="0"/>
        <v>44639</v>
      </c>
      <c r="AQ11" s="49">
        <f t="shared" si="0"/>
        <v>44640</v>
      </c>
      <c r="AR11" s="49">
        <f t="shared" si="0"/>
        <v>44641</v>
      </c>
      <c r="AS11" s="49">
        <f t="shared" si="0"/>
        <v>44642</v>
      </c>
      <c r="AT11" s="49">
        <f t="shared" si="0"/>
        <v>44643</v>
      </c>
      <c r="AU11" s="49">
        <f t="shared" si="0"/>
        <v>44644</v>
      </c>
      <c r="AV11" s="49">
        <f t="shared" si="0"/>
        <v>44645</v>
      </c>
      <c r="AW11" s="49">
        <f t="shared" si="0"/>
        <v>44646</v>
      </c>
      <c r="AX11" s="49">
        <f t="shared" si="0"/>
        <v>44647</v>
      </c>
      <c r="AY11" s="49">
        <f t="shared" si="0"/>
        <v>44648</v>
      </c>
      <c r="AZ11" s="49">
        <f t="shared" si="0"/>
        <v>44649</v>
      </c>
      <c r="BA11" s="49">
        <f t="shared" si="0"/>
        <v>44650</v>
      </c>
      <c r="BB11" s="49">
        <f t="shared" si="0"/>
        <v>44651</v>
      </c>
      <c r="BC11" s="49">
        <f t="shared" si="0"/>
        <v>44652</v>
      </c>
      <c r="BD11" s="49">
        <f t="shared" si="0"/>
        <v>44653</v>
      </c>
      <c r="BE11" s="49">
        <f t="shared" si="0"/>
        <v>44654</v>
      </c>
      <c r="BF11" s="49">
        <f t="shared" si="0"/>
        <v>44655</v>
      </c>
      <c r="BG11" s="49">
        <f t="shared" si="0"/>
        <v>44656</v>
      </c>
      <c r="BH11" s="49">
        <f t="shared" si="0"/>
        <v>44657</v>
      </c>
      <c r="BI11" s="49">
        <f t="shared" si="0"/>
        <v>44658</v>
      </c>
      <c r="BJ11" s="49">
        <f t="shared" si="0"/>
        <v>44659</v>
      </c>
      <c r="BK11" s="49">
        <f t="shared" si="0"/>
        <v>44660</v>
      </c>
      <c r="BL11" s="49">
        <f t="shared" si="0"/>
        <v>44661</v>
      </c>
      <c r="BM11" s="49">
        <f t="shared" si="0"/>
        <v>44662</v>
      </c>
      <c r="BN11" s="49">
        <f t="shared" si="0"/>
        <v>44663</v>
      </c>
      <c r="BO11" s="49">
        <f t="shared" si="0"/>
        <v>44664</v>
      </c>
      <c r="BP11" s="49">
        <f t="shared" si="0"/>
        <v>44665</v>
      </c>
      <c r="BQ11" s="49">
        <f t="shared" si="0"/>
        <v>44666</v>
      </c>
      <c r="BR11" s="49">
        <f t="shared" si="0"/>
        <v>44667</v>
      </c>
      <c r="BS11" s="236">
        <f t="shared" si="0"/>
        <v>44668</v>
      </c>
    </row>
    <row r="12" spans="1:72" s="235" customFormat="1" ht="22.2" customHeight="1" thickBot="1" x14ac:dyDescent="0.35">
      <c r="A12" s="322"/>
      <c r="B12" s="354"/>
      <c r="C12" s="323"/>
      <c r="D12" s="354"/>
      <c r="E12" s="357"/>
      <c r="F12" s="355" t="s">
        <v>373</v>
      </c>
      <c r="G12" s="324" t="s">
        <v>372</v>
      </c>
      <c r="H12" s="325" t="s">
        <v>374</v>
      </c>
      <c r="I12" s="326" t="s">
        <v>373</v>
      </c>
      <c r="J12" s="327" t="s">
        <v>372</v>
      </c>
      <c r="K12" s="328" t="s">
        <v>374</v>
      </c>
      <c r="L12" s="329" t="s">
        <v>51</v>
      </c>
      <c r="M12" s="330" t="s">
        <v>6</v>
      </c>
      <c r="N12" s="331" t="s">
        <v>50</v>
      </c>
      <c r="O12" s="105"/>
      <c r="P12" s="54" t="str">
        <f t="shared" ref="P12:BS12" si="1">CHOOSE(WEEKDAY(P11,1),"S","M","T","W","T","F","S")</f>
        <v>M</v>
      </c>
      <c r="Q12" s="54" t="str">
        <f t="shared" si="1"/>
        <v>T</v>
      </c>
      <c r="R12" s="54" t="str">
        <f t="shared" si="1"/>
        <v>W</v>
      </c>
      <c r="S12" s="54" t="str">
        <f t="shared" si="1"/>
        <v>T</v>
      </c>
      <c r="T12" s="54" t="str">
        <f t="shared" si="1"/>
        <v>F</v>
      </c>
      <c r="U12" s="54" t="str">
        <f t="shared" si="1"/>
        <v>S</v>
      </c>
      <c r="V12" s="54" t="str">
        <f t="shared" si="1"/>
        <v>S</v>
      </c>
      <c r="W12" s="54" t="str">
        <f t="shared" si="1"/>
        <v>M</v>
      </c>
      <c r="X12" s="54" t="str">
        <f t="shared" si="1"/>
        <v>T</v>
      </c>
      <c r="Y12" s="54" t="str">
        <f t="shared" si="1"/>
        <v>W</v>
      </c>
      <c r="Z12" s="54" t="str">
        <f t="shared" si="1"/>
        <v>T</v>
      </c>
      <c r="AA12" s="54" t="str">
        <f t="shared" si="1"/>
        <v>F</v>
      </c>
      <c r="AB12" s="54" t="str">
        <f t="shared" si="1"/>
        <v>S</v>
      </c>
      <c r="AC12" s="54" t="str">
        <f t="shared" si="1"/>
        <v>S</v>
      </c>
      <c r="AD12" s="54" t="str">
        <f t="shared" si="1"/>
        <v>M</v>
      </c>
      <c r="AE12" s="54" t="str">
        <f t="shared" si="1"/>
        <v>T</v>
      </c>
      <c r="AF12" s="54" t="str">
        <f t="shared" si="1"/>
        <v>W</v>
      </c>
      <c r="AG12" s="54" t="str">
        <f t="shared" si="1"/>
        <v>T</v>
      </c>
      <c r="AH12" s="54" t="str">
        <f t="shared" si="1"/>
        <v>F</v>
      </c>
      <c r="AI12" s="54" t="str">
        <f t="shared" si="1"/>
        <v>S</v>
      </c>
      <c r="AJ12" s="54" t="str">
        <f t="shared" si="1"/>
        <v>S</v>
      </c>
      <c r="AK12" s="54" t="str">
        <f t="shared" si="1"/>
        <v>M</v>
      </c>
      <c r="AL12" s="54" t="str">
        <f t="shared" si="1"/>
        <v>T</v>
      </c>
      <c r="AM12" s="54" t="str">
        <f t="shared" si="1"/>
        <v>W</v>
      </c>
      <c r="AN12" s="54" t="str">
        <f t="shared" si="1"/>
        <v>T</v>
      </c>
      <c r="AO12" s="54" t="str">
        <f t="shared" si="1"/>
        <v>F</v>
      </c>
      <c r="AP12" s="54" t="str">
        <f t="shared" si="1"/>
        <v>S</v>
      </c>
      <c r="AQ12" s="54" t="str">
        <f t="shared" si="1"/>
        <v>S</v>
      </c>
      <c r="AR12" s="54" t="str">
        <f t="shared" si="1"/>
        <v>M</v>
      </c>
      <c r="AS12" s="54" t="str">
        <f t="shared" si="1"/>
        <v>T</v>
      </c>
      <c r="AT12" s="54" t="str">
        <f t="shared" si="1"/>
        <v>W</v>
      </c>
      <c r="AU12" s="54" t="str">
        <f t="shared" si="1"/>
        <v>T</v>
      </c>
      <c r="AV12" s="54" t="str">
        <f t="shared" si="1"/>
        <v>F</v>
      </c>
      <c r="AW12" s="54" t="str">
        <f t="shared" si="1"/>
        <v>S</v>
      </c>
      <c r="AX12" s="54" t="str">
        <f t="shared" si="1"/>
        <v>S</v>
      </c>
      <c r="AY12" s="54" t="str">
        <f t="shared" si="1"/>
        <v>M</v>
      </c>
      <c r="AZ12" s="54" t="str">
        <f t="shared" si="1"/>
        <v>T</v>
      </c>
      <c r="BA12" s="54" t="str">
        <f t="shared" si="1"/>
        <v>W</v>
      </c>
      <c r="BB12" s="54" t="str">
        <f t="shared" si="1"/>
        <v>T</v>
      </c>
      <c r="BC12" s="54" t="str">
        <f t="shared" si="1"/>
        <v>F</v>
      </c>
      <c r="BD12" s="54" t="str">
        <f t="shared" si="1"/>
        <v>S</v>
      </c>
      <c r="BE12" s="54" t="str">
        <f t="shared" si="1"/>
        <v>S</v>
      </c>
      <c r="BF12" s="54" t="str">
        <f t="shared" si="1"/>
        <v>M</v>
      </c>
      <c r="BG12" s="54" t="str">
        <f t="shared" si="1"/>
        <v>T</v>
      </c>
      <c r="BH12" s="54" t="str">
        <f t="shared" si="1"/>
        <v>W</v>
      </c>
      <c r="BI12" s="54" t="str">
        <f t="shared" si="1"/>
        <v>T</v>
      </c>
      <c r="BJ12" s="54" t="str">
        <f t="shared" si="1"/>
        <v>F</v>
      </c>
      <c r="BK12" s="54" t="str">
        <f t="shared" si="1"/>
        <v>S</v>
      </c>
      <c r="BL12" s="54" t="str">
        <f t="shared" si="1"/>
        <v>S</v>
      </c>
      <c r="BM12" s="54" t="str">
        <f t="shared" si="1"/>
        <v>M</v>
      </c>
      <c r="BN12" s="54" t="str">
        <f t="shared" si="1"/>
        <v>T</v>
      </c>
      <c r="BO12" s="54" t="str">
        <f t="shared" si="1"/>
        <v>W</v>
      </c>
      <c r="BP12" s="54" t="str">
        <f t="shared" si="1"/>
        <v>T</v>
      </c>
      <c r="BQ12" s="54" t="str">
        <f t="shared" si="1"/>
        <v>F</v>
      </c>
      <c r="BR12" s="54" t="str">
        <f t="shared" si="1"/>
        <v>S</v>
      </c>
      <c r="BS12" s="237" t="str">
        <f t="shared" si="1"/>
        <v>S</v>
      </c>
      <c r="BT12" s="238"/>
    </row>
    <row r="13" spans="1:72" x14ac:dyDescent="0.25">
      <c r="B13" s="306">
        <v>1</v>
      </c>
      <c r="C13" s="307" t="s">
        <v>370</v>
      </c>
      <c r="D13" s="308"/>
      <c r="E13" s="309"/>
      <c r="F13" s="310">
        <v>44611</v>
      </c>
      <c r="G13" s="311">
        <v>8</v>
      </c>
      <c r="H13" s="310">
        <f>F13+G13</f>
        <v>44619</v>
      </c>
      <c r="I13" s="312">
        <v>44611</v>
      </c>
      <c r="J13" s="311">
        <v>6</v>
      </c>
      <c r="K13" s="313">
        <f>I13+J13</f>
        <v>44617</v>
      </c>
      <c r="L13" s="313"/>
      <c r="M13" s="314" t="s">
        <v>11</v>
      </c>
      <c r="N13" s="315">
        <v>0.2</v>
      </c>
      <c r="O13" s="106"/>
      <c r="P13" s="130"/>
      <c r="Q13" s="55"/>
      <c r="R13" s="332"/>
      <c r="S13" s="332"/>
      <c r="T13" s="332"/>
      <c r="U13" s="332"/>
      <c r="V13" s="332"/>
      <c r="W13" s="332"/>
      <c r="X13" s="332"/>
      <c r="Y13" s="332"/>
      <c r="Z13" s="332"/>
      <c r="AA13" s="332"/>
      <c r="AB13" s="332"/>
      <c r="AC13" s="332"/>
      <c r="AD13" s="332"/>
      <c r="AE13" s="332"/>
      <c r="AF13" s="332"/>
      <c r="AG13" s="332"/>
      <c r="AH13" s="332"/>
      <c r="AI13" s="332"/>
      <c r="AJ13" s="332"/>
      <c r="AK13" s="332"/>
      <c r="AL13" s="332"/>
      <c r="AM13" s="332"/>
      <c r="AN13" s="332"/>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row>
    <row r="14" spans="1:72" x14ac:dyDescent="0.25">
      <c r="B14" s="242">
        <v>1.1000000000000001</v>
      </c>
      <c r="C14" s="243"/>
      <c r="D14" s="244"/>
      <c r="E14" s="245"/>
      <c r="F14" s="246"/>
      <c r="G14" s="247"/>
      <c r="H14" s="248"/>
      <c r="I14" s="249"/>
      <c r="J14" s="250">
        <v>4</v>
      </c>
      <c r="K14" s="251"/>
      <c r="L14" s="251"/>
      <c r="M14" s="252"/>
      <c r="N14" s="253"/>
      <c r="O14" s="208"/>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row>
    <row r="15" spans="1:72" x14ac:dyDescent="0.25">
      <c r="B15" s="242" t="s">
        <v>379</v>
      </c>
      <c r="C15" s="243"/>
      <c r="D15" s="244"/>
      <c r="E15" s="245"/>
      <c r="F15" s="246"/>
      <c r="G15" s="247"/>
      <c r="H15" s="248"/>
      <c r="I15" s="249"/>
      <c r="J15" s="250"/>
      <c r="K15" s="251"/>
      <c r="L15" s="251"/>
      <c r="M15" s="252"/>
      <c r="N15" s="253"/>
      <c r="O15" s="208"/>
      <c r="P15" s="241"/>
      <c r="Q15" s="241"/>
      <c r="R15" s="241"/>
      <c r="S15" s="241"/>
      <c r="T15" s="241"/>
      <c r="U15" s="241"/>
      <c r="V15" s="241"/>
      <c r="W15" s="241"/>
      <c r="X15" s="241"/>
      <c r="Y15" s="241"/>
      <c r="Z15" s="241"/>
      <c r="AA15" s="241"/>
      <c r="AB15" s="241"/>
      <c r="AC15" s="241"/>
      <c r="AD15" s="241"/>
      <c r="AE15" s="241"/>
      <c r="AF15" s="241"/>
      <c r="AG15" s="241"/>
      <c r="AH15" s="241"/>
      <c r="AI15" s="241"/>
      <c r="AJ15" s="241"/>
      <c r="AK15" s="241"/>
      <c r="AL15" s="241"/>
      <c r="AM15" s="241"/>
      <c r="AN15" s="241"/>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6"/>
      <c r="BM15" s="56"/>
      <c r="BN15" s="56"/>
      <c r="BO15" s="56"/>
      <c r="BP15" s="56"/>
      <c r="BQ15" s="56"/>
      <c r="BR15" s="56"/>
      <c r="BS15" s="56"/>
    </row>
    <row r="16" spans="1:72" s="96" customFormat="1" x14ac:dyDescent="0.25">
      <c r="A16" s="86"/>
      <c r="B16" s="242">
        <v>1.2</v>
      </c>
      <c r="C16" s="243"/>
      <c r="D16" s="244"/>
      <c r="E16" s="245"/>
      <c r="F16" s="246"/>
      <c r="G16" s="247"/>
      <c r="H16" s="248"/>
      <c r="I16" s="249"/>
      <c r="J16" s="250"/>
      <c r="K16" s="251"/>
      <c r="L16" s="251"/>
      <c r="M16" s="252"/>
      <c r="N16" s="253"/>
      <c r="O16" s="208"/>
      <c r="P16" s="241"/>
      <c r="Q16" s="241"/>
      <c r="R16" s="241"/>
      <c r="S16" s="241"/>
      <c r="T16" s="241"/>
      <c r="U16" s="241"/>
      <c r="V16" s="241"/>
      <c r="W16" s="241"/>
      <c r="X16" s="241"/>
      <c r="Y16" s="241"/>
      <c r="Z16" s="241"/>
      <c r="AA16" s="241"/>
      <c r="AB16" s="241"/>
      <c r="AC16" s="241"/>
      <c r="AD16" s="241"/>
      <c r="AE16" s="241"/>
      <c r="AF16" s="241"/>
      <c r="AG16" s="241"/>
      <c r="AH16" s="241"/>
      <c r="AI16" s="241"/>
      <c r="AJ16" s="241"/>
      <c r="AK16" s="241"/>
      <c r="AL16" s="241"/>
      <c r="AM16" s="241"/>
      <c r="AN16" s="241"/>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6"/>
      <c r="BM16" s="56"/>
      <c r="BN16" s="56"/>
      <c r="BO16" s="56"/>
      <c r="BP16" s="56"/>
      <c r="BQ16" s="56"/>
      <c r="BR16" s="56"/>
      <c r="BS16" s="56"/>
    </row>
    <row r="17" spans="1:71" s="96" customFormat="1" x14ac:dyDescent="0.25">
      <c r="A17" s="86"/>
      <c r="B17" s="201">
        <v>1.1000000000000001</v>
      </c>
      <c r="C17" s="179"/>
      <c r="D17" s="180"/>
      <c r="E17" s="181"/>
      <c r="F17" s="221"/>
      <c r="G17" s="215"/>
      <c r="H17" s="230"/>
      <c r="I17" s="183"/>
      <c r="J17" s="215"/>
      <c r="K17" s="182"/>
      <c r="L17" s="182"/>
      <c r="M17" s="184"/>
      <c r="N17" s="199"/>
      <c r="O17" s="208"/>
      <c r="P17" s="241"/>
      <c r="Q17" s="241"/>
      <c r="R17" s="241"/>
      <c r="S17" s="241"/>
      <c r="T17" s="241"/>
      <c r="U17" s="241"/>
      <c r="V17" s="241"/>
      <c r="W17" s="241"/>
      <c r="X17" s="241"/>
      <c r="Y17" s="241"/>
      <c r="Z17" s="241"/>
      <c r="AA17" s="241"/>
      <c r="AB17" s="241"/>
      <c r="AC17" s="241"/>
      <c r="AD17" s="241"/>
      <c r="AE17" s="241"/>
      <c r="AF17" s="241"/>
      <c r="AG17" s="241"/>
      <c r="AH17" s="241"/>
      <c r="AI17" s="241"/>
      <c r="AJ17" s="241"/>
      <c r="AK17" s="241"/>
      <c r="AL17" s="241"/>
      <c r="AM17" s="241"/>
      <c r="AN17" s="241"/>
      <c r="AO17" s="56"/>
      <c r="AP17" s="56"/>
      <c r="AQ17" s="56"/>
      <c r="AR17" s="56"/>
      <c r="AS17" s="56"/>
      <c r="AT17" s="56"/>
      <c r="AU17" s="56"/>
      <c r="AV17" s="56"/>
      <c r="AW17" s="56"/>
      <c r="AX17" s="56"/>
      <c r="AY17" s="56"/>
      <c r="AZ17" s="56"/>
      <c r="BA17" s="56"/>
      <c r="BB17" s="56"/>
      <c r="BC17" s="56"/>
      <c r="BD17" s="56"/>
      <c r="BE17" s="56"/>
      <c r="BF17" s="56"/>
      <c r="BG17" s="56"/>
      <c r="BH17" s="56"/>
      <c r="BI17" s="56"/>
      <c r="BJ17" s="56"/>
      <c r="BK17" s="56"/>
      <c r="BL17" s="56"/>
      <c r="BM17" s="56"/>
      <c r="BN17" s="56"/>
      <c r="BO17" s="56"/>
      <c r="BP17" s="56"/>
      <c r="BQ17" s="56"/>
      <c r="BR17" s="56"/>
      <c r="BS17" s="56"/>
    </row>
    <row r="18" spans="1:71" s="96" customFormat="1" x14ac:dyDescent="0.25">
      <c r="A18" s="86"/>
      <c r="B18" s="201">
        <v>2</v>
      </c>
      <c r="C18" s="185"/>
      <c r="D18" s="180"/>
      <c r="E18" s="181"/>
      <c r="F18" s="221"/>
      <c r="G18" s="215"/>
      <c r="H18" s="230"/>
      <c r="I18" s="183"/>
      <c r="J18" s="215"/>
      <c r="K18" s="182"/>
      <c r="L18" s="182"/>
      <c r="M18" s="184"/>
      <c r="N18" s="199"/>
      <c r="O18" s="208"/>
      <c r="P18" s="241"/>
      <c r="Q18" s="241"/>
      <c r="R18" s="241"/>
      <c r="S18" s="241"/>
      <c r="T18" s="241"/>
      <c r="U18" s="241"/>
      <c r="V18" s="241"/>
      <c r="W18" s="241"/>
      <c r="X18" s="241"/>
      <c r="Y18" s="241"/>
      <c r="Z18" s="241"/>
      <c r="AA18" s="241"/>
      <c r="AB18" s="241"/>
      <c r="AC18" s="241"/>
      <c r="AD18" s="241"/>
      <c r="AE18" s="241"/>
      <c r="AF18" s="241"/>
      <c r="AG18" s="241"/>
      <c r="AH18" s="241"/>
      <c r="AI18" s="241"/>
      <c r="AJ18" s="241"/>
      <c r="AK18" s="241"/>
      <c r="AL18" s="241"/>
      <c r="AM18" s="241"/>
      <c r="AN18" s="241"/>
      <c r="AO18" s="56"/>
      <c r="AP18" s="56"/>
      <c r="AQ18" s="56"/>
      <c r="AR18" s="56"/>
      <c r="AS18" s="56"/>
      <c r="AT18" s="56"/>
      <c r="AU18" s="56"/>
      <c r="AV18" s="56"/>
      <c r="AW18" s="56"/>
      <c r="AX18" s="56"/>
      <c r="AY18" s="56"/>
      <c r="AZ18" s="56"/>
      <c r="BA18" s="56"/>
      <c r="BB18" s="56"/>
      <c r="BC18" s="56"/>
      <c r="BD18" s="56"/>
      <c r="BE18" s="56"/>
      <c r="BF18" s="56"/>
      <c r="BG18" s="56"/>
      <c r="BH18" s="56"/>
      <c r="BI18" s="56"/>
      <c r="BJ18" s="56"/>
      <c r="BK18" s="56"/>
      <c r="BL18" s="56"/>
      <c r="BM18" s="56"/>
      <c r="BN18" s="56"/>
      <c r="BO18" s="56"/>
      <c r="BP18" s="56"/>
      <c r="BQ18" s="56"/>
      <c r="BR18" s="56"/>
      <c r="BS18" s="56"/>
    </row>
    <row r="19" spans="1:71" s="96" customFormat="1" x14ac:dyDescent="0.25">
      <c r="A19" s="86"/>
      <c r="B19" s="201"/>
      <c r="C19" s="185"/>
      <c r="D19" s="180"/>
      <c r="E19" s="181"/>
      <c r="F19" s="221"/>
      <c r="G19" s="215"/>
      <c r="H19" s="230"/>
      <c r="I19" s="183"/>
      <c r="J19" s="215"/>
      <c r="K19" s="182"/>
      <c r="L19" s="182"/>
      <c r="M19" s="184"/>
      <c r="N19" s="199"/>
      <c r="O19" s="208"/>
      <c r="P19" s="241"/>
      <c r="Q19" s="241"/>
      <c r="R19" s="241"/>
      <c r="S19" s="241"/>
      <c r="T19" s="241"/>
      <c r="U19" s="241"/>
      <c r="V19" s="241"/>
      <c r="W19" s="241"/>
      <c r="X19" s="241"/>
      <c r="Y19" s="241"/>
      <c r="Z19" s="241"/>
      <c r="AA19" s="56"/>
      <c r="AB19" s="56"/>
      <c r="AC19" s="56"/>
      <c r="AD19" s="56"/>
      <c r="AE19" s="56"/>
      <c r="AF19" s="56"/>
      <c r="AG19" s="56"/>
      <c r="AH19" s="56"/>
      <c r="AI19" s="56"/>
      <c r="AJ19" s="56"/>
      <c r="AK19" s="56"/>
      <c r="AL19" s="56"/>
      <c r="AM19" s="56"/>
      <c r="AN19" s="56"/>
      <c r="AO19" s="56"/>
      <c r="AP19" s="56"/>
      <c r="AQ19" s="56"/>
      <c r="AR19" s="56"/>
      <c r="AS19" s="56"/>
      <c r="AT19" s="56"/>
      <c r="AU19" s="56"/>
      <c r="AV19" s="56"/>
      <c r="AW19" s="56"/>
      <c r="AX19" s="56"/>
      <c r="AY19" s="56"/>
      <c r="AZ19" s="56"/>
      <c r="BA19" s="56"/>
      <c r="BB19" s="56"/>
      <c r="BC19" s="56"/>
      <c r="BD19" s="56"/>
      <c r="BE19" s="56"/>
      <c r="BF19" s="56"/>
      <c r="BG19" s="56"/>
      <c r="BH19" s="56"/>
      <c r="BI19" s="56"/>
      <c r="BJ19" s="56"/>
      <c r="BK19" s="56"/>
      <c r="BL19" s="56"/>
      <c r="BM19" s="56"/>
      <c r="BN19" s="56"/>
      <c r="BO19" s="56"/>
      <c r="BP19" s="56"/>
      <c r="BQ19" s="56"/>
      <c r="BR19" s="56"/>
      <c r="BS19" s="56"/>
    </row>
    <row r="20" spans="1:71" s="96" customFormat="1" x14ac:dyDescent="0.25">
      <c r="A20" s="86"/>
      <c r="B20" s="201"/>
      <c r="C20" s="185"/>
      <c r="D20" s="180"/>
      <c r="E20" s="181"/>
      <c r="F20" s="221"/>
      <c r="G20" s="215"/>
      <c r="H20" s="230"/>
      <c r="I20" s="183"/>
      <c r="J20" s="215"/>
      <c r="K20" s="182"/>
      <c r="L20" s="182"/>
      <c r="M20" s="184"/>
      <c r="N20" s="199"/>
      <c r="O20" s="208"/>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56"/>
      <c r="AX20" s="56"/>
      <c r="AY20" s="56"/>
      <c r="AZ20" s="56"/>
      <c r="BA20" s="56"/>
      <c r="BB20" s="56"/>
      <c r="BC20" s="56"/>
      <c r="BD20" s="56"/>
      <c r="BE20" s="56"/>
      <c r="BF20" s="56"/>
      <c r="BG20" s="56"/>
      <c r="BH20" s="56"/>
      <c r="BI20" s="56"/>
      <c r="BJ20" s="56"/>
      <c r="BK20" s="56"/>
      <c r="BL20" s="56"/>
      <c r="BM20" s="56"/>
      <c r="BN20" s="56"/>
      <c r="BO20" s="56"/>
      <c r="BP20" s="56"/>
      <c r="BQ20" s="56"/>
      <c r="BR20" s="56"/>
      <c r="BS20" s="56"/>
    </row>
    <row r="21" spans="1:71" s="96" customFormat="1" x14ac:dyDescent="0.25">
      <c r="A21" s="89"/>
      <c r="B21" s="201"/>
      <c r="C21" s="185"/>
      <c r="D21" s="180"/>
      <c r="E21" s="181"/>
      <c r="F21" s="221"/>
      <c r="G21" s="215"/>
      <c r="H21" s="230"/>
      <c r="I21" s="183"/>
      <c r="J21" s="215"/>
      <c r="K21" s="182"/>
      <c r="L21" s="182"/>
      <c r="M21" s="184"/>
      <c r="N21" s="199"/>
      <c r="O21" s="208"/>
      <c r="P21" s="56"/>
      <c r="Q21" s="56"/>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56"/>
      <c r="AS21" s="56"/>
      <c r="AT21" s="56"/>
      <c r="AU21" s="56"/>
      <c r="AV21" s="56"/>
      <c r="AW21" s="56"/>
      <c r="AX21" s="56"/>
      <c r="AY21" s="56"/>
      <c r="AZ21" s="56"/>
      <c r="BA21" s="56"/>
      <c r="BB21" s="56"/>
      <c r="BC21" s="56"/>
      <c r="BD21" s="56"/>
      <c r="BE21" s="56"/>
      <c r="BF21" s="56"/>
      <c r="BG21" s="56"/>
      <c r="BH21" s="56"/>
      <c r="BI21" s="56"/>
      <c r="BJ21" s="56"/>
      <c r="BK21" s="56"/>
      <c r="BL21" s="56"/>
      <c r="BM21" s="56"/>
      <c r="BN21" s="56"/>
      <c r="BO21" s="56"/>
      <c r="BP21" s="56"/>
      <c r="BQ21" s="56"/>
      <c r="BR21" s="56"/>
      <c r="BS21" s="56"/>
    </row>
    <row r="22" spans="1:71" s="96" customFormat="1" x14ac:dyDescent="0.25">
      <c r="A22" s="89"/>
      <c r="B22" s="201"/>
      <c r="C22" s="179"/>
      <c r="D22" s="180"/>
      <c r="E22" s="181"/>
      <c r="F22" s="221"/>
      <c r="G22" s="215"/>
      <c r="H22" s="230"/>
      <c r="I22" s="183"/>
      <c r="J22" s="215"/>
      <c r="K22" s="182"/>
      <c r="L22" s="182"/>
      <c r="M22" s="184"/>
      <c r="N22" s="199"/>
      <c r="O22" s="208"/>
      <c r="P22" s="56"/>
      <c r="Q22" s="56"/>
      <c r="R22" s="56"/>
      <c r="S22" s="56"/>
      <c r="T22" s="56"/>
      <c r="U22" s="56"/>
      <c r="V22" s="56"/>
      <c r="W22" s="56"/>
      <c r="X22" s="56"/>
      <c r="Y22" s="56"/>
      <c r="Z22" s="56"/>
      <c r="AA22" s="56"/>
      <c r="AB22" s="56"/>
      <c r="AC22" s="56"/>
      <c r="AD22" s="56"/>
      <c r="AE22" s="56"/>
      <c r="AF22" s="56"/>
      <c r="AG22" s="56"/>
      <c r="AH22" s="56"/>
      <c r="AI22" s="56"/>
      <c r="AJ22" s="56"/>
      <c r="AK22" s="56"/>
      <c r="AL22" s="56"/>
      <c r="AM22" s="56"/>
      <c r="AN22" s="56"/>
      <c r="AO22" s="56"/>
      <c r="AP22" s="56"/>
      <c r="AQ22" s="56"/>
      <c r="AR22" s="56"/>
      <c r="AS22" s="56"/>
      <c r="AT22" s="56"/>
      <c r="AU22" s="56"/>
      <c r="AV22" s="56"/>
      <c r="AW22" s="56"/>
      <c r="AX22" s="56"/>
      <c r="AY22" s="56"/>
      <c r="AZ22" s="56"/>
      <c r="BA22" s="56"/>
      <c r="BB22" s="56"/>
      <c r="BC22" s="56"/>
      <c r="BD22" s="56"/>
      <c r="BE22" s="56"/>
      <c r="BF22" s="56"/>
      <c r="BG22" s="56"/>
      <c r="BH22" s="56"/>
      <c r="BI22" s="56"/>
      <c r="BJ22" s="56"/>
      <c r="BK22" s="56"/>
      <c r="BL22" s="56"/>
      <c r="BM22" s="56"/>
      <c r="BN22" s="56"/>
      <c r="BO22" s="56"/>
      <c r="BP22" s="56"/>
      <c r="BQ22" s="56"/>
      <c r="BR22" s="56"/>
      <c r="BS22" s="56"/>
    </row>
    <row r="23" spans="1:71" s="96" customFormat="1" x14ac:dyDescent="0.25">
      <c r="A23" s="89"/>
      <c r="B23" s="201"/>
      <c r="C23" s="185"/>
      <c r="D23" s="180"/>
      <c r="E23" s="181"/>
      <c r="F23" s="221"/>
      <c r="G23" s="215"/>
      <c r="H23" s="230"/>
      <c r="I23" s="183"/>
      <c r="J23" s="215"/>
      <c r="K23" s="182"/>
      <c r="L23" s="182"/>
      <c r="M23" s="184"/>
      <c r="N23" s="199"/>
      <c r="O23" s="208"/>
      <c r="P23" s="56"/>
      <c r="Q23" s="56"/>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c r="BM23" s="56"/>
      <c r="BN23" s="56"/>
      <c r="BO23" s="56"/>
      <c r="BP23" s="56"/>
      <c r="BQ23" s="56"/>
      <c r="BR23" s="56"/>
      <c r="BS23" s="56"/>
    </row>
    <row r="24" spans="1:71" s="211" customFormat="1" ht="18" x14ac:dyDescent="0.3">
      <c r="A24" s="186"/>
      <c r="B24" s="201"/>
      <c r="C24" s="185"/>
      <c r="D24" s="180"/>
      <c r="E24" s="181"/>
      <c r="F24" s="221"/>
      <c r="G24" s="215"/>
      <c r="H24" s="230"/>
      <c r="I24" s="183"/>
      <c r="J24" s="215"/>
      <c r="K24" s="182"/>
      <c r="L24" s="182"/>
      <c r="M24" s="184"/>
      <c r="N24" s="199"/>
      <c r="O24" s="209"/>
      <c r="P24" s="210"/>
      <c r="Q24" s="210"/>
      <c r="R24" s="210"/>
      <c r="S24" s="210"/>
      <c r="T24" s="210"/>
      <c r="U24" s="210"/>
      <c r="V24" s="210"/>
      <c r="W24" s="210"/>
      <c r="X24" s="210"/>
      <c r="Y24" s="210"/>
      <c r="Z24" s="210"/>
      <c r="AA24" s="210"/>
      <c r="AB24" s="210"/>
      <c r="AC24" s="210"/>
      <c r="AD24" s="210"/>
      <c r="AE24" s="210"/>
      <c r="AF24" s="210"/>
      <c r="AG24" s="210"/>
      <c r="AH24" s="210"/>
      <c r="AI24" s="210"/>
      <c r="AJ24" s="210"/>
      <c r="AK24" s="210"/>
      <c r="AL24" s="210"/>
      <c r="AM24" s="210"/>
      <c r="AN24" s="210"/>
      <c r="AO24" s="210"/>
      <c r="AP24" s="210"/>
      <c r="AQ24" s="210"/>
      <c r="AR24" s="210"/>
      <c r="AS24" s="210"/>
      <c r="AT24" s="210"/>
      <c r="AU24" s="210"/>
      <c r="AV24" s="210"/>
      <c r="AW24" s="210"/>
      <c r="AX24" s="210"/>
      <c r="AY24" s="210"/>
      <c r="AZ24" s="210"/>
      <c r="BA24" s="210"/>
      <c r="BB24" s="210"/>
      <c r="BC24" s="210"/>
      <c r="BD24" s="210"/>
      <c r="BE24" s="210"/>
      <c r="BF24" s="210"/>
      <c r="BG24" s="210"/>
      <c r="BH24" s="210"/>
      <c r="BI24" s="210"/>
      <c r="BJ24" s="210"/>
      <c r="BK24" s="210"/>
      <c r="BL24" s="210"/>
      <c r="BM24" s="210"/>
      <c r="BN24" s="210"/>
      <c r="BO24" s="210"/>
      <c r="BP24" s="210"/>
      <c r="BQ24" s="210"/>
      <c r="BR24" s="210"/>
      <c r="BS24" s="210"/>
    </row>
    <row r="25" spans="1:71" s="211" customFormat="1" ht="18" x14ac:dyDescent="0.3">
      <c r="A25" s="186"/>
      <c r="B25" s="202"/>
      <c r="C25" s="187"/>
      <c r="D25" s="188"/>
      <c r="E25" s="189"/>
      <c r="F25" s="222"/>
      <c r="G25" s="216"/>
      <c r="H25" s="231"/>
      <c r="I25" s="191"/>
      <c r="J25" s="216"/>
      <c r="K25" s="190"/>
      <c r="L25" s="190"/>
      <c r="M25" s="192"/>
      <c r="N25" s="200"/>
      <c r="O25" s="209"/>
      <c r="P25" s="210"/>
      <c r="Q25" s="210"/>
      <c r="R25" s="210"/>
      <c r="S25" s="210"/>
      <c r="T25" s="210"/>
      <c r="U25" s="210"/>
      <c r="V25" s="210"/>
      <c r="W25" s="210"/>
      <c r="X25" s="210"/>
      <c r="Y25" s="210"/>
      <c r="Z25" s="210"/>
      <c r="AA25" s="210"/>
      <c r="AB25" s="210"/>
      <c r="AC25" s="210"/>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row>
    <row r="26" spans="1:71" s="211" customFormat="1" ht="13.2" customHeight="1" x14ac:dyDescent="0.3">
      <c r="A26" s="186"/>
      <c r="B26" s="202"/>
      <c r="C26" s="187"/>
      <c r="D26" s="188"/>
      <c r="E26" s="189"/>
      <c r="F26" s="222"/>
      <c r="G26" s="216"/>
      <c r="H26" s="231"/>
      <c r="I26" s="191"/>
      <c r="J26" s="216"/>
      <c r="K26" s="190"/>
      <c r="L26" s="190"/>
      <c r="M26" s="192"/>
      <c r="N26" s="200"/>
      <c r="O26" s="209"/>
      <c r="P26" s="210"/>
      <c r="Q26" s="210"/>
      <c r="R26" s="210"/>
      <c r="S26" s="210"/>
      <c r="T26" s="210"/>
      <c r="U26" s="210"/>
      <c r="V26" s="210"/>
      <c r="W26" s="210"/>
      <c r="X26" s="210"/>
      <c r="Y26" s="210"/>
      <c r="Z26" s="210"/>
      <c r="AA26" s="210"/>
      <c r="AB26" s="210"/>
      <c r="AC26" s="210"/>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row>
    <row r="27" spans="1:71" s="211" customFormat="1" ht="12" customHeight="1" x14ac:dyDescent="0.25">
      <c r="A27" s="186"/>
      <c r="B27" s="202"/>
      <c r="C27" s="193"/>
      <c r="D27" s="194"/>
      <c r="E27" s="192"/>
      <c r="F27" s="226"/>
      <c r="G27" s="217"/>
      <c r="H27" s="232"/>
      <c r="I27" s="196"/>
      <c r="J27" s="217"/>
      <c r="K27" s="195"/>
      <c r="L27" s="195"/>
      <c r="M27" s="192"/>
      <c r="N27" s="175"/>
      <c r="O27" s="209"/>
      <c r="P27" s="210"/>
      <c r="Q27" s="210"/>
      <c r="R27" s="210"/>
      <c r="S27" s="210"/>
      <c r="T27" s="210"/>
      <c r="U27" s="210"/>
      <c r="V27" s="210"/>
      <c r="W27" s="210"/>
      <c r="X27" s="96"/>
      <c r="Y27" s="210"/>
      <c r="Z27" s="210"/>
      <c r="AA27" s="96"/>
      <c r="AB27" s="210"/>
      <c r="AC27" s="9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row>
    <row r="28" spans="1:71" s="96" customFormat="1" x14ac:dyDescent="0.25">
      <c r="A28" s="197"/>
      <c r="B28" s="202"/>
      <c r="C28" s="193"/>
      <c r="D28" s="194"/>
      <c r="E28" s="192"/>
      <c r="F28" s="226"/>
      <c r="G28" s="217"/>
      <c r="H28" s="232"/>
      <c r="I28" s="196"/>
      <c r="J28" s="217"/>
      <c r="K28" s="195"/>
      <c r="L28" s="195"/>
      <c r="M28" s="192"/>
      <c r="N28" s="175"/>
      <c r="O28" s="197"/>
    </row>
    <row r="29" spans="1:71" s="96" customFormat="1" x14ac:dyDescent="0.25">
      <c r="B29" s="202"/>
      <c r="C29" s="193"/>
      <c r="D29" s="194"/>
      <c r="E29" s="192"/>
      <c r="F29" s="226"/>
      <c r="G29" s="217"/>
      <c r="H29" s="233"/>
      <c r="I29" s="196"/>
      <c r="J29" s="217"/>
      <c r="K29" s="195"/>
      <c r="L29" s="195"/>
      <c r="M29" s="198"/>
      <c r="N29" s="175"/>
      <c r="O29" s="197"/>
    </row>
    <row r="30" spans="1:71" s="96" customFormat="1" x14ac:dyDescent="0.25">
      <c r="B30" s="202"/>
      <c r="C30" s="193"/>
      <c r="D30" s="194"/>
      <c r="E30" s="192"/>
      <c r="F30" s="226"/>
      <c r="G30" s="217"/>
      <c r="H30" s="233"/>
      <c r="I30" s="196"/>
      <c r="J30" s="217"/>
      <c r="K30" s="195"/>
      <c r="L30" s="195"/>
      <c r="M30" s="198"/>
      <c r="N30" s="175"/>
      <c r="O30" s="197"/>
      <c r="P30" s="212"/>
      <c r="R30" s="199"/>
    </row>
    <row r="31" spans="1:71" s="96" customFormat="1" x14ac:dyDescent="0.25">
      <c r="A31" s="86"/>
      <c r="B31" s="202"/>
      <c r="C31" s="193"/>
      <c r="D31" s="194"/>
      <c r="E31" s="192"/>
      <c r="F31" s="226"/>
      <c r="G31" s="217"/>
      <c r="H31" s="233"/>
      <c r="I31" s="196"/>
      <c r="J31" s="217"/>
      <c r="K31" s="195"/>
      <c r="L31" s="195"/>
      <c r="M31" s="198"/>
      <c r="N31" s="175"/>
      <c r="O31" s="197"/>
      <c r="R31" s="199"/>
    </row>
    <row r="32" spans="1:71" s="96" customFormat="1" x14ac:dyDescent="0.25">
      <c r="A32" s="86"/>
      <c r="B32" s="202"/>
      <c r="C32" s="193"/>
      <c r="D32" s="194"/>
      <c r="E32" s="192"/>
      <c r="F32" s="226"/>
      <c r="G32" s="217"/>
      <c r="H32" s="233"/>
      <c r="I32" s="196"/>
      <c r="J32" s="217"/>
      <c r="K32" s="195"/>
      <c r="L32" s="195"/>
      <c r="M32" s="198"/>
      <c r="N32" s="175"/>
      <c r="O32" s="197"/>
      <c r="R32" s="199"/>
    </row>
    <row r="33" spans="1:18" s="96" customFormat="1" x14ac:dyDescent="0.25">
      <c r="A33" s="86"/>
      <c r="B33" s="202"/>
      <c r="C33" s="193"/>
      <c r="D33" s="194"/>
      <c r="E33" s="192"/>
      <c r="F33" s="226"/>
      <c r="G33" s="217"/>
      <c r="H33" s="233"/>
      <c r="I33" s="196"/>
      <c r="J33" s="217"/>
      <c r="K33" s="195"/>
      <c r="L33" s="195"/>
      <c r="M33" s="198"/>
      <c r="N33" s="175"/>
      <c r="O33" s="197"/>
      <c r="R33" s="199"/>
    </row>
    <row r="34" spans="1:18" s="96" customFormat="1" x14ac:dyDescent="0.25">
      <c r="A34" s="86"/>
      <c r="B34" s="202"/>
      <c r="C34" s="193"/>
      <c r="D34" s="194"/>
      <c r="E34" s="192"/>
      <c r="F34" s="226"/>
      <c r="G34" s="217"/>
      <c r="H34" s="233"/>
      <c r="I34" s="196"/>
      <c r="J34" s="217"/>
      <c r="K34" s="195"/>
      <c r="L34" s="195"/>
      <c r="M34" s="198"/>
      <c r="N34" s="175"/>
      <c r="O34" s="197"/>
      <c r="R34" s="199"/>
    </row>
    <row r="35" spans="1:18" s="96" customFormat="1" x14ac:dyDescent="0.25">
      <c r="A35" s="86"/>
      <c r="B35" s="202"/>
      <c r="C35" s="193"/>
      <c r="D35" s="194"/>
      <c r="E35" s="192"/>
      <c r="F35" s="226"/>
      <c r="G35" s="217"/>
      <c r="H35" s="233"/>
      <c r="I35" s="196"/>
      <c r="J35" s="217"/>
      <c r="K35" s="195"/>
      <c r="L35" s="195"/>
      <c r="M35" s="198"/>
      <c r="N35" s="175"/>
      <c r="O35" s="197"/>
      <c r="R35" s="199"/>
    </row>
    <row r="36" spans="1:18" x14ac:dyDescent="0.25">
      <c r="B36" s="202"/>
      <c r="C36" s="193"/>
      <c r="D36" s="194"/>
      <c r="E36" s="192"/>
      <c r="F36" s="226"/>
      <c r="G36" s="217"/>
      <c r="H36" s="233"/>
      <c r="I36" s="196"/>
      <c r="J36" s="217"/>
      <c r="K36" s="195"/>
      <c r="L36" s="195"/>
      <c r="M36" s="198"/>
      <c r="N36" s="175"/>
      <c r="R36" s="199"/>
    </row>
    <row r="37" spans="1:18" x14ac:dyDescent="0.25">
      <c r="B37" s="202"/>
      <c r="C37" s="193"/>
      <c r="D37" s="194"/>
      <c r="E37" s="192"/>
      <c r="F37" s="226"/>
      <c r="G37" s="217"/>
      <c r="H37" s="233"/>
      <c r="I37" s="196"/>
      <c r="J37" s="217"/>
      <c r="K37" s="195"/>
      <c r="L37" s="195"/>
      <c r="M37" s="198"/>
      <c r="N37" s="175"/>
      <c r="R37" s="199"/>
    </row>
    <row r="38" spans="1:18" x14ac:dyDescent="0.25">
      <c r="B38" s="205"/>
      <c r="C38" s="170"/>
      <c r="D38" s="171"/>
      <c r="E38" s="172"/>
      <c r="F38" s="227"/>
      <c r="G38" s="218"/>
      <c r="H38" s="234"/>
      <c r="I38" s="174"/>
      <c r="J38" s="218"/>
      <c r="K38" s="173"/>
      <c r="L38" s="173"/>
      <c r="M38" s="176"/>
      <c r="N38" s="175"/>
      <c r="R38" s="199"/>
    </row>
    <row r="39" spans="1:18" x14ac:dyDescent="0.25">
      <c r="B39" s="205"/>
      <c r="C39" s="170"/>
      <c r="D39" s="171"/>
      <c r="E39" s="172"/>
      <c r="F39" s="227"/>
      <c r="G39" s="218"/>
      <c r="H39" s="234"/>
      <c r="I39" s="174"/>
      <c r="J39" s="218"/>
      <c r="K39" s="173"/>
      <c r="L39" s="173"/>
      <c r="M39" s="176"/>
      <c r="N39" s="175"/>
      <c r="R39" s="199"/>
    </row>
    <row r="40" spans="1:18" x14ac:dyDescent="0.25">
      <c r="B40" s="205"/>
      <c r="C40" s="170"/>
      <c r="D40" s="171"/>
      <c r="E40" s="172"/>
      <c r="F40" s="227"/>
      <c r="G40" s="218"/>
      <c r="H40" s="234"/>
      <c r="I40" s="174"/>
      <c r="J40" s="218"/>
      <c r="K40" s="173"/>
      <c r="L40" s="173"/>
      <c r="M40" s="176"/>
      <c r="N40" s="175"/>
      <c r="R40" s="199"/>
    </row>
    <row r="41" spans="1:18" x14ac:dyDescent="0.25">
      <c r="B41" s="205"/>
      <c r="C41" s="170"/>
      <c r="D41" s="171"/>
      <c r="E41" s="172"/>
      <c r="F41" s="227"/>
      <c r="G41" s="218"/>
      <c r="H41" s="234"/>
      <c r="I41" s="174"/>
      <c r="J41" s="218"/>
      <c r="K41" s="173"/>
      <c r="L41" s="173"/>
      <c r="M41" s="176"/>
      <c r="N41" s="175"/>
      <c r="R41" s="200"/>
    </row>
    <row r="42" spans="1:18" x14ac:dyDescent="0.25">
      <c r="B42" s="205"/>
      <c r="C42" s="170"/>
      <c r="D42" s="171"/>
      <c r="E42" s="172"/>
      <c r="F42" s="227"/>
      <c r="G42" s="218"/>
      <c r="H42" s="234"/>
      <c r="I42" s="174"/>
      <c r="J42" s="218"/>
      <c r="K42" s="173"/>
      <c r="L42" s="173"/>
      <c r="M42" s="176"/>
      <c r="N42" s="175"/>
      <c r="R42" s="200"/>
    </row>
    <row r="43" spans="1:18" x14ac:dyDescent="0.25">
      <c r="B43" s="205"/>
      <c r="C43" s="170"/>
      <c r="D43" s="171"/>
      <c r="E43" s="172"/>
      <c r="F43" s="227"/>
      <c r="G43" s="218"/>
      <c r="H43" s="234"/>
      <c r="I43" s="174"/>
      <c r="J43" s="218"/>
      <c r="K43" s="173"/>
      <c r="L43" s="173"/>
      <c r="M43" s="176"/>
      <c r="N43" s="175"/>
      <c r="R43" s="197"/>
    </row>
    <row r="44" spans="1:18" x14ac:dyDescent="0.25">
      <c r="B44" s="205"/>
      <c r="C44" s="170"/>
      <c r="D44" s="171"/>
      <c r="E44" s="172"/>
      <c r="F44" s="227"/>
      <c r="G44" s="218"/>
      <c r="H44" s="234"/>
      <c r="I44" s="174"/>
      <c r="J44" s="218"/>
      <c r="K44" s="173"/>
      <c r="L44" s="173"/>
      <c r="M44" s="176"/>
      <c r="N44" s="175"/>
      <c r="R44" s="197"/>
    </row>
    <row r="45" spans="1:18" x14ac:dyDescent="0.25">
      <c r="B45" s="205"/>
      <c r="C45" s="170"/>
      <c r="D45" s="171"/>
      <c r="E45" s="172"/>
      <c r="F45" s="227"/>
      <c r="G45" s="218"/>
      <c r="H45" s="234"/>
      <c r="I45" s="174"/>
      <c r="J45" s="218"/>
      <c r="K45" s="173"/>
      <c r="L45" s="173"/>
      <c r="M45" s="176"/>
      <c r="N45" s="175"/>
    </row>
    <row r="46" spans="1:18" x14ac:dyDescent="0.25">
      <c r="B46" s="205"/>
      <c r="C46" s="170"/>
      <c r="D46" s="171"/>
      <c r="E46" s="172"/>
      <c r="F46" s="227"/>
      <c r="G46" s="218"/>
      <c r="H46" s="234"/>
      <c r="I46" s="174"/>
      <c r="J46" s="218"/>
      <c r="K46" s="173"/>
      <c r="L46" s="173"/>
      <c r="M46" s="176"/>
      <c r="N46" s="175"/>
    </row>
    <row r="47" spans="1:18" x14ac:dyDescent="0.25">
      <c r="B47" s="205"/>
      <c r="C47" s="170"/>
      <c r="D47" s="171"/>
      <c r="E47" s="172"/>
      <c r="F47" s="227"/>
      <c r="G47" s="218"/>
      <c r="H47" s="234"/>
      <c r="I47" s="174"/>
      <c r="J47" s="218"/>
      <c r="K47" s="173"/>
      <c r="L47" s="173"/>
      <c r="M47" s="176"/>
      <c r="N47" s="175"/>
    </row>
    <row r="48" spans="1:18" x14ac:dyDescent="0.25">
      <c r="B48" s="205"/>
      <c r="C48" s="170"/>
      <c r="D48" s="171"/>
      <c r="E48" s="172"/>
      <c r="F48" s="227"/>
      <c r="G48" s="218"/>
      <c r="H48" s="234"/>
      <c r="I48" s="174"/>
      <c r="J48" s="218"/>
      <c r="K48" s="173"/>
      <c r="L48" s="173"/>
      <c r="M48" s="176"/>
      <c r="N48" s="175"/>
    </row>
    <row r="49" spans="2:14" x14ac:dyDescent="0.25">
      <c r="B49" s="205"/>
      <c r="C49" s="170"/>
      <c r="D49" s="171"/>
      <c r="E49" s="172"/>
      <c r="F49" s="227"/>
      <c r="G49" s="218"/>
      <c r="H49" s="234"/>
      <c r="I49" s="174"/>
      <c r="J49" s="218"/>
      <c r="K49" s="173"/>
      <c r="L49" s="173"/>
      <c r="M49" s="176"/>
      <c r="N49" s="175"/>
    </row>
    <row r="50" spans="2:14" x14ac:dyDescent="0.25">
      <c r="B50" s="205"/>
      <c r="C50" s="170"/>
      <c r="D50" s="171"/>
      <c r="E50" s="172"/>
      <c r="F50" s="227"/>
      <c r="G50" s="218"/>
      <c r="H50" s="234"/>
      <c r="I50" s="174"/>
      <c r="J50" s="218"/>
      <c r="K50" s="173"/>
      <c r="L50" s="173"/>
      <c r="M50" s="176"/>
      <c r="N50" s="175"/>
    </row>
    <row r="51" spans="2:14" x14ac:dyDescent="0.25">
      <c r="B51" s="205"/>
      <c r="C51" s="170"/>
      <c r="D51" s="171"/>
      <c r="E51" s="172"/>
      <c r="F51" s="227"/>
      <c r="G51" s="218"/>
      <c r="H51" s="234"/>
      <c r="I51" s="174"/>
      <c r="J51" s="218"/>
      <c r="K51" s="173"/>
      <c r="L51" s="173"/>
      <c r="M51" s="176"/>
      <c r="N51" s="175"/>
    </row>
    <row r="52" spans="2:14" x14ac:dyDescent="0.25">
      <c r="B52" s="205"/>
      <c r="C52" s="170"/>
      <c r="D52" s="171"/>
      <c r="E52" s="172"/>
      <c r="F52" s="227"/>
      <c r="G52" s="218"/>
      <c r="H52" s="234"/>
      <c r="I52" s="174"/>
      <c r="J52" s="218"/>
      <c r="K52" s="173"/>
      <c r="L52" s="173"/>
      <c r="M52" s="176"/>
      <c r="N52" s="175"/>
    </row>
    <row r="53" spans="2:14" x14ac:dyDescent="0.25">
      <c r="B53" s="205"/>
      <c r="C53" s="170"/>
      <c r="D53" s="171"/>
      <c r="E53" s="172"/>
      <c r="F53" s="227"/>
      <c r="G53" s="218"/>
      <c r="H53" s="234"/>
      <c r="I53" s="174"/>
      <c r="J53" s="218"/>
      <c r="K53" s="173"/>
      <c r="L53" s="173"/>
      <c r="M53" s="176"/>
      <c r="N53" s="175"/>
    </row>
    <row r="54" spans="2:14" x14ac:dyDescent="0.25">
      <c r="B54" s="205"/>
      <c r="C54" s="170"/>
      <c r="D54" s="171"/>
      <c r="E54" s="172"/>
      <c r="F54" s="227"/>
      <c r="G54" s="218"/>
      <c r="H54" s="234"/>
      <c r="I54" s="174"/>
      <c r="J54" s="218"/>
      <c r="K54" s="173"/>
      <c r="L54" s="173"/>
      <c r="M54" s="176"/>
      <c r="N54" s="175"/>
    </row>
    <row r="55" spans="2:14" x14ac:dyDescent="0.25">
      <c r="B55" s="205"/>
      <c r="C55" s="170"/>
      <c r="D55" s="171"/>
      <c r="E55" s="172"/>
      <c r="F55" s="227"/>
      <c r="G55" s="218"/>
      <c r="H55" s="234"/>
      <c r="I55" s="174"/>
      <c r="J55" s="218"/>
      <c r="K55" s="173"/>
      <c r="L55" s="173"/>
      <c r="M55" s="176"/>
      <c r="N55" s="175"/>
    </row>
    <row r="56" spans="2:14" x14ac:dyDescent="0.25">
      <c r="B56" s="205"/>
      <c r="C56" s="170"/>
      <c r="D56" s="171"/>
      <c r="E56" s="172"/>
      <c r="F56" s="227"/>
      <c r="G56" s="218"/>
      <c r="H56" s="234"/>
      <c r="I56" s="174"/>
      <c r="J56" s="218"/>
      <c r="K56" s="173"/>
      <c r="L56" s="173"/>
      <c r="M56" s="176"/>
      <c r="N56" s="175"/>
    </row>
    <row r="57" spans="2:14" x14ac:dyDescent="0.25">
      <c r="B57" s="205"/>
      <c r="C57" s="170"/>
      <c r="D57" s="171"/>
      <c r="E57" s="172"/>
      <c r="F57" s="227"/>
      <c r="G57" s="218"/>
      <c r="H57" s="234"/>
      <c r="I57" s="174"/>
      <c r="J57" s="218"/>
      <c r="K57" s="173"/>
      <c r="L57" s="173"/>
      <c r="M57" s="176"/>
      <c r="N57" s="175"/>
    </row>
    <row r="58" spans="2:14" x14ac:dyDescent="0.25">
      <c r="B58" s="205"/>
      <c r="C58" s="170"/>
      <c r="D58" s="171"/>
      <c r="E58" s="172"/>
      <c r="F58" s="227"/>
      <c r="G58" s="218"/>
      <c r="H58" s="234"/>
      <c r="I58" s="174"/>
      <c r="J58" s="218"/>
      <c r="K58" s="173"/>
      <c r="L58" s="173"/>
      <c r="M58" s="176"/>
      <c r="N58" s="175"/>
    </row>
    <row r="59" spans="2:14" x14ac:dyDescent="0.25">
      <c r="B59" s="205"/>
      <c r="C59" s="170"/>
      <c r="D59" s="171"/>
      <c r="E59" s="172"/>
      <c r="F59" s="227"/>
      <c r="G59" s="218"/>
      <c r="H59" s="234"/>
      <c r="I59" s="174"/>
      <c r="J59" s="218"/>
      <c r="K59" s="173"/>
      <c r="L59" s="173"/>
      <c r="M59" s="176"/>
      <c r="N59" s="175"/>
    </row>
    <row r="60" spans="2:14" x14ac:dyDescent="0.25">
      <c r="B60" s="205"/>
      <c r="C60" s="170"/>
      <c r="D60" s="171"/>
      <c r="E60" s="172"/>
      <c r="F60" s="227"/>
      <c r="G60" s="218"/>
      <c r="H60" s="234"/>
      <c r="I60" s="174"/>
      <c r="J60" s="218"/>
      <c r="K60" s="173"/>
      <c r="L60" s="173"/>
      <c r="M60" s="176"/>
      <c r="N60" s="175"/>
    </row>
    <row r="61" spans="2:14" x14ac:dyDescent="0.25">
      <c r="B61" s="205"/>
      <c r="C61" s="170"/>
      <c r="D61" s="171"/>
      <c r="E61" s="172"/>
      <c r="F61" s="227"/>
      <c r="G61" s="218"/>
      <c r="H61" s="234"/>
      <c r="I61" s="174"/>
      <c r="J61" s="218"/>
      <c r="K61" s="173"/>
      <c r="L61" s="173"/>
      <c r="M61" s="176"/>
      <c r="N61" s="175"/>
    </row>
    <row r="62" spans="2:14" x14ac:dyDescent="0.25">
      <c r="B62" s="205"/>
      <c r="C62" s="170"/>
      <c r="D62" s="171"/>
      <c r="E62" s="172"/>
      <c r="F62" s="227"/>
      <c r="G62" s="218"/>
      <c r="H62" s="234"/>
      <c r="I62" s="174"/>
      <c r="J62" s="218"/>
      <c r="K62" s="173"/>
      <c r="L62" s="173"/>
      <c r="M62" s="176"/>
      <c r="N62" s="175"/>
    </row>
    <row r="63" spans="2:14" x14ac:dyDescent="0.25">
      <c r="B63" s="205"/>
      <c r="C63" s="170"/>
      <c r="D63" s="171"/>
      <c r="E63" s="172"/>
      <c r="F63" s="227"/>
      <c r="G63" s="218"/>
      <c r="H63" s="234"/>
      <c r="I63" s="174"/>
      <c r="J63" s="218"/>
      <c r="K63" s="173"/>
      <c r="L63" s="173"/>
      <c r="M63" s="176"/>
      <c r="N63" s="175"/>
    </row>
    <row r="64" spans="2:14" x14ac:dyDescent="0.25">
      <c r="B64" s="205"/>
      <c r="C64" s="170"/>
      <c r="D64" s="171"/>
      <c r="E64" s="172"/>
      <c r="F64" s="227"/>
      <c r="G64" s="218"/>
      <c r="H64" s="234"/>
      <c r="I64" s="174"/>
      <c r="J64" s="218"/>
      <c r="K64" s="173"/>
      <c r="L64" s="173"/>
      <c r="M64" s="176"/>
      <c r="N64" s="175"/>
    </row>
    <row r="65" spans="2:14" x14ac:dyDescent="0.25">
      <c r="B65" s="205"/>
      <c r="C65" s="170"/>
      <c r="D65" s="171"/>
      <c r="E65" s="172"/>
      <c r="F65" s="227"/>
      <c r="G65" s="218"/>
      <c r="H65" s="234"/>
      <c r="I65" s="174"/>
      <c r="J65" s="218"/>
      <c r="K65" s="173"/>
      <c r="L65" s="173"/>
      <c r="M65" s="176"/>
      <c r="N65" s="175"/>
    </row>
    <row r="66" spans="2:14" x14ac:dyDescent="0.25">
      <c r="B66" s="205"/>
      <c r="C66" s="170"/>
      <c r="D66" s="171"/>
      <c r="E66" s="172"/>
      <c r="F66" s="227"/>
      <c r="G66" s="218"/>
      <c r="H66" s="234"/>
      <c r="I66" s="174"/>
      <c r="J66" s="218"/>
      <c r="K66" s="173"/>
      <c r="L66" s="173"/>
      <c r="M66" s="176"/>
      <c r="N66" s="175"/>
    </row>
    <row r="67" spans="2:14" x14ac:dyDescent="0.25">
      <c r="B67" s="205"/>
      <c r="C67" s="170"/>
      <c r="D67" s="171"/>
      <c r="E67" s="172"/>
      <c r="F67" s="227"/>
      <c r="G67" s="218"/>
      <c r="H67" s="234"/>
      <c r="I67" s="174"/>
      <c r="J67" s="218"/>
      <c r="K67" s="173"/>
      <c r="L67" s="173"/>
      <c r="M67" s="176"/>
      <c r="N67" s="175"/>
    </row>
    <row r="68" spans="2:14" x14ac:dyDescent="0.25">
      <c r="B68" s="205"/>
      <c r="C68" s="170"/>
      <c r="D68" s="171"/>
      <c r="E68" s="172"/>
      <c r="F68" s="227"/>
      <c r="G68" s="218"/>
      <c r="H68" s="234"/>
      <c r="I68" s="174"/>
      <c r="J68" s="218"/>
      <c r="K68" s="173"/>
      <c r="L68" s="173"/>
      <c r="M68" s="176"/>
      <c r="N68" s="175"/>
    </row>
    <row r="69" spans="2:14" x14ac:dyDescent="0.25">
      <c r="B69" s="205"/>
      <c r="C69" s="170"/>
      <c r="D69" s="171"/>
      <c r="E69" s="172"/>
      <c r="F69" s="227"/>
      <c r="G69" s="218"/>
      <c r="H69" s="234"/>
      <c r="I69" s="174"/>
      <c r="J69" s="218"/>
      <c r="K69" s="173"/>
      <c r="L69" s="173"/>
      <c r="M69" s="176"/>
      <c r="N69" s="175"/>
    </row>
    <row r="70" spans="2:14" x14ac:dyDescent="0.25">
      <c r="B70" s="205"/>
      <c r="C70" s="170"/>
      <c r="D70" s="171"/>
      <c r="E70" s="172"/>
      <c r="F70" s="227"/>
      <c r="G70" s="218"/>
      <c r="H70" s="234"/>
      <c r="I70" s="174"/>
      <c r="J70" s="218"/>
      <c r="K70" s="173"/>
      <c r="L70" s="173"/>
      <c r="M70" s="176"/>
      <c r="N70" s="175"/>
    </row>
    <row r="71" spans="2:14" x14ac:dyDescent="0.25">
      <c r="B71" s="205"/>
      <c r="C71" s="170"/>
      <c r="D71" s="171"/>
      <c r="E71" s="172"/>
      <c r="F71" s="227"/>
      <c r="G71" s="218"/>
      <c r="H71" s="234"/>
      <c r="I71" s="174"/>
      <c r="J71" s="218"/>
      <c r="K71" s="173"/>
      <c r="L71" s="173"/>
      <c r="M71" s="176"/>
      <c r="N71" s="175"/>
    </row>
    <row r="72" spans="2:14" x14ac:dyDescent="0.25">
      <c r="B72" s="205"/>
      <c r="C72" s="170"/>
      <c r="D72" s="171"/>
      <c r="E72" s="172"/>
      <c r="F72" s="227"/>
      <c r="G72" s="218"/>
      <c r="H72" s="234"/>
      <c r="I72" s="174"/>
      <c r="J72" s="218"/>
      <c r="K72" s="173"/>
      <c r="L72" s="173"/>
      <c r="M72" s="176"/>
      <c r="N72" s="175"/>
    </row>
    <row r="73" spans="2:14" x14ac:dyDescent="0.25">
      <c r="B73" s="205"/>
      <c r="C73" s="170"/>
      <c r="D73" s="171"/>
      <c r="E73" s="172"/>
      <c r="F73" s="227"/>
      <c r="G73" s="218"/>
      <c r="H73" s="234"/>
      <c r="I73" s="174"/>
      <c r="J73" s="218"/>
      <c r="K73" s="173"/>
      <c r="L73" s="173"/>
      <c r="M73" s="176"/>
      <c r="N73" s="175"/>
    </row>
    <row r="74" spans="2:14" x14ac:dyDescent="0.25">
      <c r="B74" s="205"/>
      <c r="C74" s="170"/>
      <c r="D74" s="171"/>
      <c r="E74" s="172"/>
      <c r="F74" s="227"/>
      <c r="G74" s="218"/>
      <c r="H74" s="234"/>
      <c r="I74" s="174"/>
      <c r="J74" s="218"/>
      <c r="K74" s="173"/>
      <c r="L74" s="173"/>
      <c r="M74" s="176"/>
      <c r="N74" s="175"/>
    </row>
    <row r="75" spans="2:14" x14ac:dyDescent="0.25">
      <c r="B75" s="205"/>
      <c r="C75" s="170"/>
      <c r="D75" s="171"/>
      <c r="E75" s="172"/>
      <c r="F75" s="227"/>
      <c r="G75" s="218"/>
      <c r="H75" s="234"/>
      <c r="I75" s="174"/>
      <c r="J75" s="218"/>
      <c r="K75" s="173"/>
      <c r="L75" s="173"/>
      <c r="M75" s="176"/>
      <c r="N75" s="175"/>
    </row>
    <row r="76" spans="2:14" x14ac:dyDescent="0.25">
      <c r="B76" s="205"/>
      <c r="C76" s="170"/>
      <c r="D76" s="171"/>
      <c r="E76" s="172"/>
      <c r="F76" s="227"/>
      <c r="G76" s="218"/>
      <c r="H76" s="234"/>
      <c r="I76" s="174"/>
      <c r="J76" s="218"/>
      <c r="K76" s="173"/>
      <c r="L76" s="173"/>
      <c r="M76" s="176"/>
      <c r="N76" s="175"/>
    </row>
    <row r="77" spans="2:14" x14ac:dyDescent="0.25">
      <c r="B77" s="205"/>
      <c r="C77" s="170"/>
      <c r="D77" s="171"/>
      <c r="E77" s="172"/>
      <c r="F77" s="227"/>
      <c r="G77" s="218"/>
      <c r="H77" s="234"/>
      <c r="I77" s="174"/>
      <c r="J77" s="218"/>
      <c r="K77" s="173"/>
      <c r="L77" s="173"/>
      <c r="M77" s="176"/>
      <c r="N77" s="175"/>
    </row>
    <row r="78" spans="2:14" x14ac:dyDescent="0.25">
      <c r="B78" s="205"/>
      <c r="C78" s="170"/>
      <c r="D78" s="171"/>
      <c r="E78" s="172"/>
      <c r="F78" s="227"/>
      <c r="G78" s="218"/>
      <c r="H78" s="234"/>
      <c r="I78" s="174"/>
      <c r="J78" s="218"/>
      <c r="K78" s="173"/>
      <c r="L78" s="173"/>
      <c r="M78" s="176"/>
      <c r="N78" s="175"/>
    </row>
    <row r="79" spans="2:14" x14ac:dyDescent="0.25">
      <c r="B79" s="205"/>
      <c r="C79" s="170"/>
      <c r="D79" s="171"/>
      <c r="E79" s="172"/>
      <c r="F79" s="227"/>
      <c r="G79" s="218"/>
      <c r="H79" s="234"/>
      <c r="I79" s="174"/>
      <c r="J79" s="218"/>
      <c r="K79" s="173"/>
      <c r="L79" s="173"/>
      <c r="M79" s="176"/>
      <c r="N79" s="175"/>
    </row>
    <row r="80" spans="2:14" x14ac:dyDescent="0.25">
      <c r="B80" s="205"/>
      <c r="C80" s="170"/>
      <c r="D80" s="171"/>
      <c r="E80" s="172"/>
      <c r="F80" s="227"/>
      <c r="G80" s="218"/>
      <c r="H80" s="234"/>
      <c r="I80" s="174"/>
      <c r="J80" s="218"/>
      <c r="K80" s="173"/>
      <c r="L80" s="173"/>
      <c r="M80" s="176"/>
      <c r="N80" s="175"/>
    </row>
    <row r="81" spans="2:14" x14ac:dyDescent="0.25">
      <c r="B81" s="205"/>
      <c r="C81" s="170"/>
      <c r="D81" s="171"/>
      <c r="E81" s="172"/>
      <c r="F81" s="227"/>
      <c r="G81" s="218"/>
      <c r="H81" s="234"/>
      <c r="I81" s="174"/>
      <c r="J81" s="218"/>
      <c r="K81" s="173"/>
      <c r="L81" s="173"/>
      <c r="M81" s="176"/>
      <c r="N81" s="175"/>
    </row>
    <row r="82" spans="2:14" x14ac:dyDescent="0.25">
      <c r="B82" s="205"/>
      <c r="C82" s="170"/>
      <c r="D82" s="171"/>
      <c r="E82" s="172"/>
      <c r="F82" s="227"/>
      <c r="G82" s="218"/>
      <c r="H82" s="234"/>
      <c r="I82" s="174"/>
      <c r="J82" s="218"/>
      <c r="K82" s="173"/>
      <c r="L82" s="173"/>
      <c r="M82" s="176"/>
      <c r="N82" s="175"/>
    </row>
    <row r="83" spans="2:14" x14ac:dyDescent="0.25">
      <c r="B83" s="205"/>
      <c r="C83" s="170"/>
      <c r="D83" s="171"/>
      <c r="E83" s="172"/>
      <c r="F83" s="227"/>
      <c r="G83" s="218"/>
      <c r="H83" s="234"/>
      <c r="I83" s="174"/>
      <c r="J83" s="218"/>
      <c r="K83" s="173"/>
      <c r="L83" s="173"/>
      <c r="M83" s="176"/>
      <c r="N83" s="175"/>
    </row>
    <row r="84" spans="2:14" x14ac:dyDescent="0.25">
      <c r="B84" s="205"/>
      <c r="C84" s="170"/>
      <c r="D84" s="171"/>
      <c r="E84" s="172"/>
      <c r="F84" s="227"/>
      <c r="G84" s="218"/>
      <c r="H84" s="234"/>
      <c r="I84" s="174"/>
      <c r="J84" s="218"/>
      <c r="K84" s="173"/>
      <c r="L84" s="173"/>
      <c r="M84" s="176"/>
      <c r="N84" s="175"/>
    </row>
    <row r="85" spans="2:14" x14ac:dyDescent="0.25">
      <c r="B85" s="205"/>
      <c r="C85" s="170"/>
      <c r="D85" s="171"/>
      <c r="E85" s="172"/>
      <c r="F85" s="227"/>
      <c r="G85" s="218"/>
      <c r="H85" s="234"/>
      <c r="I85" s="174"/>
      <c r="J85" s="218"/>
      <c r="K85" s="173"/>
      <c r="L85" s="173"/>
      <c r="M85" s="176"/>
      <c r="N85" s="175"/>
    </row>
    <row r="86" spans="2:14" x14ac:dyDescent="0.25">
      <c r="B86" s="205"/>
      <c r="C86" s="170"/>
      <c r="D86" s="171"/>
      <c r="E86" s="172"/>
      <c r="F86" s="227"/>
      <c r="G86" s="218"/>
      <c r="H86" s="234"/>
      <c r="I86" s="174"/>
      <c r="J86" s="218"/>
      <c r="K86" s="173"/>
      <c r="L86" s="173"/>
      <c r="M86" s="176"/>
      <c r="N86" s="175"/>
    </row>
    <row r="87" spans="2:14" x14ac:dyDescent="0.25">
      <c r="B87" s="205"/>
      <c r="C87" s="170"/>
      <c r="D87" s="171"/>
      <c r="E87" s="172"/>
      <c r="F87" s="227"/>
      <c r="G87" s="218"/>
      <c r="H87" s="234"/>
      <c r="I87" s="174"/>
      <c r="J87" s="218"/>
      <c r="K87" s="173"/>
      <c r="L87" s="173"/>
      <c r="M87" s="176"/>
      <c r="N87" s="175"/>
    </row>
    <row r="88" spans="2:14" x14ac:dyDescent="0.25">
      <c r="B88" s="205"/>
      <c r="C88" s="170"/>
      <c r="D88" s="171"/>
      <c r="E88" s="172"/>
      <c r="F88" s="227"/>
      <c r="G88" s="218"/>
      <c r="H88" s="234"/>
      <c r="I88" s="174"/>
      <c r="J88" s="218"/>
      <c r="K88" s="173"/>
      <c r="L88" s="173"/>
      <c r="M88" s="176"/>
      <c r="N88" s="175"/>
    </row>
    <row r="89" spans="2:14" x14ac:dyDescent="0.25">
      <c r="B89" s="205"/>
      <c r="C89" s="170"/>
      <c r="D89" s="171"/>
      <c r="E89" s="172"/>
      <c r="F89" s="227"/>
      <c r="G89" s="218"/>
      <c r="H89" s="234"/>
      <c r="I89" s="174"/>
      <c r="J89" s="218"/>
      <c r="K89" s="173"/>
      <c r="L89" s="173"/>
      <c r="M89" s="176"/>
      <c r="N89" s="175"/>
    </row>
    <row r="90" spans="2:14" x14ac:dyDescent="0.25">
      <c r="B90" s="205"/>
      <c r="C90" s="170"/>
      <c r="D90" s="171"/>
      <c r="E90" s="172"/>
      <c r="F90" s="227"/>
      <c r="G90" s="218"/>
      <c r="H90" s="234"/>
      <c r="I90" s="174"/>
      <c r="J90" s="218"/>
      <c r="K90" s="173"/>
      <c r="L90" s="173"/>
      <c r="M90" s="176"/>
      <c r="N90" s="175"/>
    </row>
    <row r="91" spans="2:14" x14ac:dyDescent="0.25">
      <c r="B91" s="205"/>
      <c r="C91" s="170"/>
      <c r="D91" s="171"/>
      <c r="E91" s="172"/>
      <c r="F91" s="227"/>
      <c r="G91" s="218"/>
      <c r="H91" s="234"/>
      <c r="I91" s="174"/>
      <c r="J91" s="218"/>
      <c r="K91" s="173"/>
      <c r="L91" s="173"/>
      <c r="M91" s="176"/>
      <c r="N91" s="175"/>
    </row>
    <row r="92" spans="2:14" x14ac:dyDescent="0.25">
      <c r="B92" s="205"/>
      <c r="C92" s="170"/>
      <c r="D92" s="171"/>
      <c r="E92" s="172"/>
      <c r="F92" s="227"/>
      <c r="G92" s="218"/>
      <c r="H92" s="234"/>
      <c r="I92" s="174"/>
      <c r="J92" s="218"/>
      <c r="K92" s="173"/>
      <c r="L92" s="173"/>
      <c r="M92" s="176"/>
      <c r="N92" s="175"/>
    </row>
    <row r="93" spans="2:14" x14ac:dyDescent="0.25">
      <c r="B93" s="205"/>
      <c r="C93" s="170"/>
      <c r="D93" s="171"/>
      <c r="E93" s="172"/>
      <c r="F93" s="227"/>
      <c r="G93" s="218"/>
      <c r="H93" s="234"/>
      <c r="I93" s="174"/>
      <c r="J93" s="218"/>
      <c r="K93" s="173"/>
      <c r="L93" s="173"/>
      <c r="M93" s="176"/>
      <c r="N93" s="175"/>
    </row>
    <row r="94" spans="2:14" x14ac:dyDescent="0.25">
      <c r="B94" s="205"/>
      <c r="C94" s="170"/>
      <c r="D94" s="171"/>
      <c r="E94" s="172"/>
      <c r="F94" s="227"/>
      <c r="G94" s="218"/>
      <c r="H94" s="234"/>
      <c r="I94" s="174"/>
      <c r="J94" s="218"/>
      <c r="K94" s="173"/>
      <c r="L94" s="173"/>
      <c r="M94" s="176"/>
      <c r="N94" s="175"/>
    </row>
    <row r="95" spans="2:14" x14ac:dyDescent="0.25">
      <c r="B95" s="205"/>
      <c r="C95" s="170"/>
      <c r="D95" s="171"/>
      <c r="E95" s="172"/>
      <c r="F95" s="227"/>
      <c r="G95" s="218"/>
      <c r="H95" s="234"/>
      <c r="I95" s="174"/>
      <c r="J95" s="218"/>
      <c r="K95" s="173"/>
      <c r="L95" s="173"/>
      <c r="M95" s="176"/>
      <c r="N95" s="175"/>
    </row>
    <row r="96" spans="2:14" x14ac:dyDescent="0.25">
      <c r="B96" s="205"/>
      <c r="C96" s="170"/>
      <c r="D96" s="171"/>
      <c r="E96" s="172"/>
      <c r="F96" s="227"/>
      <c r="G96" s="218"/>
      <c r="H96" s="234"/>
      <c r="I96" s="174"/>
      <c r="J96" s="218"/>
      <c r="K96" s="173"/>
      <c r="L96" s="173"/>
      <c r="M96" s="176"/>
      <c r="N96" s="175"/>
    </row>
    <row r="97" spans="2:14" x14ac:dyDescent="0.25">
      <c r="B97" s="205"/>
      <c r="C97" s="170"/>
      <c r="D97" s="171"/>
      <c r="E97" s="172"/>
      <c r="F97" s="227"/>
      <c r="G97" s="218"/>
      <c r="H97" s="234"/>
      <c r="I97" s="174"/>
      <c r="J97" s="218"/>
      <c r="K97" s="173"/>
      <c r="L97" s="173"/>
      <c r="M97" s="176"/>
      <c r="N97" s="175"/>
    </row>
    <row r="98" spans="2:14" x14ac:dyDescent="0.25">
      <c r="B98" s="205"/>
      <c r="C98" s="170"/>
      <c r="D98" s="171"/>
      <c r="E98" s="172"/>
      <c r="F98" s="227"/>
      <c r="G98" s="218"/>
      <c r="H98" s="234"/>
      <c r="I98" s="174"/>
      <c r="J98" s="218"/>
      <c r="K98" s="173"/>
      <c r="L98" s="173"/>
      <c r="M98" s="176"/>
      <c r="N98" s="175"/>
    </row>
    <row r="99" spans="2:14" x14ac:dyDescent="0.25">
      <c r="B99" s="205"/>
      <c r="C99" s="170"/>
      <c r="D99" s="171"/>
      <c r="E99" s="172"/>
      <c r="F99" s="227"/>
      <c r="G99" s="218"/>
      <c r="H99" s="234"/>
      <c r="I99" s="174"/>
      <c r="J99" s="218"/>
      <c r="K99" s="173"/>
      <c r="L99" s="173"/>
      <c r="M99" s="176"/>
      <c r="N99" s="175"/>
    </row>
    <row r="100" spans="2:14" x14ac:dyDescent="0.25">
      <c r="B100" s="205"/>
      <c r="C100" s="170"/>
      <c r="D100" s="171"/>
      <c r="E100" s="172"/>
      <c r="F100" s="227"/>
      <c r="G100" s="218"/>
      <c r="H100" s="234"/>
      <c r="I100" s="174"/>
      <c r="J100" s="218"/>
      <c r="K100" s="173"/>
      <c r="L100" s="173"/>
      <c r="M100" s="176"/>
      <c r="N100" s="175"/>
    </row>
    <row r="101" spans="2:14" x14ac:dyDescent="0.25">
      <c r="B101" s="205"/>
      <c r="C101" s="170"/>
      <c r="D101" s="171"/>
      <c r="E101" s="172"/>
      <c r="F101" s="227"/>
      <c r="G101" s="218"/>
      <c r="H101" s="234"/>
      <c r="I101" s="174"/>
      <c r="J101" s="218"/>
      <c r="K101" s="173"/>
      <c r="L101" s="173"/>
      <c r="M101" s="176"/>
      <c r="N101" s="175"/>
    </row>
    <row r="102" spans="2:14" x14ac:dyDescent="0.25">
      <c r="B102" s="205"/>
      <c r="C102" s="170"/>
      <c r="D102" s="171"/>
      <c r="E102" s="172"/>
      <c r="F102" s="227"/>
      <c r="G102" s="218"/>
      <c r="H102" s="234"/>
      <c r="I102" s="174"/>
      <c r="J102" s="218"/>
      <c r="K102" s="173"/>
      <c r="L102" s="173"/>
      <c r="M102" s="176"/>
      <c r="N102" s="175"/>
    </row>
    <row r="103" spans="2:14" x14ac:dyDescent="0.25">
      <c r="B103" s="205"/>
      <c r="C103" s="170"/>
      <c r="D103" s="171"/>
      <c r="E103" s="172"/>
      <c r="F103" s="227"/>
      <c r="G103" s="218"/>
      <c r="H103" s="234"/>
      <c r="I103" s="174"/>
      <c r="J103" s="218"/>
      <c r="K103" s="173"/>
      <c r="L103" s="173"/>
      <c r="M103" s="176"/>
      <c r="N103" s="175"/>
    </row>
    <row r="104" spans="2:14" x14ac:dyDescent="0.25">
      <c r="B104" s="205"/>
      <c r="C104" s="170"/>
      <c r="D104" s="171"/>
      <c r="E104" s="172"/>
      <c r="F104" s="227"/>
      <c r="G104" s="218"/>
      <c r="H104" s="234"/>
      <c r="I104" s="174"/>
      <c r="J104" s="218"/>
      <c r="K104" s="173"/>
      <c r="L104" s="173"/>
      <c r="M104" s="176"/>
      <c r="N104" s="175"/>
    </row>
    <row r="105" spans="2:14" x14ac:dyDescent="0.25">
      <c r="B105" s="205"/>
      <c r="C105" s="170"/>
      <c r="D105" s="171"/>
      <c r="E105" s="172"/>
      <c r="F105" s="227"/>
      <c r="G105" s="218"/>
      <c r="H105" s="234"/>
      <c r="I105" s="174"/>
      <c r="J105" s="218"/>
      <c r="K105" s="173"/>
      <c r="L105" s="173"/>
      <c r="M105" s="176"/>
      <c r="N105" s="175"/>
    </row>
    <row r="106" spans="2:14" x14ac:dyDescent="0.25">
      <c r="B106" s="205"/>
      <c r="C106" s="170"/>
      <c r="D106" s="171"/>
      <c r="E106" s="172"/>
      <c r="F106" s="227"/>
      <c r="G106" s="218"/>
      <c r="H106" s="234"/>
      <c r="I106" s="174"/>
      <c r="J106" s="218"/>
      <c r="K106" s="173"/>
      <c r="L106" s="173"/>
      <c r="M106" s="176"/>
      <c r="N106" s="175"/>
    </row>
    <row r="107" spans="2:14" x14ac:dyDescent="0.25">
      <c r="B107" s="205"/>
      <c r="C107" s="170"/>
      <c r="D107" s="171"/>
      <c r="E107" s="172"/>
      <c r="F107" s="227"/>
      <c r="G107" s="218"/>
      <c r="H107" s="234"/>
      <c r="I107" s="174"/>
      <c r="J107" s="218"/>
      <c r="K107" s="173"/>
      <c r="L107" s="173"/>
      <c r="M107" s="176"/>
      <c r="N107" s="175"/>
    </row>
    <row r="108" spans="2:14" x14ac:dyDescent="0.25">
      <c r="B108" s="205"/>
      <c r="C108" s="170"/>
      <c r="D108" s="171"/>
      <c r="E108" s="172"/>
      <c r="F108" s="227"/>
      <c r="G108" s="218"/>
      <c r="H108" s="234"/>
      <c r="I108" s="174"/>
      <c r="J108" s="218"/>
      <c r="K108" s="173"/>
      <c r="L108" s="173"/>
      <c r="M108" s="176"/>
      <c r="N108" s="175"/>
    </row>
    <row r="109" spans="2:14" x14ac:dyDescent="0.25">
      <c r="B109" s="205"/>
      <c r="C109" s="170"/>
      <c r="D109" s="171"/>
      <c r="E109" s="172"/>
      <c r="F109" s="227"/>
      <c r="G109" s="218"/>
      <c r="H109" s="234"/>
      <c r="I109" s="174"/>
      <c r="J109" s="218"/>
      <c r="K109" s="173"/>
      <c r="L109" s="173"/>
      <c r="M109" s="176"/>
      <c r="N109" s="175"/>
    </row>
    <row r="110" spans="2:14" x14ac:dyDescent="0.25">
      <c r="B110" s="205"/>
      <c r="C110" s="170"/>
      <c r="D110" s="171"/>
      <c r="E110" s="172"/>
      <c r="F110" s="227"/>
      <c r="G110" s="218"/>
      <c r="H110" s="234"/>
      <c r="I110" s="174"/>
      <c r="J110" s="218"/>
      <c r="K110" s="173"/>
      <c r="L110" s="173"/>
      <c r="M110" s="176"/>
      <c r="N110" s="175"/>
    </row>
    <row r="111" spans="2:14" x14ac:dyDescent="0.25">
      <c r="B111" s="205"/>
      <c r="C111" s="170"/>
      <c r="D111" s="171"/>
      <c r="E111" s="172"/>
      <c r="F111" s="227"/>
      <c r="G111" s="218"/>
      <c r="H111" s="234"/>
      <c r="I111" s="174"/>
      <c r="J111" s="218"/>
      <c r="K111" s="173"/>
      <c r="L111" s="173"/>
      <c r="M111" s="176"/>
      <c r="N111" s="175"/>
    </row>
    <row r="112" spans="2:14" x14ac:dyDescent="0.25">
      <c r="B112" s="205"/>
      <c r="C112" s="170"/>
      <c r="D112" s="171"/>
      <c r="E112" s="172"/>
      <c r="F112" s="227"/>
      <c r="G112" s="218"/>
      <c r="H112" s="234"/>
      <c r="I112" s="174"/>
      <c r="J112" s="218"/>
      <c r="K112" s="173"/>
      <c r="L112" s="173"/>
      <c r="M112" s="176"/>
      <c r="N112" s="175"/>
    </row>
    <row r="113" spans="2:14" x14ac:dyDescent="0.25">
      <c r="B113" s="205"/>
      <c r="C113" s="170"/>
      <c r="D113" s="171"/>
      <c r="E113" s="172"/>
      <c r="F113" s="227"/>
      <c r="G113" s="218"/>
      <c r="H113" s="234"/>
      <c r="I113" s="174"/>
      <c r="J113" s="218"/>
      <c r="K113" s="173"/>
      <c r="L113" s="173"/>
      <c r="M113" s="176"/>
      <c r="N113" s="175"/>
    </row>
    <row r="114" spans="2:14" x14ac:dyDescent="0.25">
      <c r="B114" s="205"/>
      <c r="C114" s="170"/>
      <c r="D114" s="171"/>
      <c r="E114" s="172"/>
      <c r="F114" s="227"/>
      <c r="G114" s="218"/>
      <c r="H114" s="234"/>
      <c r="I114" s="174"/>
      <c r="J114" s="218"/>
      <c r="K114" s="173"/>
      <c r="L114" s="173"/>
      <c r="M114" s="176"/>
      <c r="N114" s="175"/>
    </row>
    <row r="115" spans="2:14" x14ac:dyDescent="0.25">
      <c r="B115" s="205"/>
      <c r="C115" s="170"/>
      <c r="D115" s="171"/>
      <c r="E115" s="172"/>
      <c r="F115" s="227"/>
      <c r="G115" s="218"/>
      <c r="H115" s="234"/>
      <c r="I115" s="174"/>
      <c r="J115" s="218"/>
      <c r="K115" s="173"/>
      <c r="L115" s="173"/>
      <c r="M115" s="176"/>
      <c r="N115" s="175"/>
    </row>
    <row r="116" spans="2:14" x14ac:dyDescent="0.25">
      <c r="B116" s="206"/>
      <c r="C116" s="108"/>
      <c r="D116" s="108"/>
      <c r="E116" s="108"/>
      <c r="F116" s="228"/>
      <c r="G116" s="219"/>
      <c r="H116" s="234"/>
      <c r="I116" s="109"/>
      <c r="J116" s="219"/>
      <c r="K116" s="110"/>
      <c r="M116" s="111"/>
      <c r="N116" s="112"/>
    </row>
    <row r="117" spans="2:14" x14ac:dyDescent="0.25">
      <c r="B117" s="206"/>
      <c r="C117" s="108"/>
      <c r="D117" s="108"/>
      <c r="E117" s="108"/>
      <c r="F117" s="228"/>
      <c r="G117" s="219"/>
      <c r="H117" s="234"/>
      <c r="I117" s="109"/>
      <c r="J117" s="219"/>
      <c r="K117" s="110"/>
      <c r="M117" s="111"/>
      <c r="N117" s="112"/>
    </row>
    <row r="118" spans="2:14" x14ac:dyDescent="0.25">
      <c r="B118" s="206"/>
      <c r="C118" s="108"/>
      <c r="D118" s="108"/>
      <c r="E118" s="108"/>
      <c r="F118" s="228"/>
      <c r="G118" s="219"/>
      <c r="H118" s="234"/>
      <c r="I118" s="109"/>
      <c r="J118" s="219"/>
      <c r="K118" s="110"/>
      <c r="M118" s="111"/>
      <c r="N118" s="112"/>
    </row>
    <row r="119" spans="2:14" x14ac:dyDescent="0.25"/>
    <row r="120" spans="2:14" x14ac:dyDescent="0.25"/>
    <row r="121" spans="2:14" x14ac:dyDescent="0.25"/>
    <row r="122" spans="2:14" x14ac:dyDescent="0.25"/>
    <row r="123" spans="2:14" x14ac:dyDescent="0.25"/>
    <row r="124" spans="2:14" x14ac:dyDescent="0.25"/>
    <row r="125" spans="2:14" x14ac:dyDescent="0.25"/>
    <row r="126" spans="2:14" x14ac:dyDescent="0.25"/>
    <row r="127" spans="2:14" x14ac:dyDescent="0.25"/>
    <row r="128" spans="2:14"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sheetData>
  <sheetProtection formatColumns="0" formatRows="0" selectLockedCells="1" autoFilter="0" pivotTables="0"/>
  <protectedRanges>
    <protectedRange sqref="M25:M26" name="Milestones"/>
    <protectedRange sqref="B1:B8 V6 D3:D8 H4 F4" name="Header"/>
    <protectedRange sqref="N25:N26 M27:N115 I25:I115 C25:F115 R41:R42" name="Planning"/>
    <protectedRange sqref="D1:D2" name="Header_1"/>
  </protectedRanges>
  <mergeCells count="32">
    <mergeCell ref="L11:N11"/>
    <mergeCell ref="F11:H11"/>
    <mergeCell ref="I11:K11"/>
    <mergeCell ref="B11:B12"/>
    <mergeCell ref="C11:C12"/>
    <mergeCell ref="D11:D12"/>
    <mergeCell ref="E11:E12"/>
    <mergeCell ref="P9:V9"/>
    <mergeCell ref="P6:U6"/>
    <mergeCell ref="V6:X6"/>
    <mergeCell ref="BM9:BS9"/>
    <mergeCell ref="D7:I7"/>
    <mergeCell ref="P10:V10"/>
    <mergeCell ref="W10:AC10"/>
    <mergeCell ref="AD10:AJ10"/>
    <mergeCell ref="AK10:AQ10"/>
    <mergeCell ref="AR10:AX10"/>
    <mergeCell ref="AY10:BE10"/>
    <mergeCell ref="BF10:BL10"/>
    <mergeCell ref="BM10:BS10"/>
    <mergeCell ref="W9:AC9"/>
    <mergeCell ref="AD9:AJ9"/>
    <mergeCell ref="AK9:AQ9"/>
    <mergeCell ref="AR9:AX9"/>
    <mergeCell ref="AY9:BE9"/>
    <mergeCell ref="BF9:BL9"/>
    <mergeCell ref="B1:C2"/>
    <mergeCell ref="D5:I5"/>
    <mergeCell ref="D6:I6"/>
    <mergeCell ref="D4:I4"/>
    <mergeCell ref="D1:N1"/>
    <mergeCell ref="D2:N2"/>
  </mergeCells>
  <conditionalFormatting sqref="P11:BS12">
    <cfRule type="expression" dxfId="14" priority="51">
      <formula>P$11=TODAY()</formula>
    </cfRule>
  </conditionalFormatting>
  <conditionalFormatting sqref="P14:BS300">
    <cfRule type="expression" dxfId="13" priority="23">
      <formula>AND($B13&lt;&gt;"",$B14&lt;&gt;"")</formula>
    </cfRule>
  </conditionalFormatting>
  <conditionalFormatting sqref="B13:BS300">
    <cfRule type="expression" dxfId="12" priority="22">
      <formula>AND($B14="",$B13&lt;&gt;"")</formula>
    </cfRule>
  </conditionalFormatting>
  <conditionalFormatting sqref="N13:N300">
    <cfRule type="dataBar" priority="17">
      <dataBar>
        <cfvo type="min"/>
        <cfvo type="max"/>
        <color rgb="FF638EC6"/>
      </dataBar>
      <extLst>
        <ext xmlns:x14="http://schemas.microsoft.com/office/spreadsheetml/2009/9/main" uri="{B025F937-C7B1-47D3-B67F-A62EFF666E3E}">
          <x14:id>{5A070A4B-628E-4DFB-8F5F-FF9174D796FE}</x14:id>
        </ext>
      </extLst>
    </cfRule>
  </conditionalFormatting>
  <conditionalFormatting sqref="BS13:BS300 K13:K300">
    <cfRule type="expression" dxfId="11" priority="6">
      <formula>NOT(ISBLANK($B13))</formula>
    </cfRule>
  </conditionalFormatting>
  <conditionalFormatting sqref="O13:O300 C13:C300 D13:D300">
    <cfRule type="expression" dxfId="10" priority="5">
      <formula>NOT(ISBLANK($B13))</formula>
    </cfRule>
  </conditionalFormatting>
  <conditionalFormatting sqref="P24:BS26 P27:W27 Y27:Z27 AD27:BS27 AB27">
    <cfRule type="expression" dxfId="9" priority="54">
      <formula>AND(NOT(ISBLANK($I25)),$I25&lt;=P$11,$J25&gt;=P$11)</formula>
    </cfRule>
  </conditionalFormatting>
  <conditionalFormatting sqref="P16:BS16">
    <cfRule type="expression" dxfId="8" priority="61">
      <formula>AND($B15&lt;&gt;"",$B17&lt;&gt;"")</formula>
    </cfRule>
  </conditionalFormatting>
  <conditionalFormatting sqref="B13:N300">
    <cfRule type="expression" dxfId="7" priority="8">
      <formula>LEN($B13)-LEN(SUBSTITUTE($B13,".",""))=1</formula>
    </cfRule>
    <cfRule type="expression" dxfId="6" priority="9">
      <formula>LEN($B13)-LEN(SUBSTITUTE($B13,".",""))=2</formula>
    </cfRule>
    <cfRule type="expression" dxfId="5" priority="10">
      <formula>AND(LEN($B13)-LEN(SUBSTITUTE($B13,".",""))=0,NOT(ISBLANK($B13)))</formula>
    </cfRule>
  </conditionalFormatting>
  <conditionalFormatting sqref="P13:BS300">
    <cfRule type="expression" dxfId="4" priority="3">
      <formula>AND(P$11&gt;=$F13,P$11&lt;=$H13,P$11&gt;=$I13,P$11&lt;=$K13,$I13&lt;&gt;"",$H13&lt;&gt;"")</formula>
    </cfRule>
    <cfRule type="expression" dxfId="3" priority="21">
      <formula>AND(P$11&gt;=$F13,P$11&lt;=$H13,$F13&lt;&gt;"",$H13&lt;&gt;"")</formula>
    </cfRule>
    <cfRule type="expression" dxfId="2" priority="37">
      <formula>AND(P$11=TODAY(),$B13&lt;&gt;"")</formula>
    </cfRule>
  </conditionalFormatting>
  <conditionalFormatting sqref="H13:H300">
    <cfRule type="expression" dxfId="1" priority="2">
      <formula>NOT(ISBLANK($B13))</formula>
    </cfRule>
  </conditionalFormatting>
  <conditionalFormatting sqref="F13:F300">
    <cfRule type="expression" dxfId="0" priority="1">
      <formula>NOT(ISBLANK($B13))</formula>
    </cfRule>
  </conditionalFormatting>
  <dataValidations count="1">
    <dataValidation allowBlank="1" showInputMessage="1" promptTitle="Display Week" prompt="Enter the week number to display first in the Gantt Chart. The weeks are numbered starting from the week containing the Project Start Date." sqref="V6" xr:uid="{4A7A2FDE-6A00-4032-A0B4-3350A9CCA3D4}"/>
  </dataValidations>
  <pageMargins left="0.25" right="0.25" top="0.5" bottom="0.5" header="0.5" footer="0.25"/>
  <pageSetup scale="4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roll Bar 1">
              <controlPr defaultSize="0" print="0" autoPict="0">
                <anchor moveWithCells="1">
                  <from>
                    <xdr:col>15</xdr:col>
                    <xdr:colOff>0</xdr:colOff>
                    <xdr:row>6</xdr:row>
                    <xdr:rowOff>68580</xdr:rowOff>
                  </from>
                  <to>
                    <xdr:col>34</xdr:col>
                    <xdr:colOff>38100</xdr:colOff>
                    <xdr:row>7</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A070A4B-628E-4DFB-8F5F-FF9174D796FE}">
            <x14:dataBar minLength="0" maxLength="100" border="1" negativeBarBorderColorSameAsPositive="0">
              <x14:cfvo type="autoMin"/>
              <x14:cfvo type="autoMax"/>
              <x14:borderColor rgb="FF638EC6"/>
              <x14:negativeFillColor rgb="FFFF0000"/>
              <x14:negativeBorderColor rgb="FFFF0000"/>
              <x14:axisColor rgb="FF000000"/>
            </x14:dataBar>
          </x14:cfRule>
          <xm:sqref>N13:N300</xm:sqref>
        </x14:conditionalFormatting>
      </x14:conditionalFormattings>
    </ext>
    <ext xmlns:x14="http://schemas.microsoft.com/office/spreadsheetml/2009/9/main" uri="{CCE6A557-97BC-4b89-ADB6-D9C93CAAB3DF}">
      <x14:dataValidations xmlns:xm="http://schemas.microsoft.com/office/excel/2006/main" count="1">
        <x14:dataValidation type="list" showInputMessage="1" showErrorMessage="1" xr:uid="{5E522F0C-CBC4-4519-BEFC-7D0BC07508B3}">
          <x14:formula1>
            <xm:f>'Project Data'!$V$3:$V$6</xm:f>
          </x14:formula1>
          <xm:sqref>M13:M16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FE625-F245-4BA2-9BFF-BC5635FB4891}">
  <sheetPr codeName="Sheet12"/>
  <dimension ref="A1:P569"/>
  <sheetViews>
    <sheetView workbookViewId="0">
      <selection activeCell="A2" sqref="A2"/>
    </sheetView>
  </sheetViews>
  <sheetFormatPr defaultRowHeight="14.4" x14ac:dyDescent="0.3"/>
  <cols>
    <col min="1" max="1" width="7.44140625" customWidth="1"/>
    <col min="2" max="2" width="11.109375" customWidth="1"/>
    <col min="3" max="3" width="16.44140625" customWidth="1"/>
    <col min="8" max="8" width="16.21875" customWidth="1"/>
    <col min="13" max="13" width="7.5546875" bestFit="1" customWidth="1"/>
    <col min="14" max="14" width="6.88671875" bestFit="1" customWidth="1"/>
    <col min="15" max="15" width="7.77734375" bestFit="1" customWidth="1"/>
    <col min="16" max="16" width="15.6640625" customWidth="1"/>
  </cols>
  <sheetData>
    <row r="1" spans="1:16" x14ac:dyDescent="0.3">
      <c r="A1" s="333" t="s">
        <v>43</v>
      </c>
      <c r="B1" s="334" t="s">
        <v>44</v>
      </c>
      <c r="C1" s="335" t="s">
        <v>251</v>
      </c>
      <c r="D1" s="334" t="s">
        <v>377</v>
      </c>
      <c r="E1" s="334" t="s">
        <v>378</v>
      </c>
      <c r="F1" s="334" t="s">
        <v>254</v>
      </c>
      <c r="G1" s="336" t="s">
        <v>45</v>
      </c>
      <c r="H1" s="336" t="s">
        <v>46</v>
      </c>
      <c r="I1" s="336" t="s">
        <v>232</v>
      </c>
      <c r="J1" s="337" t="s">
        <v>47</v>
      </c>
      <c r="K1" s="337" t="s">
        <v>48</v>
      </c>
      <c r="L1" s="336" t="s">
        <v>49</v>
      </c>
      <c r="M1" s="336" t="s">
        <v>6</v>
      </c>
      <c r="N1" s="338" t="s">
        <v>250</v>
      </c>
      <c r="O1" s="339" t="s">
        <v>50</v>
      </c>
      <c r="P1" s="340" t="s">
        <v>51</v>
      </c>
    </row>
    <row r="2" spans="1:16" x14ac:dyDescent="0.3">
      <c r="A2">
        <f>IF(ISBLANK('Work Package'!B13),"",'Work Package'!B13)</f>
        <v>1</v>
      </c>
    </row>
    <row r="3" spans="1:16" x14ac:dyDescent="0.3">
      <c r="A3">
        <f>IF(ISBLANK('Work Package'!B14),"",'Work Package'!B14)</f>
        <v>1.1000000000000001</v>
      </c>
    </row>
    <row r="4" spans="1:16" x14ac:dyDescent="0.3">
      <c r="A4" t="str">
        <f>IF(ISBLANK('Work Package'!B15),"",'Work Package'!B15)</f>
        <v>1.1.1</v>
      </c>
    </row>
    <row r="5" spans="1:16" x14ac:dyDescent="0.3">
      <c r="A5">
        <f>IF(ISBLANK('Work Package'!B16),"",'Work Package'!B16)</f>
        <v>1.2</v>
      </c>
    </row>
    <row r="6" spans="1:16" x14ac:dyDescent="0.3">
      <c r="A6">
        <f>IF(ISBLANK('Work Package'!B17),"",'Work Package'!B17)</f>
        <v>1.1000000000000001</v>
      </c>
    </row>
    <row r="7" spans="1:16" x14ac:dyDescent="0.3">
      <c r="A7">
        <f>IF(ISBLANK('Work Package'!B18),"",'Work Package'!B18)</f>
        <v>2</v>
      </c>
    </row>
    <row r="8" spans="1:16" x14ac:dyDescent="0.3">
      <c r="A8" t="str">
        <f>IF(ISBLANK('Work Package'!B19),"",'Work Package'!B19)</f>
        <v/>
      </c>
    </row>
    <row r="9" spans="1:16" x14ac:dyDescent="0.3">
      <c r="A9" t="str">
        <f>IF(ISBLANK('Work Package'!B20),"",'Work Package'!B20)</f>
        <v/>
      </c>
    </row>
    <row r="10" spans="1:16" x14ac:dyDescent="0.3">
      <c r="A10" t="str">
        <f>IF(ISBLANK('Work Package'!B21),"",'Work Package'!B21)</f>
        <v/>
      </c>
    </row>
    <row r="11" spans="1:16" x14ac:dyDescent="0.3">
      <c r="A11" t="str">
        <f>IF(ISBLANK('Work Package'!B22),"",'Work Package'!B22)</f>
        <v/>
      </c>
    </row>
    <row r="12" spans="1:16" x14ac:dyDescent="0.3">
      <c r="A12" t="str">
        <f>IF(ISBLANK('Work Package'!B23),"",'Work Package'!B23)</f>
        <v/>
      </c>
    </row>
    <row r="13" spans="1:16" x14ac:dyDescent="0.3">
      <c r="A13" t="str">
        <f>IF(ISBLANK('Work Package'!B24),"",'Work Package'!B24)</f>
        <v/>
      </c>
    </row>
    <row r="14" spans="1:16" x14ac:dyDescent="0.3">
      <c r="A14" t="str">
        <f>IF(ISBLANK('Work Package'!B25),"",'Work Package'!B25)</f>
        <v/>
      </c>
    </row>
    <row r="15" spans="1:16" x14ac:dyDescent="0.3">
      <c r="A15" t="str">
        <f>IF(ISBLANK('Work Package'!B26),"",'Work Package'!B26)</f>
        <v/>
      </c>
    </row>
    <row r="16" spans="1:16" x14ac:dyDescent="0.3">
      <c r="A16" t="str">
        <f>IF(ISBLANK('Work Package'!B27),"",'Work Package'!B27)</f>
        <v/>
      </c>
    </row>
    <row r="17" spans="1:1" x14ac:dyDescent="0.3">
      <c r="A17" t="str">
        <f>IF(ISBLANK('Work Package'!B28),"",'Work Package'!B28)</f>
        <v/>
      </c>
    </row>
    <row r="18" spans="1:1" x14ac:dyDescent="0.3">
      <c r="A18" t="str">
        <f>IF(ISBLANK('Work Package'!B29),"",'Work Package'!B29)</f>
        <v/>
      </c>
    </row>
    <row r="19" spans="1:1" x14ac:dyDescent="0.3">
      <c r="A19" t="str">
        <f>IF(ISBLANK('Work Package'!B30),"",'Work Package'!B30)</f>
        <v/>
      </c>
    </row>
    <row r="20" spans="1:1" x14ac:dyDescent="0.3">
      <c r="A20" t="str">
        <f>IF(ISBLANK('Work Package'!B31),"",'Work Package'!B31)</f>
        <v/>
      </c>
    </row>
    <row r="21" spans="1:1" x14ac:dyDescent="0.3">
      <c r="A21" t="str">
        <f>IF(ISBLANK('Work Package'!B32),"",'Work Package'!B32)</f>
        <v/>
      </c>
    </row>
    <row r="22" spans="1:1" x14ac:dyDescent="0.3">
      <c r="A22" t="str">
        <f>IF(ISBLANK('Work Package'!B33),"",'Work Package'!B33)</f>
        <v/>
      </c>
    </row>
    <row r="23" spans="1:1" x14ac:dyDescent="0.3">
      <c r="A23" t="str">
        <f>IF(ISBLANK('Work Package'!B34),"",'Work Package'!B34)</f>
        <v/>
      </c>
    </row>
    <row r="24" spans="1:1" x14ac:dyDescent="0.3">
      <c r="A24" t="str">
        <f>IF(ISBLANK('Work Package'!B35),"",'Work Package'!B35)</f>
        <v/>
      </c>
    </row>
    <row r="25" spans="1:1" x14ac:dyDescent="0.3">
      <c r="A25" t="str">
        <f>IF(ISBLANK('Work Package'!B36),"",'Work Package'!B36)</f>
        <v/>
      </c>
    </row>
    <row r="26" spans="1:1" x14ac:dyDescent="0.3">
      <c r="A26" t="str">
        <f>IF(ISBLANK('Work Package'!B37),"",'Work Package'!B37)</f>
        <v/>
      </c>
    </row>
    <row r="27" spans="1:1" x14ac:dyDescent="0.3">
      <c r="A27" t="str">
        <f>IF(ISBLANK('Work Package'!B38),"",'Work Package'!B38)</f>
        <v/>
      </c>
    </row>
    <row r="28" spans="1:1" x14ac:dyDescent="0.3">
      <c r="A28" t="str">
        <f>IF(ISBLANK('Work Package'!B39),"",'Work Package'!B39)</f>
        <v/>
      </c>
    </row>
    <row r="29" spans="1:1" x14ac:dyDescent="0.3">
      <c r="A29" t="str">
        <f>IF(ISBLANK('Work Package'!B40),"",'Work Package'!B40)</f>
        <v/>
      </c>
    </row>
    <row r="30" spans="1:1" x14ac:dyDescent="0.3">
      <c r="A30" t="str">
        <f>IF(ISBLANK('Work Package'!B41),"",'Work Package'!B41)</f>
        <v/>
      </c>
    </row>
    <row r="31" spans="1:1" x14ac:dyDescent="0.3">
      <c r="A31" t="str">
        <f>IF(ISBLANK('Work Package'!B42),"",'Work Package'!B42)</f>
        <v/>
      </c>
    </row>
    <row r="32" spans="1:1" x14ac:dyDescent="0.3">
      <c r="A32" t="str">
        <f>IF(ISBLANK('Work Package'!B43),"",'Work Package'!B43)</f>
        <v/>
      </c>
    </row>
    <row r="33" spans="1:1" x14ac:dyDescent="0.3">
      <c r="A33" t="str">
        <f>IF(ISBLANK('Work Package'!B44),"",'Work Package'!B44)</f>
        <v/>
      </c>
    </row>
    <row r="34" spans="1:1" x14ac:dyDescent="0.3">
      <c r="A34" t="str">
        <f>IF(ISBLANK('Work Package'!B45),"",'Work Package'!B45)</f>
        <v/>
      </c>
    </row>
    <row r="35" spans="1:1" x14ac:dyDescent="0.3">
      <c r="A35" t="str">
        <f>IF(ISBLANK('Work Package'!B46),"",'Work Package'!B46)</f>
        <v/>
      </c>
    </row>
    <row r="36" spans="1:1" x14ac:dyDescent="0.3">
      <c r="A36" t="str">
        <f>IF(ISBLANK('Work Package'!B47),"",'Work Package'!B47)</f>
        <v/>
      </c>
    </row>
    <row r="37" spans="1:1" x14ac:dyDescent="0.3">
      <c r="A37" t="str">
        <f>IF(ISBLANK('Work Package'!B48),"",'Work Package'!B48)</f>
        <v/>
      </c>
    </row>
    <row r="38" spans="1:1" x14ac:dyDescent="0.3">
      <c r="A38" t="str">
        <f>IF(ISBLANK('Work Package'!B49),"",'Work Package'!B49)</f>
        <v/>
      </c>
    </row>
    <row r="39" spans="1:1" x14ac:dyDescent="0.3">
      <c r="A39" t="str">
        <f>IF(ISBLANK('Work Package'!B50),"",'Work Package'!B50)</f>
        <v/>
      </c>
    </row>
    <row r="40" spans="1:1" x14ac:dyDescent="0.3">
      <c r="A40" t="str">
        <f>IF(ISBLANK('Work Package'!B51),"",'Work Package'!B51)</f>
        <v/>
      </c>
    </row>
    <row r="41" spans="1:1" x14ac:dyDescent="0.3">
      <c r="A41" t="str">
        <f>IF(ISBLANK('Work Package'!B52),"",'Work Package'!B52)</f>
        <v/>
      </c>
    </row>
    <row r="42" spans="1:1" x14ac:dyDescent="0.3">
      <c r="A42" t="str">
        <f>IF(ISBLANK('Work Package'!B53),"",'Work Package'!B53)</f>
        <v/>
      </c>
    </row>
    <row r="43" spans="1:1" x14ac:dyDescent="0.3">
      <c r="A43" t="str">
        <f>IF(ISBLANK('Work Package'!B54),"",'Work Package'!B54)</f>
        <v/>
      </c>
    </row>
    <row r="44" spans="1:1" x14ac:dyDescent="0.3">
      <c r="A44" t="str">
        <f>IF(ISBLANK('Work Package'!B55),"",'Work Package'!B55)</f>
        <v/>
      </c>
    </row>
    <row r="45" spans="1:1" x14ac:dyDescent="0.3">
      <c r="A45" t="str">
        <f>IF(ISBLANK('Work Package'!B56),"",'Work Package'!B56)</f>
        <v/>
      </c>
    </row>
    <row r="46" spans="1:1" x14ac:dyDescent="0.3">
      <c r="A46" t="str">
        <f>IF(ISBLANK('Work Package'!B57),"",'Work Package'!B57)</f>
        <v/>
      </c>
    </row>
    <row r="47" spans="1:1" x14ac:dyDescent="0.3">
      <c r="A47" t="str">
        <f>IF(ISBLANK('Work Package'!B58),"",'Work Package'!B58)</f>
        <v/>
      </c>
    </row>
    <row r="48" spans="1:1" x14ac:dyDescent="0.3">
      <c r="A48" t="str">
        <f>IF(ISBLANK('Work Package'!B59),"",'Work Package'!B59)</f>
        <v/>
      </c>
    </row>
    <row r="49" spans="1:1" x14ac:dyDescent="0.3">
      <c r="A49" t="str">
        <f>IF(ISBLANK('Work Package'!B60),"",'Work Package'!B60)</f>
        <v/>
      </c>
    </row>
    <row r="50" spans="1:1" x14ac:dyDescent="0.3">
      <c r="A50" t="str">
        <f>IF(ISBLANK('Work Package'!B61),"",'Work Package'!B61)</f>
        <v/>
      </c>
    </row>
    <row r="51" spans="1:1" x14ac:dyDescent="0.3">
      <c r="A51" t="str">
        <f>IF(ISBLANK('Work Package'!B62),"",'Work Package'!B62)</f>
        <v/>
      </c>
    </row>
    <row r="52" spans="1:1" x14ac:dyDescent="0.3">
      <c r="A52" t="str">
        <f>IF(ISBLANK('Work Package'!B63),"",'Work Package'!B63)</f>
        <v/>
      </c>
    </row>
    <row r="53" spans="1:1" x14ac:dyDescent="0.3">
      <c r="A53" t="str">
        <f>IF(ISBLANK('Work Package'!B64),"",'Work Package'!B64)</f>
        <v/>
      </c>
    </row>
    <row r="54" spans="1:1" x14ac:dyDescent="0.3">
      <c r="A54" t="str">
        <f>IF(ISBLANK('Work Package'!B65),"",'Work Package'!B65)</f>
        <v/>
      </c>
    </row>
    <row r="55" spans="1:1" x14ac:dyDescent="0.3">
      <c r="A55" t="str">
        <f>IF(ISBLANK('Work Package'!B66),"",'Work Package'!B66)</f>
        <v/>
      </c>
    </row>
    <row r="56" spans="1:1" x14ac:dyDescent="0.3">
      <c r="A56" t="str">
        <f>IF(ISBLANK('Work Package'!B67),"",'Work Package'!B67)</f>
        <v/>
      </c>
    </row>
    <row r="57" spans="1:1" x14ac:dyDescent="0.3">
      <c r="A57" t="str">
        <f>IF(ISBLANK('Work Package'!B68),"",'Work Package'!B68)</f>
        <v/>
      </c>
    </row>
    <row r="58" spans="1:1" x14ac:dyDescent="0.3">
      <c r="A58" t="str">
        <f>IF(ISBLANK('Work Package'!B69),"",'Work Package'!B69)</f>
        <v/>
      </c>
    </row>
    <row r="59" spans="1:1" x14ac:dyDescent="0.3">
      <c r="A59" t="str">
        <f>IF(ISBLANK('Work Package'!B70),"",'Work Package'!B70)</f>
        <v/>
      </c>
    </row>
    <row r="60" spans="1:1" x14ac:dyDescent="0.3">
      <c r="A60" t="str">
        <f>IF(ISBLANK('Work Package'!B71),"",'Work Package'!B71)</f>
        <v/>
      </c>
    </row>
    <row r="61" spans="1:1" x14ac:dyDescent="0.3">
      <c r="A61" t="str">
        <f>IF(ISBLANK('Work Package'!B72),"",'Work Package'!B72)</f>
        <v/>
      </c>
    </row>
    <row r="62" spans="1:1" x14ac:dyDescent="0.3">
      <c r="A62" t="str">
        <f>IF(ISBLANK('Work Package'!B73),"",'Work Package'!B73)</f>
        <v/>
      </c>
    </row>
    <row r="63" spans="1:1" x14ac:dyDescent="0.3">
      <c r="A63" t="str">
        <f>IF(ISBLANK('Work Package'!B74),"",'Work Package'!B74)</f>
        <v/>
      </c>
    </row>
    <row r="64" spans="1:1" x14ac:dyDescent="0.3">
      <c r="A64" t="str">
        <f>IF(ISBLANK('Work Package'!B75),"",'Work Package'!B75)</f>
        <v/>
      </c>
    </row>
    <row r="65" spans="1:1" x14ac:dyDescent="0.3">
      <c r="A65" t="str">
        <f>IF(ISBLANK('Work Package'!B76),"",'Work Package'!B76)</f>
        <v/>
      </c>
    </row>
    <row r="66" spans="1:1" x14ac:dyDescent="0.3">
      <c r="A66" t="str">
        <f>IF(ISBLANK('Work Package'!B77),"",'Work Package'!B77)</f>
        <v/>
      </c>
    </row>
    <row r="67" spans="1:1" x14ac:dyDescent="0.3">
      <c r="A67" t="str">
        <f>IF(ISBLANK('Work Package'!B78),"",'Work Package'!B78)</f>
        <v/>
      </c>
    </row>
    <row r="68" spans="1:1" x14ac:dyDescent="0.3">
      <c r="A68" t="str">
        <f>IF(ISBLANK('Work Package'!B79),"",'Work Package'!B79)</f>
        <v/>
      </c>
    </row>
    <row r="69" spans="1:1" x14ac:dyDescent="0.3">
      <c r="A69" t="str">
        <f>IF(ISBLANK('Work Package'!B80),"",'Work Package'!B80)</f>
        <v/>
      </c>
    </row>
    <row r="70" spans="1:1" x14ac:dyDescent="0.3">
      <c r="A70" t="str">
        <f>IF(ISBLANK('Work Package'!B81),"",'Work Package'!B81)</f>
        <v/>
      </c>
    </row>
    <row r="71" spans="1:1" x14ac:dyDescent="0.3">
      <c r="A71" t="str">
        <f>IF(ISBLANK('Work Package'!B82),"",'Work Package'!B82)</f>
        <v/>
      </c>
    </row>
    <row r="72" spans="1:1" x14ac:dyDescent="0.3">
      <c r="A72" t="str">
        <f>IF(ISBLANK('Work Package'!B83),"",'Work Package'!B83)</f>
        <v/>
      </c>
    </row>
    <row r="73" spans="1:1" x14ac:dyDescent="0.3">
      <c r="A73" t="str">
        <f>IF(ISBLANK('Work Package'!B84),"",'Work Package'!B84)</f>
        <v/>
      </c>
    </row>
    <row r="74" spans="1:1" x14ac:dyDescent="0.3">
      <c r="A74" t="str">
        <f>IF(ISBLANK('Work Package'!B85),"",'Work Package'!B85)</f>
        <v/>
      </c>
    </row>
    <row r="75" spans="1:1" x14ac:dyDescent="0.3">
      <c r="A75" t="str">
        <f>IF(ISBLANK('Work Package'!B86),"",'Work Package'!B86)</f>
        <v/>
      </c>
    </row>
    <row r="76" spans="1:1" x14ac:dyDescent="0.3">
      <c r="A76" t="str">
        <f>IF(ISBLANK('Work Package'!B87),"",'Work Package'!B87)</f>
        <v/>
      </c>
    </row>
    <row r="77" spans="1:1" x14ac:dyDescent="0.3">
      <c r="A77" t="str">
        <f>IF(ISBLANK('Work Package'!B88),"",'Work Package'!B88)</f>
        <v/>
      </c>
    </row>
    <row r="78" spans="1:1" x14ac:dyDescent="0.3">
      <c r="A78" t="str">
        <f>IF(ISBLANK('Work Package'!B89),"",'Work Package'!B89)</f>
        <v/>
      </c>
    </row>
    <row r="79" spans="1:1" x14ac:dyDescent="0.3">
      <c r="A79" t="str">
        <f>IF(ISBLANK('Work Package'!B90),"",'Work Package'!B90)</f>
        <v/>
      </c>
    </row>
    <row r="80" spans="1:1" x14ac:dyDescent="0.3">
      <c r="A80" t="str">
        <f>IF(ISBLANK('Work Package'!B91),"",'Work Package'!B91)</f>
        <v/>
      </c>
    </row>
    <row r="81" spans="1:1" x14ac:dyDescent="0.3">
      <c r="A81" t="str">
        <f>IF(ISBLANK('Work Package'!B92),"",'Work Package'!B92)</f>
        <v/>
      </c>
    </row>
    <row r="82" spans="1:1" x14ac:dyDescent="0.3">
      <c r="A82" t="str">
        <f>IF(ISBLANK('Work Package'!B93),"",'Work Package'!B93)</f>
        <v/>
      </c>
    </row>
    <row r="83" spans="1:1" x14ac:dyDescent="0.3">
      <c r="A83" t="str">
        <f>IF(ISBLANK('Work Package'!B94),"",'Work Package'!B94)</f>
        <v/>
      </c>
    </row>
    <row r="84" spans="1:1" x14ac:dyDescent="0.3">
      <c r="A84" t="str">
        <f>IF(ISBLANK('Work Package'!B95),"",'Work Package'!B95)</f>
        <v/>
      </c>
    </row>
    <row r="85" spans="1:1" x14ac:dyDescent="0.3">
      <c r="A85" t="str">
        <f>IF(ISBLANK('Work Package'!B96),"",'Work Package'!B96)</f>
        <v/>
      </c>
    </row>
    <row r="86" spans="1:1" x14ac:dyDescent="0.3">
      <c r="A86" t="str">
        <f>IF(ISBLANK('Work Package'!B97),"",'Work Package'!B97)</f>
        <v/>
      </c>
    </row>
    <row r="87" spans="1:1" x14ac:dyDescent="0.3">
      <c r="A87" t="str">
        <f>IF(ISBLANK('Work Package'!B98),"",'Work Package'!B98)</f>
        <v/>
      </c>
    </row>
    <row r="88" spans="1:1" x14ac:dyDescent="0.3">
      <c r="A88" t="str">
        <f>IF(ISBLANK('Work Package'!B99),"",'Work Package'!B99)</f>
        <v/>
      </c>
    </row>
    <row r="89" spans="1:1" x14ac:dyDescent="0.3">
      <c r="A89" t="str">
        <f>IF(ISBLANK('Work Package'!B100),"",'Work Package'!B100)</f>
        <v/>
      </c>
    </row>
    <row r="90" spans="1:1" x14ac:dyDescent="0.3">
      <c r="A90" t="str">
        <f>IF(ISBLANK('Work Package'!B101),"",'Work Package'!B101)</f>
        <v/>
      </c>
    </row>
    <row r="91" spans="1:1" x14ac:dyDescent="0.3">
      <c r="A91" t="str">
        <f>IF(ISBLANK('Work Package'!B102),"",'Work Package'!B102)</f>
        <v/>
      </c>
    </row>
    <row r="92" spans="1:1" x14ac:dyDescent="0.3">
      <c r="A92" t="str">
        <f>IF(ISBLANK('Work Package'!B103),"",'Work Package'!B103)</f>
        <v/>
      </c>
    </row>
    <row r="93" spans="1:1" x14ac:dyDescent="0.3">
      <c r="A93" t="str">
        <f>IF(ISBLANK('Work Package'!B104),"",'Work Package'!B104)</f>
        <v/>
      </c>
    </row>
    <row r="94" spans="1:1" x14ac:dyDescent="0.3">
      <c r="A94" t="str">
        <f>IF(ISBLANK('Work Package'!B105),"",'Work Package'!B105)</f>
        <v/>
      </c>
    </row>
    <row r="95" spans="1:1" x14ac:dyDescent="0.3">
      <c r="A95" t="str">
        <f>IF(ISBLANK('Work Package'!B106),"",'Work Package'!B106)</f>
        <v/>
      </c>
    </row>
    <row r="96" spans="1:1" x14ac:dyDescent="0.3">
      <c r="A96" t="str">
        <f>IF(ISBLANK('Work Package'!B107),"",'Work Package'!B107)</f>
        <v/>
      </c>
    </row>
    <row r="97" spans="1:1" x14ac:dyDescent="0.3">
      <c r="A97" t="str">
        <f>IF(ISBLANK('Work Package'!B108),"",'Work Package'!B108)</f>
        <v/>
      </c>
    </row>
    <row r="98" spans="1:1" x14ac:dyDescent="0.3">
      <c r="A98" t="str">
        <f>IF(ISBLANK('Work Package'!B109),"",'Work Package'!B109)</f>
        <v/>
      </c>
    </row>
    <row r="99" spans="1:1" x14ac:dyDescent="0.3">
      <c r="A99" t="str">
        <f>IF(ISBLANK('Work Package'!B110),"",'Work Package'!B110)</f>
        <v/>
      </c>
    </row>
    <row r="100" spans="1:1" x14ac:dyDescent="0.3">
      <c r="A100" t="str">
        <f>IF(ISBLANK('Work Package'!B111),"",'Work Package'!B111)</f>
        <v/>
      </c>
    </row>
    <row r="101" spans="1:1" x14ac:dyDescent="0.3">
      <c r="A101" t="str">
        <f>IF(ISBLANK('Work Package'!B112),"",'Work Package'!B112)</f>
        <v/>
      </c>
    </row>
    <row r="102" spans="1:1" x14ac:dyDescent="0.3">
      <c r="A102" t="str">
        <f>IF(ISBLANK('Work Package'!B113),"",'Work Package'!B113)</f>
        <v/>
      </c>
    </row>
    <row r="103" spans="1:1" x14ac:dyDescent="0.3">
      <c r="A103" t="str">
        <f>IF(ISBLANK('Work Package'!B114),"",'Work Package'!B114)</f>
        <v/>
      </c>
    </row>
    <row r="104" spans="1:1" x14ac:dyDescent="0.3">
      <c r="A104" t="str">
        <f>IF(ISBLANK('Work Package'!B115),"",'Work Package'!B115)</f>
        <v/>
      </c>
    </row>
    <row r="105" spans="1:1" x14ac:dyDescent="0.3">
      <c r="A105" t="str">
        <f>IF(ISBLANK('Work Package'!B116),"",'Work Package'!B116)</f>
        <v/>
      </c>
    </row>
    <row r="106" spans="1:1" x14ac:dyDescent="0.3">
      <c r="A106" t="str">
        <f>IF(ISBLANK('Work Package'!B117),"",'Work Package'!B117)</f>
        <v/>
      </c>
    </row>
    <row r="107" spans="1:1" x14ac:dyDescent="0.3">
      <c r="A107" t="str">
        <f>IF(ISBLANK('Work Package'!B118),"",'Work Package'!B118)</f>
        <v/>
      </c>
    </row>
    <row r="108" spans="1:1" x14ac:dyDescent="0.3">
      <c r="A108" t="str">
        <f>IF(ISBLANK('Work Package'!B119),"",'Work Package'!B119)</f>
        <v/>
      </c>
    </row>
    <row r="109" spans="1:1" x14ac:dyDescent="0.3">
      <c r="A109" t="str">
        <f>IF(ISBLANK('Work Package'!B120),"",'Work Package'!B120)</f>
        <v/>
      </c>
    </row>
    <row r="110" spans="1:1" x14ac:dyDescent="0.3">
      <c r="A110" t="str">
        <f>IF(ISBLANK('Work Package'!B121),"",'Work Package'!B121)</f>
        <v/>
      </c>
    </row>
    <row r="111" spans="1:1" x14ac:dyDescent="0.3">
      <c r="A111" t="str">
        <f>IF(ISBLANK('Work Package'!B122),"",'Work Package'!B122)</f>
        <v/>
      </c>
    </row>
    <row r="112" spans="1:1" x14ac:dyDescent="0.3">
      <c r="A112" t="str">
        <f>IF(ISBLANK('Work Package'!B123),"",'Work Package'!B123)</f>
        <v/>
      </c>
    </row>
    <row r="113" spans="1:1" x14ac:dyDescent="0.3">
      <c r="A113" t="str">
        <f>IF(ISBLANK('Work Package'!B124),"",'Work Package'!B124)</f>
        <v/>
      </c>
    </row>
    <row r="114" spans="1:1" x14ac:dyDescent="0.3">
      <c r="A114" t="str">
        <f>IF(ISBLANK('Work Package'!B125),"",'Work Package'!B125)</f>
        <v/>
      </c>
    </row>
    <row r="115" spans="1:1" x14ac:dyDescent="0.3">
      <c r="A115" t="str">
        <f>IF(ISBLANK('Work Package'!B126),"",'Work Package'!B126)</f>
        <v/>
      </c>
    </row>
    <row r="116" spans="1:1" x14ac:dyDescent="0.3">
      <c r="A116" t="str">
        <f>IF(ISBLANK('Work Package'!B127),"",'Work Package'!B127)</f>
        <v/>
      </c>
    </row>
    <row r="117" spans="1:1" x14ac:dyDescent="0.3">
      <c r="A117" t="str">
        <f>IF(ISBLANK('Work Package'!B128),"",'Work Package'!B128)</f>
        <v/>
      </c>
    </row>
    <row r="118" spans="1:1" x14ac:dyDescent="0.3">
      <c r="A118" t="str">
        <f>IF(ISBLANK('Work Package'!B129),"",'Work Package'!B129)</f>
        <v/>
      </c>
    </row>
    <row r="119" spans="1:1" x14ac:dyDescent="0.3">
      <c r="A119" t="str">
        <f>IF(ISBLANK('Work Package'!B130),"",'Work Package'!B130)</f>
        <v/>
      </c>
    </row>
    <row r="120" spans="1:1" x14ac:dyDescent="0.3">
      <c r="A120" t="str">
        <f>IF(ISBLANK('Work Package'!B131),"",'Work Package'!B131)</f>
        <v/>
      </c>
    </row>
    <row r="121" spans="1:1" x14ac:dyDescent="0.3">
      <c r="A121" t="str">
        <f>IF(ISBLANK('Work Package'!B132),"",'Work Package'!B132)</f>
        <v/>
      </c>
    </row>
    <row r="122" spans="1:1" x14ac:dyDescent="0.3">
      <c r="A122" t="str">
        <f>IF(ISBLANK('Work Package'!B133),"",'Work Package'!B133)</f>
        <v/>
      </c>
    </row>
    <row r="123" spans="1:1" x14ac:dyDescent="0.3">
      <c r="A123" t="str">
        <f>IF(ISBLANK('Work Package'!B134),"",'Work Package'!B134)</f>
        <v/>
      </c>
    </row>
    <row r="124" spans="1:1" x14ac:dyDescent="0.3">
      <c r="A124" t="str">
        <f>IF(ISBLANK('Work Package'!B135),"",'Work Package'!B135)</f>
        <v/>
      </c>
    </row>
    <row r="125" spans="1:1" x14ac:dyDescent="0.3">
      <c r="A125" t="str">
        <f>IF(ISBLANK('Work Package'!B136),"",'Work Package'!B136)</f>
        <v/>
      </c>
    </row>
    <row r="126" spans="1:1" x14ac:dyDescent="0.3">
      <c r="A126" t="str">
        <f>IF(ISBLANK('Work Package'!B137),"",'Work Package'!B137)</f>
        <v/>
      </c>
    </row>
    <row r="127" spans="1:1" x14ac:dyDescent="0.3">
      <c r="A127" t="str">
        <f>IF(ISBLANK('Work Package'!B138),"",'Work Package'!B138)</f>
        <v/>
      </c>
    </row>
    <row r="128" spans="1:1" x14ac:dyDescent="0.3">
      <c r="A128" t="str">
        <f>IF(ISBLANK('Work Package'!B139),"",'Work Package'!B139)</f>
        <v/>
      </c>
    </row>
    <row r="129" spans="1:1" x14ac:dyDescent="0.3">
      <c r="A129" t="str">
        <f>IF(ISBLANK('Work Package'!B140),"",'Work Package'!B140)</f>
        <v/>
      </c>
    </row>
    <row r="130" spans="1:1" x14ac:dyDescent="0.3">
      <c r="A130" t="str">
        <f>IF(ISBLANK('Work Package'!B141),"",'Work Package'!B141)</f>
        <v/>
      </c>
    </row>
    <row r="131" spans="1:1" x14ac:dyDescent="0.3">
      <c r="A131" t="str">
        <f>IF(ISBLANK('Work Package'!B142),"",'Work Package'!B142)</f>
        <v/>
      </c>
    </row>
    <row r="132" spans="1:1" x14ac:dyDescent="0.3">
      <c r="A132" t="str">
        <f>IF(ISBLANK('Work Package'!B143),"",'Work Package'!B143)</f>
        <v/>
      </c>
    </row>
    <row r="133" spans="1:1" x14ac:dyDescent="0.3">
      <c r="A133" t="str">
        <f>IF(ISBLANK('Work Package'!B144),"",'Work Package'!B144)</f>
        <v/>
      </c>
    </row>
    <row r="134" spans="1:1" x14ac:dyDescent="0.3">
      <c r="A134" t="str">
        <f>IF(ISBLANK('Work Package'!B145),"",'Work Package'!B145)</f>
        <v/>
      </c>
    </row>
    <row r="135" spans="1:1" x14ac:dyDescent="0.3">
      <c r="A135" t="str">
        <f>IF(ISBLANK('Work Package'!B146),"",'Work Package'!B146)</f>
        <v/>
      </c>
    </row>
    <row r="136" spans="1:1" x14ac:dyDescent="0.3">
      <c r="A136" t="str">
        <f>IF(ISBLANK('Work Package'!B147),"",'Work Package'!B147)</f>
        <v/>
      </c>
    </row>
    <row r="137" spans="1:1" x14ac:dyDescent="0.3">
      <c r="A137" t="str">
        <f>IF(ISBLANK('Work Package'!B148),"",'Work Package'!B148)</f>
        <v/>
      </c>
    </row>
    <row r="138" spans="1:1" x14ac:dyDescent="0.3">
      <c r="A138" t="str">
        <f>IF(ISBLANK('Work Package'!B149),"",'Work Package'!B149)</f>
        <v/>
      </c>
    </row>
    <row r="139" spans="1:1" x14ac:dyDescent="0.3">
      <c r="A139" t="str">
        <f>IF(ISBLANK('Work Package'!B150),"",'Work Package'!B150)</f>
        <v/>
      </c>
    </row>
    <row r="140" spans="1:1" x14ac:dyDescent="0.3">
      <c r="A140" t="str">
        <f>IF(ISBLANK('Work Package'!B151),"",'Work Package'!B151)</f>
        <v/>
      </c>
    </row>
    <row r="141" spans="1:1" x14ac:dyDescent="0.3">
      <c r="A141" t="str">
        <f>IF(ISBLANK('Work Package'!B152),"",'Work Package'!B152)</f>
        <v/>
      </c>
    </row>
    <row r="142" spans="1:1" x14ac:dyDescent="0.3">
      <c r="A142" t="str">
        <f>IF(ISBLANK('Work Package'!B153),"",'Work Package'!B153)</f>
        <v/>
      </c>
    </row>
    <row r="143" spans="1:1" x14ac:dyDescent="0.3">
      <c r="A143" t="str">
        <f>IF(ISBLANK('Work Package'!B154),"",'Work Package'!B154)</f>
        <v/>
      </c>
    </row>
    <row r="144" spans="1:1" x14ac:dyDescent="0.3">
      <c r="A144" t="str">
        <f>IF(ISBLANK('Work Package'!B155),"",'Work Package'!B155)</f>
        <v/>
      </c>
    </row>
    <row r="145" spans="1:1" x14ac:dyDescent="0.3">
      <c r="A145" t="str">
        <f>IF(ISBLANK('Work Package'!B156),"",'Work Package'!B156)</f>
        <v/>
      </c>
    </row>
    <row r="146" spans="1:1" x14ac:dyDescent="0.3">
      <c r="A146" t="str">
        <f>IF(ISBLANK('Work Package'!B157),"",'Work Package'!B157)</f>
        <v/>
      </c>
    </row>
    <row r="147" spans="1:1" x14ac:dyDescent="0.3">
      <c r="A147" t="str">
        <f>IF(ISBLANK('Work Package'!B158),"",'Work Package'!B158)</f>
        <v/>
      </c>
    </row>
    <row r="148" spans="1:1" x14ac:dyDescent="0.3">
      <c r="A148" t="str">
        <f>IF(ISBLANK('Work Package'!B159),"",'Work Package'!B159)</f>
        <v/>
      </c>
    </row>
    <row r="149" spans="1:1" x14ac:dyDescent="0.3">
      <c r="A149" t="str">
        <f>IF(ISBLANK('Work Package'!B160),"",'Work Package'!B160)</f>
        <v/>
      </c>
    </row>
    <row r="150" spans="1:1" x14ac:dyDescent="0.3">
      <c r="A150" t="str">
        <f>IF(ISBLANK('Work Package'!B161),"",'Work Package'!B161)</f>
        <v/>
      </c>
    </row>
    <row r="151" spans="1:1" x14ac:dyDescent="0.3">
      <c r="A151" t="str">
        <f>IF(ISBLANK('Work Package'!B162),"",'Work Package'!B162)</f>
        <v/>
      </c>
    </row>
    <row r="152" spans="1:1" x14ac:dyDescent="0.3">
      <c r="A152" t="str">
        <f>IF(ISBLANK('Work Package'!B163),"",'Work Package'!B163)</f>
        <v/>
      </c>
    </row>
    <row r="153" spans="1:1" x14ac:dyDescent="0.3">
      <c r="A153" t="str">
        <f>IF(ISBLANK('Work Package'!B164),"",'Work Package'!B164)</f>
        <v/>
      </c>
    </row>
    <row r="154" spans="1:1" x14ac:dyDescent="0.3">
      <c r="A154" t="str">
        <f>IF(ISBLANK('Work Package'!B165),"",'Work Package'!B165)</f>
        <v/>
      </c>
    </row>
    <row r="155" spans="1:1" x14ac:dyDescent="0.3">
      <c r="A155" t="str">
        <f>IF(ISBLANK('Work Package'!B166),"",'Work Package'!B166)</f>
        <v/>
      </c>
    </row>
    <row r="156" spans="1:1" x14ac:dyDescent="0.3">
      <c r="A156" t="str">
        <f>IF(ISBLANK('Work Package'!B167),"",'Work Package'!B167)</f>
        <v/>
      </c>
    </row>
    <row r="157" spans="1:1" x14ac:dyDescent="0.3">
      <c r="A157" t="str">
        <f>IF(ISBLANK('Work Package'!B168),"",'Work Package'!B168)</f>
        <v/>
      </c>
    </row>
    <row r="158" spans="1:1" x14ac:dyDescent="0.3">
      <c r="A158" t="str">
        <f>IF(ISBLANK('Work Package'!B169),"",'Work Package'!B169)</f>
        <v/>
      </c>
    </row>
    <row r="159" spans="1:1" x14ac:dyDescent="0.3">
      <c r="A159" t="str">
        <f>IF(ISBLANK('Work Package'!B170),"",'Work Package'!B170)</f>
        <v/>
      </c>
    </row>
    <row r="160" spans="1:1" x14ac:dyDescent="0.3">
      <c r="A160" t="str">
        <f>IF(ISBLANK('Work Package'!B171),"",'Work Package'!B171)</f>
        <v/>
      </c>
    </row>
    <row r="161" spans="1:1" x14ac:dyDescent="0.3">
      <c r="A161" t="str">
        <f>IF(ISBLANK('Work Package'!B172),"",'Work Package'!B172)</f>
        <v/>
      </c>
    </row>
    <row r="162" spans="1:1" x14ac:dyDescent="0.3">
      <c r="A162" t="str">
        <f>IF(ISBLANK('Work Package'!B173),"",'Work Package'!B173)</f>
        <v/>
      </c>
    </row>
    <row r="163" spans="1:1" x14ac:dyDescent="0.3">
      <c r="A163" t="str">
        <f>IF(ISBLANK('Work Package'!B174),"",'Work Package'!B174)</f>
        <v/>
      </c>
    </row>
    <row r="164" spans="1:1" x14ac:dyDescent="0.3">
      <c r="A164" t="str">
        <f>IF(ISBLANK('Work Package'!B175),"",'Work Package'!B175)</f>
        <v/>
      </c>
    </row>
    <row r="165" spans="1:1" x14ac:dyDescent="0.3">
      <c r="A165" t="str">
        <f>IF(ISBLANK('Work Package'!B176),"",'Work Package'!B176)</f>
        <v/>
      </c>
    </row>
    <row r="166" spans="1:1" x14ac:dyDescent="0.3">
      <c r="A166" t="str">
        <f>IF(ISBLANK('Work Package'!B177),"",'Work Package'!B177)</f>
        <v/>
      </c>
    </row>
    <row r="167" spans="1:1" x14ac:dyDescent="0.3">
      <c r="A167" t="str">
        <f>IF(ISBLANK('Work Package'!B178),"",'Work Package'!B178)</f>
        <v/>
      </c>
    </row>
    <row r="168" spans="1:1" x14ac:dyDescent="0.3">
      <c r="A168" t="str">
        <f>IF(ISBLANK('Work Package'!B179),"",'Work Package'!B179)</f>
        <v/>
      </c>
    </row>
    <row r="169" spans="1:1" x14ac:dyDescent="0.3">
      <c r="A169" t="str">
        <f>IF(ISBLANK('Work Package'!B180),"",'Work Package'!B180)</f>
        <v/>
      </c>
    </row>
    <row r="170" spans="1:1" x14ac:dyDescent="0.3">
      <c r="A170" t="str">
        <f>IF(ISBLANK('Work Package'!B181),"",'Work Package'!B181)</f>
        <v/>
      </c>
    </row>
    <row r="171" spans="1:1" x14ac:dyDescent="0.3">
      <c r="A171" t="str">
        <f>IF(ISBLANK('Work Package'!B182),"",'Work Package'!B182)</f>
        <v/>
      </c>
    </row>
    <row r="172" spans="1:1" x14ac:dyDescent="0.3">
      <c r="A172" t="str">
        <f>IF(ISBLANK('Work Package'!B183),"",'Work Package'!B183)</f>
        <v/>
      </c>
    </row>
    <row r="173" spans="1:1" x14ac:dyDescent="0.3">
      <c r="A173" t="str">
        <f>IF(ISBLANK('Work Package'!B184),"",'Work Package'!B184)</f>
        <v/>
      </c>
    </row>
    <row r="174" spans="1:1" x14ac:dyDescent="0.3">
      <c r="A174" t="str">
        <f>IF(ISBLANK('Work Package'!B185),"",'Work Package'!B185)</f>
        <v/>
      </c>
    </row>
    <row r="175" spans="1:1" x14ac:dyDescent="0.3">
      <c r="A175" t="str">
        <f>IF(ISBLANK('Work Package'!B186),"",'Work Package'!B186)</f>
        <v/>
      </c>
    </row>
    <row r="176" spans="1:1" x14ac:dyDescent="0.3">
      <c r="A176" t="str">
        <f>IF(ISBLANK('Work Package'!B187),"",'Work Package'!B187)</f>
        <v/>
      </c>
    </row>
    <row r="177" spans="1:1" x14ac:dyDescent="0.3">
      <c r="A177" t="str">
        <f>IF(ISBLANK('Work Package'!B188),"",'Work Package'!B188)</f>
        <v/>
      </c>
    </row>
    <row r="178" spans="1:1" x14ac:dyDescent="0.3">
      <c r="A178" t="str">
        <f>IF(ISBLANK('Work Package'!B189),"",'Work Package'!B189)</f>
        <v/>
      </c>
    </row>
    <row r="179" spans="1:1" x14ac:dyDescent="0.3">
      <c r="A179" t="str">
        <f>IF(ISBLANK('Work Package'!B190),"",'Work Package'!B190)</f>
        <v/>
      </c>
    </row>
    <row r="180" spans="1:1" x14ac:dyDescent="0.3">
      <c r="A180" t="str">
        <f>IF(ISBLANK('Work Package'!B191),"",'Work Package'!B191)</f>
        <v/>
      </c>
    </row>
    <row r="181" spans="1:1" x14ac:dyDescent="0.3">
      <c r="A181" t="str">
        <f>IF(ISBLANK('Work Package'!B192),"",'Work Package'!B192)</f>
        <v/>
      </c>
    </row>
    <row r="182" spans="1:1" x14ac:dyDescent="0.3">
      <c r="A182" t="str">
        <f>IF(ISBLANK('Work Package'!B193),"",'Work Package'!B193)</f>
        <v/>
      </c>
    </row>
    <row r="183" spans="1:1" x14ac:dyDescent="0.3">
      <c r="A183" t="str">
        <f>IF(ISBLANK('Work Package'!B194),"",'Work Package'!B194)</f>
        <v/>
      </c>
    </row>
    <row r="184" spans="1:1" x14ac:dyDescent="0.3">
      <c r="A184" t="str">
        <f>IF(ISBLANK('Work Package'!B195),"",'Work Package'!B195)</f>
        <v/>
      </c>
    </row>
    <row r="185" spans="1:1" x14ac:dyDescent="0.3">
      <c r="A185" t="str">
        <f>IF(ISBLANK('Work Package'!B196),"",'Work Package'!B196)</f>
        <v/>
      </c>
    </row>
    <row r="186" spans="1:1" x14ac:dyDescent="0.3">
      <c r="A186" t="str">
        <f>IF(ISBLANK('Work Package'!B197),"",'Work Package'!B197)</f>
        <v/>
      </c>
    </row>
    <row r="187" spans="1:1" x14ac:dyDescent="0.3">
      <c r="A187" t="str">
        <f>IF(ISBLANK('Work Package'!B198),"",'Work Package'!B198)</f>
        <v/>
      </c>
    </row>
    <row r="188" spans="1:1" x14ac:dyDescent="0.3">
      <c r="A188" t="str">
        <f>IF(ISBLANK('Work Package'!B199),"",'Work Package'!B199)</f>
        <v/>
      </c>
    </row>
    <row r="189" spans="1:1" x14ac:dyDescent="0.3">
      <c r="A189" t="str">
        <f>IF(ISBLANK('Work Package'!B200),"",'Work Package'!B200)</f>
        <v/>
      </c>
    </row>
    <row r="190" spans="1:1" x14ac:dyDescent="0.3">
      <c r="A190" t="str">
        <f>IF(ISBLANK('Work Package'!B201),"",'Work Package'!B201)</f>
        <v/>
      </c>
    </row>
    <row r="191" spans="1:1" x14ac:dyDescent="0.3">
      <c r="A191" t="str">
        <f>IF(ISBLANK('Work Package'!B202),"",'Work Package'!B202)</f>
        <v/>
      </c>
    </row>
    <row r="192" spans="1:1" x14ac:dyDescent="0.3">
      <c r="A192" t="str">
        <f>IF(ISBLANK('Work Package'!B203),"",'Work Package'!B203)</f>
        <v/>
      </c>
    </row>
    <row r="193" spans="1:1" x14ac:dyDescent="0.3">
      <c r="A193" t="str">
        <f>IF(ISBLANK('Work Package'!B204),"",'Work Package'!B204)</f>
        <v/>
      </c>
    </row>
    <row r="194" spans="1:1" x14ac:dyDescent="0.3">
      <c r="A194" t="str">
        <f>IF(ISBLANK('Work Package'!B205),"",'Work Package'!B205)</f>
        <v/>
      </c>
    </row>
    <row r="195" spans="1:1" x14ac:dyDescent="0.3">
      <c r="A195" t="str">
        <f>IF(ISBLANK('Work Package'!B206),"",'Work Package'!B206)</f>
        <v/>
      </c>
    </row>
    <row r="196" spans="1:1" x14ac:dyDescent="0.3">
      <c r="A196" t="str">
        <f>IF(ISBLANK('Work Package'!B207),"",'Work Package'!B207)</f>
        <v/>
      </c>
    </row>
    <row r="197" spans="1:1" x14ac:dyDescent="0.3">
      <c r="A197" t="str">
        <f>IF(ISBLANK('Work Package'!B208),"",'Work Package'!B208)</f>
        <v/>
      </c>
    </row>
    <row r="198" spans="1:1" x14ac:dyDescent="0.3">
      <c r="A198" t="str">
        <f>IF(ISBLANK('Work Package'!B209),"",'Work Package'!B209)</f>
        <v/>
      </c>
    </row>
    <row r="199" spans="1:1" x14ac:dyDescent="0.3">
      <c r="A199" t="str">
        <f>IF(ISBLANK('Work Package'!B210),"",'Work Package'!B210)</f>
        <v/>
      </c>
    </row>
    <row r="200" spans="1:1" x14ac:dyDescent="0.3">
      <c r="A200" t="str">
        <f>IF(ISBLANK('Work Package'!B211),"",'Work Package'!B211)</f>
        <v/>
      </c>
    </row>
    <row r="201" spans="1:1" x14ac:dyDescent="0.3">
      <c r="A201" t="str">
        <f>IF(ISBLANK('Work Package'!B212),"",'Work Package'!B212)</f>
        <v/>
      </c>
    </row>
    <row r="202" spans="1:1" x14ac:dyDescent="0.3">
      <c r="A202" t="str">
        <f>IF(ISBLANK('Work Package'!B213),"",'Work Package'!B213)</f>
        <v/>
      </c>
    </row>
    <row r="203" spans="1:1" x14ac:dyDescent="0.3">
      <c r="A203" t="str">
        <f>IF(ISBLANK('Work Package'!B214),"",'Work Package'!B214)</f>
        <v/>
      </c>
    </row>
    <row r="204" spans="1:1" x14ac:dyDescent="0.3">
      <c r="A204" t="str">
        <f>IF(ISBLANK('Work Package'!B215),"",'Work Package'!B215)</f>
        <v/>
      </c>
    </row>
    <row r="205" spans="1:1" x14ac:dyDescent="0.3">
      <c r="A205" t="str">
        <f>IF(ISBLANK('Work Package'!B216),"",'Work Package'!B216)</f>
        <v/>
      </c>
    </row>
    <row r="206" spans="1:1" x14ac:dyDescent="0.3">
      <c r="A206" t="str">
        <f>IF(ISBLANK('Work Package'!B217),"",'Work Package'!B217)</f>
        <v/>
      </c>
    </row>
    <row r="207" spans="1:1" x14ac:dyDescent="0.3">
      <c r="A207" t="str">
        <f>IF(ISBLANK('Work Package'!B218),"",'Work Package'!B218)</f>
        <v/>
      </c>
    </row>
    <row r="208" spans="1:1" x14ac:dyDescent="0.3">
      <c r="A208" t="str">
        <f>IF(ISBLANK('Work Package'!B219),"",'Work Package'!B219)</f>
        <v/>
      </c>
    </row>
    <row r="209" spans="1:1" x14ac:dyDescent="0.3">
      <c r="A209" t="str">
        <f>IF(ISBLANK('Work Package'!B220),"",'Work Package'!B220)</f>
        <v/>
      </c>
    </row>
    <row r="210" spans="1:1" x14ac:dyDescent="0.3">
      <c r="A210" t="str">
        <f>IF(ISBLANK('Work Package'!B221),"",'Work Package'!B221)</f>
        <v/>
      </c>
    </row>
    <row r="211" spans="1:1" x14ac:dyDescent="0.3">
      <c r="A211" t="str">
        <f>IF(ISBLANK('Work Package'!B222),"",'Work Package'!B222)</f>
        <v/>
      </c>
    </row>
    <row r="212" spans="1:1" x14ac:dyDescent="0.3">
      <c r="A212" t="str">
        <f>IF(ISBLANK('Work Package'!B223),"",'Work Package'!B223)</f>
        <v/>
      </c>
    </row>
    <row r="213" spans="1:1" x14ac:dyDescent="0.3">
      <c r="A213" t="str">
        <f>IF(ISBLANK('Work Package'!B224),"",'Work Package'!B224)</f>
        <v/>
      </c>
    </row>
    <row r="214" spans="1:1" x14ac:dyDescent="0.3">
      <c r="A214" t="str">
        <f>IF(ISBLANK('Work Package'!B225),"",'Work Package'!B225)</f>
        <v/>
      </c>
    </row>
    <row r="215" spans="1:1" x14ac:dyDescent="0.3">
      <c r="A215" t="str">
        <f>IF(ISBLANK('Work Package'!B226),"",'Work Package'!B226)</f>
        <v/>
      </c>
    </row>
    <row r="216" spans="1:1" x14ac:dyDescent="0.3">
      <c r="A216" t="str">
        <f>IF(ISBLANK('Work Package'!B227),"",'Work Package'!B227)</f>
        <v/>
      </c>
    </row>
    <row r="217" spans="1:1" x14ac:dyDescent="0.3">
      <c r="A217" t="str">
        <f>IF(ISBLANK('Work Package'!B228),"",'Work Package'!B228)</f>
        <v/>
      </c>
    </row>
    <row r="218" spans="1:1" x14ac:dyDescent="0.3">
      <c r="A218" t="str">
        <f>IF(ISBLANK('Work Package'!B229),"",'Work Package'!B229)</f>
        <v/>
      </c>
    </row>
    <row r="219" spans="1:1" x14ac:dyDescent="0.3">
      <c r="A219" t="str">
        <f>IF(ISBLANK('Work Package'!B230),"",'Work Package'!B230)</f>
        <v/>
      </c>
    </row>
    <row r="220" spans="1:1" x14ac:dyDescent="0.3">
      <c r="A220" t="str">
        <f>IF(ISBLANK('Work Package'!B231),"",'Work Package'!B231)</f>
        <v/>
      </c>
    </row>
    <row r="221" spans="1:1" x14ac:dyDescent="0.3">
      <c r="A221" t="str">
        <f>IF(ISBLANK('Work Package'!B232),"",'Work Package'!B232)</f>
        <v/>
      </c>
    </row>
    <row r="222" spans="1:1" x14ac:dyDescent="0.3">
      <c r="A222" t="str">
        <f>IF(ISBLANK('Work Package'!B233),"",'Work Package'!B233)</f>
        <v/>
      </c>
    </row>
    <row r="223" spans="1:1" x14ac:dyDescent="0.3">
      <c r="A223" t="str">
        <f>IF(ISBLANK('Work Package'!B234),"",'Work Package'!B234)</f>
        <v/>
      </c>
    </row>
    <row r="224" spans="1:1" x14ac:dyDescent="0.3">
      <c r="A224" t="str">
        <f>IF(ISBLANK('Work Package'!B235),"",'Work Package'!B235)</f>
        <v/>
      </c>
    </row>
    <row r="225" spans="1:1" x14ac:dyDescent="0.3">
      <c r="A225" t="str">
        <f>IF(ISBLANK('Work Package'!B236),"",'Work Package'!B236)</f>
        <v/>
      </c>
    </row>
    <row r="226" spans="1:1" x14ac:dyDescent="0.3">
      <c r="A226" t="str">
        <f>IF(ISBLANK('Work Package'!B237),"",'Work Package'!B237)</f>
        <v/>
      </c>
    </row>
    <row r="227" spans="1:1" x14ac:dyDescent="0.3">
      <c r="A227" t="str">
        <f>IF(ISBLANK('Work Package'!B238),"",'Work Package'!B238)</f>
        <v/>
      </c>
    </row>
    <row r="228" spans="1:1" x14ac:dyDescent="0.3">
      <c r="A228" t="str">
        <f>IF(ISBLANK('Work Package'!B239),"",'Work Package'!B239)</f>
        <v/>
      </c>
    </row>
    <row r="229" spans="1:1" x14ac:dyDescent="0.3">
      <c r="A229" t="str">
        <f>IF(ISBLANK('Work Package'!B240),"",'Work Package'!B240)</f>
        <v/>
      </c>
    </row>
    <row r="230" spans="1:1" x14ac:dyDescent="0.3">
      <c r="A230" t="str">
        <f>IF(ISBLANK('Work Package'!B241),"",'Work Package'!B241)</f>
        <v/>
      </c>
    </row>
    <row r="231" spans="1:1" x14ac:dyDescent="0.3">
      <c r="A231" t="str">
        <f>IF(ISBLANK('Work Package'!B242),"",'Work Package'!B242)</f>
        <v/>
      </c>
    </row>
    <row r="232" spans="1:1" x14ac:dyDescent="0.3">
      <c r="A232" t="str">
        <f>IF(ISBLANK('Work Package'!B243),"",'Work Package'!B243)</f>
        <v/>
      </c>
    </row>
    <row r="233" spans="1:1" x14ac:dyDescent="0.3">
      <c r="A233" t="str">
        <f>IF(ISBLANK('Work Package'!B244),"",'Work Package'!B244)</f>
        <v/>
      </c>
    </row>
    <row r="234" spans="1:1" x14ac:dyDescent="0.3">
      <c r="A234" t="str">
        <f>IF(ISBLANK('Work Package'!B245),"",'Work Package'!B245)</f>
        <v/>
      </c>
    </row>
    <row r="235" spans="1:1" x14ac:dyDescent="0.3">
      <c r="A235" t="str">
        <f>IF(ISBLANK('Work Package'!B246),"",'Work Package'!B246)</f>
        <v/>
      </c>
    </row>
    <row r="236" spans="1:1" x14ac:dyDescent="0.3">
      <c r="A236" t="str">
        <f>IF(ISBLANK('Work Package'!B247),"",'Work Package'!B247)</f>
        <v/>
      </c>
    </row>
    <row r="237" spans="1:1" x14ac:dyDescent="0.3">
      <c r="A237" t="str">
        <f>IF(ISBLANK('Work Package'!B248),"",'Work Package'!B248)</f>
        <v/>
      </c>
    </row>
    <row r="238" spans="1:1" x14ac:dyDescent="0.3">
      <c r="A238" t="str">
        <f>IF(ISBLANK('Work Package'!B249),"",'Work Package'!B249)</f>
        <v/>
      </c>
    </row>
    <row r="239" spans="1:1" x14ac:dyDescent="0.3">
      <c r="A239" t="str">
        <f>IF(ISBLANK('Work Package'!B250),"",'Work Package'!B250)</f>
        <v/>
      </c>
    </row>
    <row r="240" spans="1:1" x14ac:dyDescent="0.3">
      <c r="A240" t="str">
        <f>IF(ISBLANK('Work Package'!B251),"",'Work Package'!B251)</f>
        <v/>
      </c>
    </row>
    <row r="241" spans="1:1" x14ac:dyDescent="0.3">
      <c r="A241" t="str">
        <f>IF(ISBLANK('Work Package'!B252),"",'Work Package'!B252)</f>
        <v/>
      </c>
    </row>
    <row r="242" spans="1:1" x14ac:dyDescent="0.3">
      <c r="A242" t="str">
        <f>IF(ISBLANK('Work Package'!B253),"",'Work Package'!B253)</f>
        <v/>
      </c>
    </row>
    <row r="243" spans="1:1" x14ac:dyDescent="0.3">
      <c r="A243" t="str">
        <f>IF(ISBLANK('Work Package'!B254),"",'Work Package'!B254)</f>
        <v/>
      </c>
    </row>
    <row r="244" spans="1:1" x14ac:dyDescent="0.3">
      <c r="A244" t="str">
        <f>IF(ISBLANK('Work Package'!B255),"",'Work Package'!B255)</f>
        <v/>
      </c>
    </row>
    <row r="245" spans="1:1" x14ac:dyDescent="0.3">
      <c r="A245" t="str">
        <f>IF(ISBLANK('Work Package'!B256),"",'Work Package'!B256)</f>
        <v/>
      </c>
    </row>
    <row r="246" spans="1:1" x14ac:dyDescent="0.3">
      <c r="A246" t="str">
        <f>IF(ISBLANK('Work Package'!B257),"",'Work Package'!B257)</f>
        <v/>
      </c>
    </row>
    <row r="247" spans="1:1" x14ac:dyDescent="0.3">
      <c r="A247" t="str">
        <f>IF(ISBLANK('Work Package'!B258),"",'Work Package'!B258)</f>
        <v/>
      </c>
    </row>
    <row r="248" spans="1:1" x14ac:dyDescent="0.3">
      <c r="A248" t="str">
        <f>IF(ISBLANK('Work Package'!B259),"",'Work Package'!B259)</f>
        <v/>
      </c>
    </row>
    <row r="249" spans="1:1" x14ac:dyDescent="0.3">
      <c r="A249" t="str">
        <f>IF(ISBLANK('Work Package'!B260),"",'Work Package'!B260)</f>
        <v/>
      </c>
    </row>
    <row r="250" spans="1:1" x14ac:dyDescent="0.3">
      <c r="A250" t="str">
        <f>IF(ISBLANK('Work Package'!B261),"",'Work Package'!B261)</f>
        <v/>
      </c>
    </row>
    <row r="251" spans="1:1" x14ac:dyDescent="0.3">
      <c r="A251" t="str">
        <f>IF(ISBLANK('Work Package'!B262),"",'Work Package'!B262)</f>
        <v/>
      </c>
    </row>
    <row r="252" spans="1:1" x14ac:dyDescent="0.3">
      <c r="A252" t="str">
        <f>IF(ISBLANK('Work Package'!B263),"",'Work Package'!B263)</f>
        <v/>
      </c>
    </row>
    <row r="253" spans="1:1" x14ac:dyDescent="0.3">
      <c r="A253" t="str">
        <f>IF(ISBLANK('Work Package'!B264),"",'Work Package'!B264)</f>
        <v/>
      </c>
    </row>
    <row r="254" spans="1:1" x14ac:dyDescent="0.3">
      <c r="A254" t="str">
        <f>IF(ISBLANK('Work Package'!B265),"",'Work Package'!B265)</f>
        <v/>
      </c>
    </row>
    <row r="255" spans="1:1" x14ac:dyDescent="0.3">
      <c r="A255" t="str">
        <f>IF(ISBLANK('Work Package'!B266),"",'Work Package'!B266)</f>
        <v/>
      </c>
    </row>
    <row r="256" spans="1:1" x14ac:dyDescent="0.3">
      <c r="A256" t="str">
        <f>IF(ISBLANK('Work Package'!B267),"",'Work Package'!B267)</f>
        <v/>
      </c>
    </row>
    <row r="257" spans="1:1" x14ac:dyDescent="0.3">
      <c r="A257" t="str">
        <f>IF(ISBLANK('Work Package'!B268),"",'Work Package'!B268)</f>
        <v/>
      </c>
    </row>
    <row r="258" spans="1:1" x14ac:dyDescent="0.3">
      <c r="A258" t="str">
        <f>IF(ISBLANK('Work Package'!B269),"",'Work Package'!B269)</f>
        <v/>
      </c>
    </row>
    <row r="259" spans="1:1" x14ac:dyDescent="0.3">
      <c r="A259" t="str">
        <f>IF(ISBLANK('Work Package'!B270),"",'Work Package'!B270)</f>
        <v/>
      </c>
    </row>
    <row r="260" spans="1:1" x14ac:dyDescent="0.3">
      <c r="A260" t="str">
        <f>IF(ISBLANK('Work Package'!B271),"",'Work Package'!B271)</f>
        <v/>
      </c>
    </row>
    <row r="261" spans="1:1" x14ac:dyDescent="0.3">
      <c r="A261" t="str">
        <f>IF(ISBLANK('Work Package'!B272),"",'Work Package'!B272)</f>
        <v/>
      </c>
    </row>
    <row r="262" spans="1:1" x14ac:dyDescent="0.3">
      <c r="A262" t="str">
        <f>IF(ISBLANK('Work Package'!B273),"",'Work Package'!B273)</f>
        <v/>
      </c>
    </row>
    <row r="263" spans="1:1" x14ac:dyDescent="0.3">
      <c r="A263" t="str">
        <f>IF(ISBLANK('Work Package'!B274),"",'Work Package'!B274)</f>
        <v/>
      </c>
    </row>
    <row r="264" spans="1:1" x14ac:dyDescent="0.3">
      <c r="A264" t="str">
        <f>IF(ISBLANK('Work Package'!B275),"",'Work Package'!B275)</f>
        <v/>
      </c>
    </row>
    <row r="265" spans="1:1" x14ac:dyDescent="0.3">
      <c r="A265" t="str">
        <f>IF(ISBLANK('Work Package'!B276),"",'Work Package'!B276)</f>
        <v/>
      </c>
    </row>
    <row r="266" spans="1:1" x14ac:dyDescent="0.3">
      <c r="A266" t="str">
        <f>IF(ISBLANK('Work Package'!B277),"",'Work Package'!B277)</f>
        <v/>
      </c>
    </row>
    <row r="267" spans="1:1" x14ac:dyDescent="0.3">
      <c r="A267" t="str">
        <f>IF(ISBLANK('Work Package'!B278),"",'Work Package'!B278)</f>
        <v/>
      </c>
    </row>
    <row r="268" spans="1:1" x14ac:dyDescent="0.3">
      <c r="A268" t="str">
        <f>IF(ISBLANK('Work Package'!B279),"",'Work Package'!B279)</f>
        <v/>
      </c>
    </row>
    <row r="269" spans="1:1" x14ac:dyDescent="0.3">
      <c r="A269" t="str">
        <f>IF(ISBLANK('Work Package'!B280),"",'Work Package'!B280)</f>
        <v/>
      </c>
    </row>
    <row r="270" spans="1:1" x14ac:dyDescent="0.3">
      <c r="A270" t="str">
        <f>IF(ISBLANK('Work Package'!B281),"",'Work Package'!B281)</f>
        <v/>
      </c>
    </row>
    <row r="271" spans="1:1" x14ac:dyDescent="0.3">
      <c r="A271" t="str">
        <f>IF(ISBLANK('Work Package'!B282),"",'Work Package'!B282)</f>
        <v/>
      </c>
    </row>
    <row r="272" spans="1:1" x14ac:dyDescent="0.3">
      <c r="A272" t="str">
        <f>IF(ISBLANK('Work Package'!B283),"",'Work Package'!B283)</f>
        <v/>
      </c>
    </row>
    <row r="273" spans="1:1" x14ac:dyDescent="0.3">
      <c r="A273" t="str">
        <f>IF(ISBLANK('Work Package'!B284),"",'Work Package'!B284)</f>
        <v/>
      </c>
    </row>
    <row r="274" spans="1:1" x14ac:dyDescent="0.3">
      <c r="A274" t="str">
        <f>IF(ISBLANK('Work Package'!B285),"",'Work Package'!B285)</f>
        <v/>
      </c>
    </row>
    <row r="275" spans="1:1" x14ac:dyDescent="0.3">
      <c r="A275" t="str">
        <f>IF(ISBLANK('Work Package'!B286),"",'Work Package'!B286)</f>
        <v/>
      </c>
    </row>
    <row r="276" spans="1:1" x14ac:dyDescent="0.3">
      <c r="A276" t="str">
        <f>IF(ISBLANK('Work Package'!B287),"",'Work Package'!B287)</f>
        <v/>
      </c>
    </row>
    <row r="277" spans="1:1" x14ac:dyDescent="0.3">
      <c r="A277" t="str">
        <f>IF(ISBLANK('Work Package'!B288),"",'Work Package'!B288)</f>
        <v/>
      </c>
    </row>
    <row r="278" spans="1:1" x14ac:dyDescent="0.3">
      <c r="A278" t="str">
        <f>IF(ISBLANK('Work Package'!B289),"",'Work Package'!B289)</f>
        <v/>
      </c>
    </row>
    <row r="279" spans="1:1" x14ac:dyDescent="0.3">
      <c r="A279" t="str">
        <f>IF(ISBLANK('Work Package'!B290),"",'Work Package'!B290)</f>
        <v/>
      </c>
    </row>
    <row r="280" spans="1:1" x14ac:dyDescent="0.3">
      <c r="A280" t="str">
        <f>IF(ISBLANK('Work Package'!B291),"",'Work Package'!B291)</f>
        <v/>
      </c>
    </row>
    <row r="281" spans="1:1" x14ac:dyDescent="0.3">
      <c r="A281" t="str">
        <f>IF(ISBLANK('Work Package'!B292),"",'Work Package'!B292)</f>
        <v/>
      </c>
    </row>
    <row r="282" spans="1:1" x14ac:dyDescent="0.3">
      <c r="A282" t="str">
        <f>IF(ISBLANK('Work Package'!B293),"",'Work Package'!B293)</f>
        <v/>
      </c>
    </row>
    <row r="283" spans="1:1" x14ac:dyDescent="0.3">
      <c r="A283" t="str">
        <f>IF(ISBLANK('Work Package'!B294),"",'Work Package'!B294)</f>
        <v/>
      </c>
    </row>
    <row r="284" spans="1:1" x14ac:dyDescent="0.3">
      <c r="A284" t="str">
        <f>IF(ISBLANK('Work Package'!B295),"",'Work Package'!B295)</f>
        <v/>
      </c>
    </row>
    <row r="285" spans="1:1" x14ac:dyDescent="0.3">
      <c r="A285" t="str">
        <f>IF(ISBLANK('Work Package'!B296),"",'Work Package'!B296)</f>
        <v/>
      </c>
    </row>
    <row r="286" spans="1:1" x14ac:dyDescent="0.3">
      <c r="A286" t="str">
        <f>IF(ISBLANK('Work Package'!B297),"",'Work Package'!B297)</f>
        <v/>
      </c>
    </row>
    <row r="287" spans="1:1" x14ac:dyDescent="0.3">
      <c r="A287" t="str">
        <f>IF(ISBLANK('Work Package'!B298),"",'Work Package'!B298)</f>
        <v/>
      </c>
    </row>
    <row r="288" spans="1:1" x14ac:dyDescent="0.3">
      <c r="A288" t="str">
        <f>IF(ISBLANK('Work Package'!B299),"",'Work Package'!B299)</f>
        <v/>
      </c>
    </row>
    <row r="289" spans="1:1" x14ac:dyDescent="0.3">
      <c r="A289" t="str">
        <f>IF(ISBLANK('Work Package'!B300),"",'Work Package'!B300)</f>
        <v/>
      </c>
    </row>
    <row r="290" spans="1:1" x14ac:dyDescent="0.3">
      <c r="A290" t="str">
        <f>IF(ISBLANK('Work Package'!B301),"",'Work Package'!B301)</f>
        <v/>
      </c>
    </row>
    <row r="291" spans="1:1" x14ac:dyDescent="0.3">
      <c r="A291" t="str">
        <f>IF(ISBLANK('Work Package'!B302),"",'Work Package'!B302)</f>
        <v/>
      </c>
    </row>
    <row r="292" spans="1:1" x14ac:dyDescent="0.3">
      <c r="A292" t="str">
        <f>IF(ISBLANK('Work Package'!B303),"",'Work Package'!B303)</f>
        <v/>
      </c>
    </row>
    <row r="293" spans="1:1" x14ac:dyDescent="0.3">
      <c r="A293" t="str">
        <f>IF(ISBLANK('Work Package'!B304),"",'Work Package'!B304)</f>
        <v/>
      </c>
    </row>
    <row r="294" spans="1:1" x14ac:dyDescent="0.3">
      <c r="A294" t="str">
        <f>IF(ISBLANK('Work Package'!B305),"",'Work Package'!B305)</f>
        <v/>
      </c>
    </row>
    <row r="295" spans="1:1" x14ac:dyDescent="0.3">
      <c r="A295" t="str">
        <f>IF(ISBLANK('Work Package'!B306),"",'Work Package'!B306)</f>
        <v/>
      </c>
    </row>
    <row r="296" spans="1:1" x14ac:dyDescent="0.3">
      <c r="A296" t="str">
        <f>IF(ISBLANK('Work Package'!B307),"",'Work Package'!B307)</f>
        <v/>
      </c>
    </row>
    <row r="297" spans="1:1" x14ac:dyDescent="0.3">
      <c r="A297" t="str">
        <f>IF(ISBLANK('Work Package'!B308),"",'Work Package'!B308)</f>
        <v/>
      </c>
    </row>
    <row r="298" spans="1:1" x14ac:dyDescent="0.3">
      <c r="A298" t="str">
        <f>IF(ISBLANK('Work Package'!B309),"",'Work Package'!B309)</f>
        <v/>
      </c>
    </row>
    <row r="299" spans="1:1" x14ac:dyDescent="0.3">
      <c r="A299" t="str">
        <f>IF(ISBLANK('Work Package'!B310),"",'Work Package'!B310)</f>
        <v/>
      </c>
    </row>
    <row r="300" spans="1:1" x14ac:dyDescent="0.3">
      <c r="A300" t="str">
        <f>IF(ISBLANK('Work Package'!B311),"",'Work Package'!B311)</f>
        <v/>
      </c>
    </row>
    <row r="301" spans="1:1" x14ac:dyDescent="0.3">
      <c r="A301" t="str">
        <f>IF(ISBLANK('Work Package'!B312),"",'Work Package'!B312)</f>
        <v/>
      </c>
    </row>
    <row r="302" spans="1:1" x14ac:dyDescent="0.3">
      <c r="A302" t="str">
        <f>IF(ISBLANK('Work Package'!B313),"",'Work Package'!B313)</f>
        <v/>
      </c>
    </row>
    <row r="303" spans="1:1" x14ac:dyDescent="0.3">
      <c r="A303" t="str">
        <f>IF(ISBLANK('Work Package'!B314),"",'Work Package'!B314)</f>
        <v/>
      </c>
    </row>
    <row r="304" spans="1:1" x14ac:dyDescent="0.3">
      <c r="A304" t="str">
        <f>IF(ISBLANK('Work Package'!B315),"",'Work Package'!B315)</f>
        <v/>
      </c>
    </row>
    <row r="305" spans="1:1" x14ac:dyDescent="0.3">
      <c r="A305" t="str">
        <f>IF(ISBLANK('Work Package'!B316),"",'Work Package'!B316)</f>
        <v/>
      </c>
    </row>
    <row r="306" spans="1:1" x14ac:dyDescent="0.3">
      <c r="A306" t="str">
        <f>IF(ISBLANK('Work Package'!B317),"",'Work Package'!B317)</f>
        <v/>
      </c>
    </row>
    <row r="307" spans="1:1" x14ac:dyDescent="0.3">
      <c r="A307" t="str">
        <f>IF(ISBLANK('Work Package'!B318),"",'Work Package'!B318)</f>
        <v/>
      </c>
    </row>
    <row r="308" spans="1:1" x14ac:dyDescent="0.3">
      <c r="A308" t="str">
        <f>IF(ISBLANK('Work Package'!B319),"",'Work Package'!B319)</f>
        <v/>
      </c>
    </row>
    <row r="309" spans="1:1" x14ac:dyDescent="0.3">
      <c r="A309" t="str">
        <f>IF(ISBLANK('Work Package'!B320),"",'Work Package'!B320)</f>
        <v/>
      </c>
    </row>
    <row r="310" spans="1:1" x14ac:dyDescent="0.3">
      <c r="A310" t="str">
        <f>IF(ISBLANK('Work Package'!B321),"",'Work Package'!B321)</f>
        <v/>
      </c>
    </row>
    <row r="311" spans="1:1" x14ac:dyDescent="0.3">
      <c r="A311" t="str">
        <f>IF(ISBLANK('Work Package'!B322),"",'Work Package'!B322)</f>
        <v/>
      </c>
    </row>
    <row r="312" spans="1:1" x14ac:dyDescent="0.3">
      <c r="A312" t="str">
        <f>IF(ISBLANK('Work Package'!B323),"",'Work Package'!B323)</f>
        <v/>
      </c>
    </row>
    <row r="313" spans="1:1" x14ac:dyDescent="0.3">
      <c r="A313" t="str">
        <f>IF(ISBLANK('Work Package'!B324),"",'Work Package'!B324)</f>
        <v/>
      </c>
    </row>
    <row r="314" spans="1:1" x14ac:dyDescent="0.3">
      <c r="A314" t="str">
        <f>IF(ISBLANK('Work Package'!B325),"",'Work Package'!B325)</f>
        <v/>
      </c>
    </row>
    <row r="315" spans="1:1" x14ac:dyDescent="0.3">
      <c r="A315" t="str">
        <f>IF(ISBLANK('Work Package'!B326),"",'Work Package'!B326)</f>
        <v/>
      </c>
    </row>
    <row r="316" spans="1:1" x14ac:dyDescent="0.3">
      <c r="A316" t="str">
        <f>IF(ISBLANK('Work Package'!B327),"",'Work Package'!B327)</f>
        <v/>
      </c>
    </row>
    <row r="317" spans="1:1" x14ac:dyDescent="0.3">
      <c r="A317" t="str">
        <f>IF(ISBLANK('Work Package'!B328),"",'Work Package'!B328)</f>
        <v/>
      </c>
    </row>
    <row r="318" spans="1:1" x14ac:dyDescent="0.3">
      <c r="A318" t="str">
        <f>IF(ISBLANK('Work Package'!B329),"",'Work Package'!B329)</f>
        <v/>
      </c>
    </row>
    <row r="319" spans="1:1" x14ac:dyDescent="0.3">
      <c r="A319" t="str">
        <f>IF(ISBLANK('Work Package'!B330),"",'Work Package'!B330)</f>
        <v/>
      </c>
    </row>
    <row r="320" spans="1:1" x14ac:dyDescent="0.3">
      <c r="A320" t="str">
        <f>IF(ISBLANK('Work Package'!B331),"",'Work Package'!B331)</f>
        <v/>
      </c>
    </row>
    <row r="321" spans="1:1" x14ac:dyDescent="0.3">
      <c r="A321" t="str">
        <f>IF(ISBLANK('Work Package'!B332),"",'Work Package'!B332)</f>
        <v/>
      </c>
    </row>
    <row r="322" spans="1:1" x14ac:dyDescent="0.3">
      <c r="A322" t="str">
        <f>IF(ISBLANK('Work Package'!B333),"",'Work Package'!B333)</f>
        <v/>
      </c>
    </row>
    <row r="323" spans="1:1" x14ac:dyDescent="0.3">
      <c r="A323" t="str">
        <f>IF(ISBLANK('Work Package'!B334),"",'Work Package'!B334)</f>
        <v/>
      </c>
    </row>
    <row r="324" spans="1:1" x14ac:dyDescent="0.3">
      <c r="A324" t="str">
        <f>IF(ISBLANK('Work Package'!B335),"",'Work Package'!B335)</f>
        <v/>
      </c>
    </row>
    <row r="325" spans="1:1" x14ac:dyDescent="0.3">
      <c r="A325" t="str">
        <f>IF(ISBLANK('Work Package'!B336),"",'Work Package'!B336)</f>
        <v/>
      </c>
    </row>
    <row r="326" spans="1:1" x14ac:dyDescent="0.3">
      <c r="A326" t="str">
        <f>IF(ISBLANK('Work Package'!B337),"",'Work Package'!B337)</f>
        <v/>
      </c>
    </row>
    <row r="327" spans="1:1" x14ac:dyDescent="0.3">
      <c r="A327" t="str">
        <f>IF(ISBLANK('Work Package'!B338),"",'Work Package'!B338)</f>
        <v/>
      </c>
    </row>
    <row r="328" spans="1:1" x14ac:dyDescent="0.3">
      <c r="A328" t="str">
        <f>IF(ISBLANK('Work Package'!B339),"",'Work Package'!B339)</f>
        <v/>
      </c>
    </row>
    <row r="329" spans="1:1" x14ac:dyDescent="0.3">
      <c r="A329" t="str">
        <f>IF(ISBLANK('Work Package'!B340),"",'Work Package'!B340)</f>
        <v/>
      </c>
    </row>
    <row r="330" spans="1:1" x14ac:dyDescent="0.3">
      <c r="A330" t="str">
        <f>IF(ISBLANK('Work Package'!B341),"",'Work Package'!B341)</f>
        <v/>
      </c>
    </row>
    <row r="331" spans="1:1" x14ac:dyDescent="0.3">
      <c r="A331" t="str">
        <f>IF(ISBLANK('Work Package'!B342),"",'Work Package'!B342)</f>
        <v/>
      </c>
    </row>
    <row r="332" spans="1:1" x14ac:dyDescent="0.3">
      <c r="A332" t="str">
        <f>IF(ISBLANK('Work Package'!B343),"",'Work Package'!B343)</f>
        <v/>
      </c>
    </row>
    <row r="333" spans="1:1" x14ac:dyDescent="0.3">
      <c r="A333" t="str">
        <f>IF(ISBLANK('Work Package'!B344),"",'Work Package'!B344)</f>
        <v/>
      </c>
    </row>
    <row r="334" spans="1:1" x14ac:dyDescent="0.3">
      <c r="A334" t="str">
        <f>IF(ISBLANK('Work Package'!B345),"",'Work Package'!B345)</f>
        <v/>
      </c>
    </row>
    <row r="335" spans="1:1" x14ac:dyDescent="0.3">
      <c r="A335" t="str">
        <f>IF(ISBLANK('Work Package'!B346),"",'Work Package'!B346)</f>
        <v/>
      </c>
    </row>
    <row r="336" spans="1:1" x14ac:dyDescent="0.3">
      <c r="A336" t="str">
        <f>IF(ISBLANK('Work Package'!B347),"",'Work Package'!B347)</f>
        <v/>
      </c>
    </row>
    <row r="337" spans="1:1" x14ac:dyDescent="0.3">
      <c r="A337" t="str">
        <f>IF(ISBLANK('Work Package'!B348),"",'Work Package'!B348)</f>
        <v/>
      </c>
    </row>
    <row r="338" spans="1:1" x14ac:dyDescent="0.3">
      <c r="A338" t="str">
        <f>IF(ISBLANK('Work Package'!B349),"",'Work Package'!B349)</f>
        <v/>
      </c>
    </row>
    <row r="339" spans="1:1" x14ac:dyDescent="0.3">
      <c r="A339" t="str">
        <f>IF(ISBLANK('Work Package'!B350),"",'Work Package'!B350)</f>
        <v/>
      </c>
    </row>
    <row r="340" spans="1:1" x14ac:dyDescent="0.3">
      <c r="A340" t="str">
        <f>IF(ISBLANK('Work Package'!B351),"",'Work Package'!B351)</f>
        <v/>
      </c>
    </row>
    <row r="341" spans="1:1" x14ac:dyDescent="0.3">
      <c r="A341" t="str">
        <f>IF(ISBLANK('Work Package'!B352),"",'Work Package'!B352)</f>
        <v/>
      </c>
    </row>
    <row r="342" spans="1:1" x14ac:dyDescent="0.3">
      <c r="A342" t="str">
        <f>IF(ISBLANK('Work Package'!B353),"",'Work Package'!B353)</f>
        <v/>
      </c>
    </row>
    <row r="343" spans="1:1" x14ac:dyDescent="0.3">
      <c r="A343" t="str">
        <f>IF(ISBLANK('Work Package'!B354),"",'Work Package'!B354)</f>
        <v/>
      </c>
    </row>
    <row r="344" spans="1:1" x14ac:dyDescent="0.3">
      <c r="A344" t="str">
        <f>IF(ISBLANK('Work Package'!B355),"",'Work Package'!B355)</f>
        <v/>
      </c>
    </row>
    <row r="345" spans="1:1" x14ac:dyDescent="0.3">
      <c r="A345" t="str">
        <f>IF(ISBLANK('Work Package'!B356),"",'Work Package'!B356)</f>
        <v/>
      </c>
    </row>
    <row r="346" spans="1:1" x14ac:dyDescent="0.3">
      <c r="A346" t="str">
        <f>IF(ISBLANK('Work Package'!B357),"",'Work Package'!B357)</f>
        <v/>
      </c>
    </row>
    <row r="347" spans="1:1" x14ac:dyDescent="0.3">
      <c r="A347" t="str">
        <f>IF(ISBLANK('Work Package'!B358),"",'Work Package'!B358)</f>
        <v/>
      </c>
    </row>
    <row r="348" spans="1:1" x14ac:dyDescent="0.3">
      <c r="A348" t="str">
        <f>IF(ISBLANK('Work Package'!B359),"",'Work Package'!B359)</f>
        <v/>
      </c>
    </row>
    <row r="349" spans="1:1" x14ac:dyDescent="0.3">
      <c r="A349" t="str">
        <f>IF(ISBLANK('Work Package'!B360),"",'Work Package'!B360)</f>
        <v/>
      </c>
    </row>
    <row r="350" spans="1:1" x14ac:dyDescent="0.3">
      <c r="A350" t="str">
        <f>IF(ISBLANK('Work Package'!B361),"",'Work Package'!B361)</f>
        <v/>
      </c>
    </row>
    <row r="351" spans="1:1" x14ac:dyDescent="0.3">
      <c r="A351" t="str">
        <f>IF(ISBLANK('Work Package'!B362),"",'Work Package'!B362)</f>
        <v/>
      </c>
    </row>
    <row r="352" spans="1:1" x14ac:dyDescent="0.3">
      <c r="A352" t="str">
        <f>IF(ISBLANK('Work Package'!B363),"",'Work Package'!B363)</f>
        <v/>
      </c>
    </row>
    <row r="353" spans="1:1" x14ac:dyDescent="0.3">
      <c r="A353" t="str">
        <f>IF(ISBLANK('Work Package'!B364),"",'Work Package'!B364)</f>
        <v/>
      </c>
    </row>
    <row r="354" spans="1:1" x14ac:dyDescent="0.3">
      <c r="A354" t="str">
        <f>IF(ISBLANK('Work Package'!B365),"",'Work Package'!B365)</f>
        <v/>
      </c>
    </row>
    <row r="355" spans="1:1" x14ac:dyDescent="0.3">
      <c r="A355" t="str">
        <f>IF(ISBLANK('Work Package'!B366),"",'Work Package'!B366)</f>
        <v/>
      </c>
    </row>
    <row r="356" spans="1:1" x14ac:dyDescent="0.3">
      <c r="A356" t="str">
        <f>IF(ISBLANK('Work Package'!B367),"",'Work Package'!B367)</f>
        <v/>
      </c>
    </row>
    <row r="357" spans="1:1" x14ac:dyDescent="0.3">
      <c r="A357" t="str">
        <f>IF(ISBLANK('Work Package'!B368),"",'Work Package'!B368)</f>
        <v/>
      </c>
    </row>
    <row r="358" spans="1:1" x14ac:dyDescent="0.3">
      <c r="A358" t="str">
        <f>IF(ISBLANK('Work Package'!B369),"",'Work Package'!B369)</f>
        <v/>
      </c>
    </row>
    <row r="359" spans="1:1" x14ac:dyDescent="0.3">
      <c r="A359" t="str">
        <f>IF(ISBLANK('Work Package'!B370),"",'Work Package'!B370)</f>
        <v/>
      </c>
    </row>
    <row r="360" spans="1:1" x14ac:dyDescent="0.3">
      <c r="A360" t="str">
        <f>IF(ISBLANK('Work Package'!B371),"",'Work Package'!B371)</f>
        <v/>
      </c>
    </row>
    <row r="361" spans="1:1" x14ac:dyDescent="0.3">
      <c r="A361" t="str">
        <f>IF(ISBLANK('Work Package'!B372),"",'Work Package'!B372)</f>
        <v/>
      </c>
    </row>
    <row r="362" spans="1:1" x14ac:dyDescent="0.3">
      <c r="A362" t="str">
        <f>IF(ISBLANK('Work Package'!B373),"",'Work Package'!B373)</f>
        <v/>
      </c>
    </row>
    <row r="363" spans="1:1" x14ac:dyDescent="0.3">
      <c r="A363" t="str">
        <f>IF(ISBLANK('Work Package'!B374),"",'Work Package'!B374)</f>
        <v/>
      </c>
    </row>
    <row r="364" spans="1:1" x14ac:dyDescent="0.3">
      <c r="A364" t="str">
        <f>IF(ISBLANK('Work Package'!B375),"",'Work Package'!B375)</f>
        <v/>
      </c>
    </row>
    <row r="365" spans="1:1" x14ac:dyDescent="0.3">
      <c r="A365" t="str">
        <f>IF(ISBLANK('Work Package'!B376),"",'Work Package'!B376)</f>
        <v/>
      </c>
    </row>
    <row r="366" spans="1:1" x14ac:dyDescent="0.3">
      <c r="A366" t="str">
        <f>IF(ISBLANK('Work Package'!B377),"",'Work Package'!B377)</f>
        <v/>
      </c>
    </row>
    <row r="367" spans="1:1" x14ac:dyDescent="0.3">
      <c r="A367" t="str">
        <f>IF(ISBLANK('Work Package'!B378),"",'Work Package'!B378)</f>
        <v/>
      </c>
    </row>
    <row r="368" spans="1:1" x14ac:dyDescent="0.3">
      <c r="A368" t="str">
        <f>IF(ISBLANK('Work Package'!B379),"",'Work Package'!B379)</f>
        <v/>
      </c>
    </row>
    <row r="369" spans="1:1" x14ac:dyDescent="0.3">
      <c r="A369" t="str">
        <f>IF(ISBLANK('Work Package'!B380),"",'Work Package'!B380)</f>
        <v/>
      </c>
    </row>
    <row r="370" spans="1:1" x14ac:dyDescent="0.3">
      <c r="A370" t="str">
        <f>IF(ISBLANK('Work Package'!B381),"",'Work Package'!B381)</f>
        <v/>
      </c>
    </row>
    <row r="371" spans="1:1" x14ac:dyDescent="0.3">
      <c r="A371" t="str">
        <f>IF(ISBLANK('Work Package'!B382),"",'Work Package'!B382)</f>
        <v/>
      </c>
    </row>
    <row r="372" spans="1:1" x14ac:dyDescent="0.3">
      <c r="A372" t="str">
        <f>IF(ISBLANK('Work Package'!B383),"",'Work Package'!B383)</f>
        <v/>
      </c>
    </row>
    <row r="373" spans="1:1" x14ac:dyDescent="0.3">
      <c r="A373" t="str">
        <f>IF(ISBLANK('Work Package'!B384),"",'Work Package'!B384)</f>
        <v/>
      </c>
    </row>
    <row r="374" spans="1:1" x14ac:dyDescent="0.3">
      <c r="A374" t="str">
        <f>IF(ISBLANK('Work Package'!B385),"",'Work Package'!B385)</f>
        <v/>
      </c>
    </row>
    <row r="375" spans="1:1" x14ac:dyDescent="0.3">
      <c r="A375" t="str">
        <f>IF(ISBLANK('Work Package'!B386),"",'Work Package'!B386)</f>
        <v/>
      </c>
    </row>
    <row r="376" spans="1:1" x14ac:dyDescent="0.3">
      <c r="A376" t="str">
        <f>IF(ISBLANK('Work Package'!B387),"",'Work Package'!B387)</f>
        <v/>
      </c>
    </row>
    <row r="377" spans="1:1" x14ac:dyDescent="0.3">
      <c r="A377" t="str">
        <f>IF(ISBLANK('Work Package'!B388),"",'Work Package'!B388)</f>
        <v/>
      </c>
    </row>
    <row r="378" spans="1:1" x14ac:dyDescent="0.3">
      <c r="A378" t="str">
        <f>IF(ISBLANK('Work Package'!B389),"",'Work Package'!B389)</f>
        <v/>
      </c>
    </row>
    <row r="379" spans="1:1" x14ac:dyDescent="0.3">
      <c r="A379" t="str">
        <f>IF(ISBLANK('Work Package'!B390),"",'Work Package'!B390)</f>
        <v/>
      </c>
    </row>
    <row r="380" spans="1:1" x14ac:dyDescent="0.3">
      <c r="A380" t="str">
        <f>IF(ISBLANK('Work Package'!B391),"",'Work Package'!B391)</f>
        <v/>
      </c>
    </row>
    <row r="381" spans="1:1" x14ac:dyDescent="0.3">
      <c r="A381" t="str">
        <f>IF(ISBLANK('Work Package'!B392),"",'Work Package'!B392)</f>
        <v/>
      </c>
    </row>
    <row r="382" spans="1:1" x14ac:dyDescent="0.3">
      <c r="A382" t="str">
        <f>IF(ISBLANK('Work Package'!B393),"",'Work Package'!B393)</f>
        <v/>
      </c>
    </row>
    <row r="383" spans="1:1" x14ac:dyDescent="0.3">
      <c r="A383" t="str">
        <f>IF(ISBLANK('Work Package'!B394),"",'Work Package'!B394)</f>
        <v/>
      </c>
    </row>
    <row r="384" spans="1:1" x14ac:dyDescent="0.3">
      <c r="A384" t="str">
        <f>IF(ISBLANK('Work Package'!B395),"",'Work Package'!B395)</f>
        <v/>
      </c>
    </row>
    <row r="385" spans="1:1" x14ac:dyDescent="0.3">
      <c r="A385" t="str">
        <f>IF(ISBLANK('Work Package'!B396),"",'Work Package'!B396)</f>
        <v/>
      </c>
    </row>
    <row r="386" spans="1:1" x14ac:dyDescent="0.3">
      <c r="A386" t="str">
        <f>IF(ISBLANK('Work Package'!B397),"",'Work Package'!B397)</f>
        <v/>
      </c>
    </row>
    <row r="387" spans="1:1" x14ac:dyDescent="0.3">
      <c r="A387" t="str">
        <f>IF(ISBLANK('Work Package'!B398),"",'Work Package'!B398)</f>
        <v/>
      </c>
    </row>
    <row r="388" spans="1:1" x14ac:dyDescent="0.3">
      <c r="A388" t="str">
        <f>IF(ISBLANK('Work Package'!B399),"",'Work Package'!B399)</f>
        <v/>
      </c>
    </row>
    <row r="389" spans="1:1" x14ac:dyDescent="0.3">
      <c r="A389" t="str">
        <f>IF(ISBLANK('Work Package'!B400),"",'Work Package'!B400)</f>
        <v/>
      </c>
    </row>
    <row r="390" spans="1:1" x14ac:dyDescent="0.3">
      <c r="A390" t="str">
        <f>IF(ISBLANK('Work Package'!B401),"",'Work Package'!B401)</f>
        <v/>
      </c>
    </row>
    <row r="391" spans="1:1" x14ac:dyDescent="0.3">
      <c r="A391" t="str">
        <f>IF(ISBLANK('Work Package'!B402),"",'Work Package'!B402)</f>
        <v/>
      </c>
    </row>
    <row r="392" spans="1:1" x14ac:dyDescent="0.3">
      <c r="A392" t="str">
        <f>IF(ISBLANK('Work Package'!B403),"",'Work Package'!B403)</f>
        <v/>
      </c>
    </row>
    <row r="393" spans="1:1" x14ac:dyDescent="0.3">
      <c r="A393" t="str">
        <f>IF(ISBLANK('Work Package'!B404),"",'Work Package'!B404)</f>
        <v/>
      </c>
    </row>
    <row r="394" spans="1:1" x14ac:dyDescent="0.3">
      <c r="A394" t="str">
        <f>IF(ISBLANK('Work Package'!B405),"",'Work Package'!B405)</f>
        <v/>
      </c>
    </row>
    <row r="395" spans="1:1" x14ac:dyDescent="0.3">
      <c r="A395" t="str">
        <f>IF(ISBLANK('Work Package'!B406),"",'Work Package'!B406)</f>
        <v/>
      </c>
    </row>
    <row r="396" spans="1:1" x14ac:dyDescent="0.3">
      <c r="A396" t="str">
        <f>IF(ISBLANK('Work Package'!B407),"",'Work Package'!B407)</f>
        <v/>
      </c>
    </row>
    <row r="397" spans="1:1" x14ac:dyDescent="0.3">
      <c r="A397" t="str">
        <f>IF(ISBLANK('Work Package'!B408),"",'Work Package'!B408)</f>
        <v/>
      </c>
    </row>
    <row r="398" spans="1:1" x14ac:dyDescent="0.3">
      <c r="A398" t="str">
        <f>IF(ISBLANK('Work Package'!B409),"",'Work Package'!B409)</f>
        <v/>
      </c>
    </row>
    <row r="399" spans="1:1" x14ac:dyDescent="0.3">
      <c r="A399" t="str">
        <f>IF(ISBLANK('Work Package'!B410),"",'Work Package'!B410)</f>
        <v/>
      </c>
    </row>
    <row r="400" spans="1:1" x14ac:dyDescent="0.3">
      <c r="A400" t="str">
        <f>IF(ISBLANK('Work Package'!B411),"",'Work Package'!B411)</f>
        <v/>
      </c>
    </row>
    <row r="401" spans="1:1" x14ac:dyDescent="0.3">
      <c r="A401" t="str">
        <f>IF(ISBLANK('Work Package'!B412),"",'Work Package'!B412)</f>
        <v/>
      </c>
    </row>
    <row r="402" spans="1:1" x14ac:dyDescent="0.3">
      <c r="A402" t="str">
        <f>IF(ISBLANK('Work Package'!B413),"",'Work Package'!B413)</f>
        <v/>
      </c>
    </row>
    <row r="403" spans="1:1" x14ac:dyDescent="0.3">
      <c r="A403" t="str">
        <f>IF(ISBLANK('Work Package'!B414),"",'Work Package'!B414)</f>
        <v/>
      </c>
    </row>
    <row r="404" spans="1:1" x14ac:dyDescent="0.3">
      <c r="A404" t="str">
        <f>IF(ISBLANK('Work Package'!B415),"",'Work Package'!B415)</f>
        <v/>
      </c>
    </row>
    <row r="405" spans="1:1" x14ac:dyDescent="0.3">
      <c r="A405" t="str">
        <f>IF(ISBLANK('Work Package'!B416),"",'Work Package'!B416)</f>
        <v/>
      </c>
    </row>
    <row r="406" spans="1:1" x14ac:dyDescent="0.3">
      <c r="A406" t="str">
        <f>IF(ISBLANK('Work Package'!B417),"",'Work Package'!B417)</f>
        <v/>
      </c>
    </row>
    <row r="407" spans="1:1" x14ac:dyDescent="0.3">
      <c r="A407" t="str">
        <f>IF(ISBLANK('Work Package'!B418),"",'Work Package'!B418)</f>
        <v/>
      </c>
    </row>
    <row r="408" spans="1:1" x14ac:dyDescent="0.3">
      <c r="A408" t="str">
        <f>IF(ISBLANK('Work Package'!B419),"",'Work Package'!B419)</f>
        <v/>
      </c>
    </row>
    <row r="409" spans="1:1" x14ac:dyDescent="0.3">
      <c r="A409" t="str">
        <f>IF(ISBLANK('Work Package'!B420),"",'Work Package'!B420)</f>
        <v/>
      </c>
    </row>
    <row r="410" spans="1:1" x14ac:dyDescent="0.3">
      <c r="A410" t="str">
        <f>IF(ISBLANK('Work Package'!B421),"",'Work Package'!B421)</f>
        <v/>
      </c>
    </row>
    <row r="411" spans="1:1" x14ac:dyDescent="0.3">
      <c r="A411" t="str">
        <f>IF(ISBLANK('Work Package'!B422),"",'Work Package'!B422)</f>
        <v/>
      </c>
    </row>
    <row r="412" spans="1:1" x14ac:dyDescent="0.3">
      <c r="A412" t="str">
        <f>IF(ISBLANK('Work Package'!B423),"",'Work Package'!B423)</f>
        <v/>
      </c>
    </row>
    <row r="413" spans="1:1" x14ac:dyDescent="0.3">
      <c r="A413" t="str">
        <f>IF(ISBLANK('Work Package'!B424),"",'Work Package'!B424)</f>
        <v/>
      </c>
    </row>
    <row r="414" spans="1:1" x14ac:dyDescent="0.3">
      <c r="A414" t="str">
        <f>IF(ISBLANK('Work Package'!B425),"",'Work Package'!B425)</f>
        <v/>
      </c>
    </row>
    <row r="415" spans="1:1" x14ac:dyDescent="0.3">
      <c r="A415" t="str">
        <f>IF(ISBLANK('Work Package'!B426),"",'Work Package'!B426)</f>
        <v/>
      </c>
    </row>
    <row r="416" spans="1:1" x14ac:dyDescent="0.3">
      <c r="A416" t="str">
        <f>IF(ISBLANK('Work Package'!B427),"",'Work Package'!B427)</f>
        <v/>
      </c>
    </row>
    <row r="417" spans="1:1" x14ac:dyDescent="0.3">
      <c r="A417" t="str">
        <f>IF(ISBLANK('Work Package'!B428),"",'Work Package'!B428)</f>
        <v/>
      </c>
    </row>
    <row r="418" spans="1:1" x14ac:dyDescent="0.3">
      <c r="A418" t="str">
        <f>IF(ISBLANK('Work Package'!B429),"",'Work Package'!B429)</f>
        <v/>
      </c>
    </row>
    <row r="419" spans="1:1" x14ac:dyDescent="0.3">
      <c r="A419" t="str">
        <f>IF(ISBLANK('Work Package'!B430),"",'Work Package'!B430)</f>
        <v/>
      </c>
    </row>
    <row r="420" spans="1:1" x14ac:dyDescent="0.3">
      <c r="A420" t="str">
        <f>IF(ISBLANK('Work Package'!B431),"",'Work Package'!B431)</f>
        <v/>
      </c>
    </row>
    <row r="421" spans="1:1" x14ac:dyDescent="0.3">
      <c r="A421" t="str">
        <f>IF(ISBLANK('Work Package'!B432),"",'Work Package'!B432)</f>
        <v/>
      </c>
    </row>
    <row r="422" spans="1:1" x14ac:dyDescent="0.3">
      <c r="A422" t="str">
        <f>IF(ISBLANK('Work Package'!B433),"",'Work Package'!B433)</f>
        <v/>
      </c>
    </row>
    <row r="423" spans="1:1" x14ac:dyDescent="0.3">
      <c r="A423" t="str">
        <f>IF(ISBLANK('Work Package'!B434),"",'Work Package'!B434)</f>
        <v/>
      </c>
    </row>
    <row r="424" spans="1:1" x14ac:dyDescent="0.3">
      <c r="A424" t="str">
        <f>IF(ISBLANK('Work Package'!B435),"",'Work Package'!B435)</f>
        <v/>
      </c>
    </row>
    <row r="425" spans="1:1" x14ac:dyDescent="0.3">
      <c r="A425" t="str">
        <f>IF(ISBLANK('Work Package'!B436),"",'Work Package'!B436)</f>
        <v/>
      </c>
    </row>
    <row r="426" spans="1:1" x14ac:dyDescent="0.3">
      <c r="A426" t="str">
        <f>IF(ISBLANK('Work Package'!B437),"",'Work Package'!B437)</f>
        <v/>
      </c>
    </row>
    <row r="427" spans="1:1" x14ac:dyDescent="0.3">
      <c r="A427" t="str">
        <f>IF(ISBLANK('Work Package'!B438),"",'Work Package'!B438)</f>
        <v/>
      </c>
    </row>
    <row r="428" spans="1:1" x14ac:dyDescent="0.3">
      <c r="A428" t="str">
        <f>IF(ISBLANK('Work Package'!B439),"",'Work Package'!B439)</f>
        <v/>
      </c>
    </row>
    <row r="429" spans="1:1" x14ac:dyDescent="0.3">
      <c r="A429" t="str">
        <f>IF(ISBLANK('Work Package'!B440),"",'Work Package'!B440)</f>
        <v/>
      </c>
    </row>
    <row r="430" spans="1:1" x14ac:dyDescent="0.3">
      <c r="A430" t="str">
        <f>IF(ISBLANK('Work Package'!B441),"",'Work Package'!B441)</f>
        <v/>
      </c>
    </row>
    <row r="431" spans="1:1" x14ac:dyDescent="0.3">
      <c r="A431" t="str">
        <f>IF(ISBLANK('Work Package'!B442),"",'Work Package'!B442)</f>
        <v/>
      </c>
    </row>
    <row r="432" spans="1:1" x14ac:dyDescent="0.3">
      <c r="A432" t="str">
        <f>IF(ISBLANK('Work Package'!B443),"",'Work Package'!B443)</f>
        <v/>
      </c>
    </row>
    <row r="433" spans="1:1" x14ac:dyDescent="0.3">
      <c r="A433" t="str">
        <f>IF(ISBLANK('Work Package'!B444),"",'Work Package'!B444)</f>
        <v/>
      </c>
    </row>
    <row r="434" spans="1:1" x14ac:dyDescent="0.3">
      <c r="A434" t="str">
        <f>IF(ISBLANK('Work Package'!B445),"",'Work Package'!B445)</f>
        <v/>
      </c>
    </row>
    <row r="435" spans="1:1" x14ac:dyDescent="0.3">
      <c r="A435" t="str">
        <f>IF(ISBLANK('Work Package'!B446),"",'Work Package'!B446)</f>
        <v/>
      </c>
    </row>
    <row r="436" spans="1:1" x14ac:dyDescent="0.3">
      <c r="A436" t="str">
        <f>IF(ISBLANK('Work Package'!B447),"",'Work Package'!B447)</f>
        <v/>
      </c>
    </row>
    <row r="437" spans="1:1" x14ac:dyDescent="0.3">
      <c r="A437" t="str">
        <f>IF(ISBLANK('Work Package'!B448),"",'Work Package'!B448)</f>
        <v/>
      </c>
    </row>
    <row r="438" spans="1:1" x14ac:dyDescent="0.3">
      <c r="A438" t="str">
        <f>IF(ISBLANK('Work Package'!B449),"",'Work Package'!B449)</f>
        <v/>
      </c>
    </row>
    <row r="439" spans="1:1" x14ac:dyDescent="0.3">
      <c r="A439" t="str">
        <f>IF(ISBLANK('Work Package'!B450),"",'Work Package'!B450)</f>
        <v/>
      </c>
    </row>
    <row r="440" spans="1:1" x14ac:dyDescent="0.3">
      <c r="A440" t="str">
        <f>IF(ISBLANK('Work Package'!B451),"",'Work Package'!B451)</f>
        <v/>
      </c>
    </row>
    <row r="441" spans="1:1" x14ac:dyDescent="0.3">
      <c r="A441" t="str">
        <f>IF(ISBLANK('Work Package'!B452),"",'Work Package'!B452)</f>
        <v/>
      </c>
    </row>
    <row r="442" spans="1:1" x14ac:dyDescent="0.3">
      <c r="A442" t="str">
        <f>IF(ISBLANK('Work Package'!B453),"",'Work Package'!B453)</f>
        <v/>
      </c>
    </row>
    <row r="443" spans="1:1" x14ac:dyDescent="0.3">
      <c r="A443" t="str">
        <f>IF(ISBLANK('Work Package'!B454),"",'Work Package'!B454)</f>
        <v/>
      </c>
    </row>
    <row r="444" spans="1:1" x14ac:dyDescent="0.3">
      <c r="A444" t="str">
        <f>IF(ISBLANK('Work Package'!B455),"",'Work Package'!B455)</f>
        <v/>
      </c>
    </row>
    <row r="445" spans="1:1" x14ac:dyDescent="0.3">
      <c r="A445" t="str">
        <f>IF(ISBLANK('Work Package'!B456),"",'Work Package'!B456)</f>
        <v/>
      </c>
    </row>
    <row r="446" spans="1:1" x14ac:dyDescent="0.3">
      <c r="A446" t="str">
        <f>IF(ISBLANK('Work Package'!B457),"",'Work Package'!B457)</f>
        <v/>
      </c>
    </row>
    <row r="447" spans="1:1" x14ac:dyDescent="0.3">
      <c r="A447" t="str">
        <f>IF(ISBLANK('Work Package'!B458),"",'Work Package'!B458)</f>
        <v/>
      </c>
    </row>
    <row r="448" spans="1:1" x14ac:dyDescent="0.3">
      <c r="A448" t="str">
        <f>IF(ISBLANK('Work Package'!B459),"",'Work Package'!B459)</f>
        <v/>
      </c>
    </row>
    <row r="449" spans="1:1" x14ac:dyDescent="0.3">
      <c r="A449" t="str">
        <f>IF(ISBLANK('Work Package'!B460),"",'Work Package'!B460)</f>
        <v/>
      </c>
    </row>
    <row r="450" spans="1:1" x14ac:dyDescent="0.3">
      <c r="A450" t="str">
        <f>IF(ISBLANK('Work Package'!B461),"",'Work Package'!B461)</f>
        <v/>
      </c>
    </row>
    <row r="451" spans="1:1" x14ac:dyDescent="0.3">
      <c r="A451" t="str">
        <f>IF(ISBLANK('Work Package'!B462),"",'Work Package'!B462)</f>
        <v/>
      </c>
    </row>
    <row r="452" spans="1:1" x14ac:dyDescent="0.3">
      <c r="A452" t="str">
        <f>IF(ISBLANK('Work Package'!B463),"",'Work Package'!B463)</f>
        <v/>
      </c>
    </row>
    <row r="453" spans="1:1" x14ac:dyDescent="0.3">
      <c r="A453" t="str">
        <f>IF(ISBLANK('Work Package'!B464),"",'Work Package'!B464)</f>
        <v/>
      </c>
    </row>
    <row r="454" spans="1:1" x14ac:dyDescent="0.3">
      <c r="A454" t="str">
        <f>IF(ISBLANK('Work Package'!B465),"",'Work Package'!B465)</f>
        <v/>
      </c>
    </row>
    <row r="455" spans="1:1" x14ac:dyDescent="0.3">
      <c r="A455" t="str">
        <f>IF(ISBLANK('Work Package'!B466),"",'Work Package'!B466)</f>
        <v/>
      </c>
    </row>
    <row r="456" spans="1:1" x14ac:dyDescent="0.3">
      <c r="A456" t="str">
        <f>IF(ISBLANK('Work Package'!B467),"",'Work Package'!B467)</f>
        <v/>
      </c>
    </row>
    <row r="457" spans="1:1" x14ac:dyDescent="0.3">
      <c r="A457" t="str">
        <f>IF(ISBLANK('Work Package'!B468),"",'Work Package'!B468)</f>
        <v/>
      </c>
    </row>
    <row r="458" spans="1:1" x14ac:dyDescent="0.3">
      <c r="A458" t="str">
        <f>IF(ISBLANK('Work Package'!B469),"",'Work Package'!B469)</f>
        <v/>
      </c>
    </row>
    <row r="459" spans="1:1" x14ac:dyDescent="0.3">
      <c r="A459" t="str">
        <f>IF(ISBLANK('Work Package'!B470),"",'Work Package'!B470)</f>
        <v/>
      </c>
    </row>
    <row r="460" spans="1:1" x14ac:dyDescent="0.3">
      <c r="A460" t="str">
        <f>IF(ISBLANK('Work Package'!B471),"",'Work Package'!B471)</f>
        <v/>
      </c>
    </row>
    <row r="461" spans="1:1" x14ac:dyDescent="0.3">
      <c r="A461" t="str">
        <f>IF(ISBLANK('Work Package'!B472),"",'Work Package'!B472)</f>
        <v/>
      </c>
    </row>
    <row r="462" spans="1:1" x14ac:dyDescent="0.3">
      <c r="A462" t="str">
        <f>IF(ISBLANK('Work Package'!B473),"",'Work Package'!B473)</f>
        <v/>
      </c>
    </row>
    <row r="463" spans="1:1" x14ac:dyDescent="0.3">
      <c r="A463" t="str">
        <f>IF(ISBLANK('Work Package'!B474),"",'Work Package'!B474)</f>
        <v/>
      </c>
    </row>
    <row r="464" spans="1:1" x14ac:dyDescent="0.3">
      <c r="A464" t="str">
        <f>IF(ISBLANK('Work Package'!B475),"",'Work Package'!B475)</f>
        <v/>
      </c>
    </row>
    <row r="465" spans="1:1" x14ac:dyDescent="0.3">
      <c r="A465" t="str">
        <f>IF(ISBLANK('Work Package'!B476),"",'Work Package'!B476)</f>
        <v/>
      </c>
    </row>
    <row r="466" spans="1:1" x14ac:dyDescent="0.3">
      <c r="A466" t="str">
        <f>IF(ISBLANK('Work Package'!B477),"",'Work Package'!B477)</f>
        <v/>
      </c>
    </row>
    <row r="467" spans="1:1" x14ac:dyDescent="0.3">
      <c r="A467" t="str">
        <f>IF(ISBLANK('Work Package'!B478),"",'Work Package'!B478)</f>
        <v/>
      </c>
    </row>
    <row r="468" spans="1:1" x14ac:dyDescent="0.3">
      <c r="A468" t="str">
        <f>IF(ISBLANK('Work Package'!B479),"",'Work Package'!B479)</f>
        <v/>
      </c>
    </row>
    <row r="469" spans="1:1" x14ac:dyDescent="0.3">
      <c r="A469" t="str">
        <f>IF(ISBLANK('Work Package'!B480),"",'Work Package'!B480)</f>
        <v/>
      </c>
    </row>
    <row r="470" spans="1:1" x14ac:dyDescent="0.3">
      <c r="A470" t="str">
        <f>IF(ISBLANK('Work Package'!B481),"",'Work Package'!B481)</f>
        <v/>
      </c>
    </row>
    <row r="471" spans="1:1" x14ac:dyDescent="0.3">
      <c r="A471" t="str">
        <f>IF(ISBLANK('Work Package'!B482),"",'Work Package'!B482)</f>
        <v/>
      </c>
    </row>
    <row r="472" spans="1:1" x14ac:dyDescent="0.3">
      <c r="A472" t="str">
        <f>IF(ISBLANK('Work Package'!B483),"",'Work Package'!B483)</f>
        <v/>
      </c>
    </row>
    <row r="473" spans="1:1" x14ac:dyDescent="0.3">
      <c r="A473" t="str">
        <f>IF(ISBLANK('Work Package'!B484),"",'Work Package'!B484)</f>
        <v/>
      </c>
    </row>
    <row r="474" spans="1:1" x14ac:dyDescent="0.3">
      <c r="A474" t="str">
        <f>IF(ISBLANK('Work Package'!B485),"",'Work Package'!B485)</f>
        <v/>
      </c>
    </row>
    <row r="475" spans="1:1" x14ac:dyDescent="0.3">
      <c r="A475" t="str">
        <f>IF(ISBLANK('Work Package'!B486),"",'Work Package'!B486)</f>
        <v/>
      </c>
    </row>
    <row r="476" spans="1:1" x14ac:dyDescent="0.3">
      <c r="A476" t="str">
        <f>IF(ISBLANK('Work Package'!B487),"",'Work Package'!B487)</f>
        <v/>
      </c>
    </row>
    <row r="477" spans="1:1" x14ac:dyDescent="0.3">
      <c r="A477" t="str">
        <f>IF(ISBLANK('Work Package'!B488),"",'Work Package'!B488)</f>
        <v/>
      </c>
    </row>
    <row r="478" spans="1:1" x14ac:dyDescent="0.3">
      <c r="A478" t="str">
        <f>IF(ISBLANK('Work Package'!B489),"",'Work Package'!B489)</f>
        <v/>
      </c>
    </row>
    <row r="479" spans="1:1" x14ac:dyDescent="0.3">
      <c r="A479" t="str">
        <f>IF(ISBLANK('Work Package'!B490),"",'Work Package'!B490)</f>
        <v/>
      </c>
    </row>
    <row r="480" spans="1:1" x14ac:dyDescent="0.3">
      <c r="A480" t="str">
        <f>IF(ISBLANK('Work Package'!B491),"",'Work Package'!B491)</f>
        <v/>
      </c>
    </row>
    <row r="481" spans="1:1" x14ac:dyDescent="0.3">
      <c r="A481" t="str">
        <f>IF(ISBLANK('Work Package'!B492),"",'Work Package'!B492)</f>
        <v/>
      </c>
    </row>
    <row r="482" spans="1:1" x14ac:dyDescent="0.3">
      <c r="A482" t="str">
        <f>IF(ISBLANK('Work Package'!B493),"",'Work Package'!B493)</f>
        <v/>
      </c>
    </row>
    <row r="483" spans="1:1" x14ac:dyDescent="0.3">
      <c r="A483" t="str">
        <f>IF(ISBLANK('Work Package'!B494),"",'Work Package'!B494)</f>
        <v/>
      </c>
    </row>
    <row r="484" spans="1:1" x14ac:dyDescent="0.3">
      <c r="A484" t="str">
        <f>IF(ISBLANK('Work Package'!B495),"",'Work Package'!B495)</f>
        <v/>
      </c>
    </row>
    <row r="485" spans="1:1" x14ac:dyDescent="0.3">
      <c r="A485" t="str">
        <f>IF(ISBLANK('Work Package'!B496),"",'Work Package'!B496)</f>
        <v/>
      </c>
    </row>
    <row r="486" spans="1:1" x14ac:dyDescent="0.3">
      <c r="A486" t="str">
        <f>IF(ISBLANK('Work Package'!B497),"",'Work Package'!B497)</f>
        <v/>
      </c>
    </row>
    <row r="487" spans="1:1" x14ac:dyDescent="0.3">
      <c r="A487" t="str">
        <f>IF(ISBLANK('Work Package'!B498),"",'Work Package'!B498)</f>
        <v/>
      </c>
    </row>
    <row r="488" spans="1:1" x14ac:dyDescent="0.3">
      <c r="A488" t="str">
        <f>IF(ISBLANK('Work Package'!B499),"",'Work Package'!B499)</f>
        <v/>
      </c>
    </row>
    <row r="489" spans="1:1" x14ac:dyDescent="0.3">
      <c r="A489" t="str">
        <f>IF(ISBLANK('Work Package'!B500),"",'Work Package'!B500)</f>
        <v/>
      </c>
    </row>
    <row r="490" spans="1:1" x14ac:dyDescent="0.3">
      <c r="A490" t="str">
        <f>IF(ISBLANK('Work Package'!B501),"",'Work Package'!B501)</f>
        <v/>
      </c>
    </row>
    <row r="491" spans="1:1" x14ac:dyDescent="0.3">
      <c r="A491" t="str">
        <f>IF(ISBLANK('Work Package'!B502),"",'Work Package'!B502)</f>
        <v/>
      </c>
    </row>
    <row r="492" spans="1:1" x14ac:dyDescent="0.3">
      <c r="A492" t="str">
        <f>IF(ISBLANK('Work Package'!B503),"",'Work Package'!B503)</f>
        <v/>
      </c>
    </row>
    <row r="493" spans="1:1" x14ac:dyDescent="0.3">
      <c r="A493" t="str">
        <f>IF(ISBLANK('Work Package'!B504),"",'Work Package'!B504)</f>
        <v/>
      </c>
    </row>
    <row r="494" spans="1:1" x14ac:dyDescent="0.3">
      <c r="A494" t="str">
        <f>IF(ISBLANK('Work Package'!B505),"",'Work Package'!B505)</f>
        <v/>
      </c>
    </row>
    <row r="495" spans="1:1" x14ac:dyDescent="0.3">
      <c r="A495" t="str">
        <f>IF(ISBLANK('Work Package'!B506),"",'Work Package'!B506)</f>
        <v/>
      </c>
    </row>
    <row r="496" spans="1:1" x14ac:dyDescent="0.3">
      <c r="A496" t="str">
        <f>IF(ISBLANK('Work Package'!B507),"",'Work Package'!B507)</f>
        <v/>
      </c>
    </row>
    <row r="497" spans="1:1" x14ac:dyDescent="0.3">
      <c r="A497" t="str">
        <f>IF(ISBLANK('Work Package'!B508),"",'Work Package'!B508)</f>
        <v/>
      </c>
    </row>
    <row r="498" spans="1:1" x14ac:dyDescent="0.3">
      <c r="A498" t="str">
        <f>IF(ISBLANK('Work Package'!B509),"",'Work Package'!B509)</f>
        <v/>
      </c>
    </row>
    <row r="499" spans="1:1" x14ac:dyDescent="0.3">
      <c r="A499" t="str">
        <f>IF(ISBLANK('Work Package'!B510),"",'Work Package'!B510)</f>
        <v/>
      </c>
    </row>
    <row r="500" spans="1:1" x14ac:dyDescent="0.3">
      <c r="A500" t="str">
        <f>IF(ISBLANK('Work Package'!B511),"",'Work Package'!B511)</f>
        <v/>
      </c>
    </row>
    <row r="501" spans="1:1" x14ac:dyDescent="0.3">
      <c r="A501" t="str">
        <f>IF(ISBLANK('Work Package'!B512),"",'Work Package'!B512)</f>
        <v/>
      </c>
    </row>
    <row r="502" spans="1:1" x14ac:dyDescent="0.3">
      <c r="A502" t="str">
        <f>IF(ISBLANK('Work Package'!B513),"",'Work Package'!B513)</f>
        <v/>
      </c>
    </row>
    <row r="503" spans="1:1" x14ac:dyDescent="0.3">
      <c r="A503" t="str">
        <f>IF(ISBLANK('Work Package'!B514),"",'Work Package'!B514)</f>
        <v/>
      </c>
    </row>
    <row r="504" spans="1:1" x14ac:dyDescent="0.3">
      <c r="A504" t="str">
        <f>IF(ISBLANK('Work Package'!B515),"",'Work Package'!B515)</f>
        <v/>
      </c>
    </row>
    <row r="505" spans="1:1" x14ac:dyDescent="0.3">
      <c r="A505" t="str">
        <f>IF(ISBLANK('Work Package'!B516),"",'Work Package'!B516)</f>
        <v/>
      </c>
    </row>
    <row r="506" spans="1:1" x14ac:dyDescent="0.3">
      <c r="A506" t="str">
        <f>IF(ISBLANK('Work Package'!B517),"",'Work Package'!B517)</f>
        <v/>
      </c>
    </row>
    <row r="507" spans="1:1" x14ac:dyDescent="0.3">
      <c r="A507" t="str">
        <f>IF(ISBLANK('Work Package'!B518),"",'Work Package'!B518)</f>
        <v/>
      </c>
    </row>
    <row r="508" spans="1:1" x14ac:dyDescent="0.3">
      <c r="A508" t="str">
        <f>IF(ISBLANK('Work Package'!B519),"",'Work Package'!B519)</f>
        <v/>
      </c>
    </row>
    <row r="509" spans="1:1" x14ac:dyDescent="0.3">
      <c r="A509" t="str">
        <f>IF(ISBLANK('Work Package'!B520),"",'Work Package'!B520)</f>
        <v/>
      </c>
    </row>
    <row r="510" spans="1:1" x14ac:dyDescent="0.3">
      <c r="A510" t="str">
        <f>IF(ISBLANK('Work Package'!B521),"",'Work Package'!B521)</f>
        <v/>
      </c>
    </row>
    <row r="511" spans="1:1" x14ac:dyDescent="0.3">
      <c r="A511" t="str">
        <f>IF(ISBLANK('Work Package'!B522),"",'Work Package'!B522)</f>
        <v/>
      </c>
    </row>
    <row r="512" spans="1:1" x14ac:dyDescent="0.3">
      <c r="A512" t="str">
        <f>IF(ISBLANK('Work Package'!B523),"",'Work Package'!B523)</f>
        <v/>
      </c>
    </row>
    <row r="513" spans="1:1" x14ac:dyDescent="0.3">
      <c r="A513" t="str">
        <f>IF(ISBLANK('Work Package'!B524),"",'Work Package'!B524)</f>
        <v/>
      </c>
    </row>
    <row r="514" spans="1:1" x14ac:dyDescent="0.3">
      <c r="A514" t="str">
        <f>IF(ISBLANK('Work Package'!B525),"",'Work Package'!B525)</f>
        <v/>
      </c>
    </row>
    <row r="515" spans="1:1" x14ac:dyDescent="0.3">
      <c r="A515" t="str">
        <f>IF(ISBLANK('Work Package'!B526),"",'Work Package'!B526)</f>
        <v/>
      </c>
    </row>
    <row r="516" spans="1:1" x14ac:dyDescent="0.3">
      <c r="A516" t="str">
        <f>IF(ISBLANK('Work Package'!B527),"",'Work Package'!B527)</f>
        <v/>
      </c>
    </row>
    <row r="517" spans="1:1" x14ac:dyDescent="0.3">
      <c r="A517" t="str">
        <f>IF(ISBLANK('Work Package'!B528),"",'Work Package'!B528)</f>
        <v/>
      </c>
    </row>
    <row r="518" spans="1:1" x14ac:dyDescent="0.3">
      <c r="A518" t="str">
        <f>IF(ISBLANK('Work Package'!B529),"",'Work Package'!B529)</f>
        <v/>
      </c>
    </row>
    <row r="519" spans="1:1" x14ac:dyDescent="0.3">
      <c r="A519" t="str">
        <f>IF(ISBLANK('Work Package'!B530),"",'Work Package'!B530)</f>
        <v/>
      </c>
    </row>
    <row r="520" spans="1:1" x14ac:dyDescent="0.3">
      <c r="A520" t="str">
        <f>IF(ISBLANK('Work Package'!B531),"",'Work Package'!B531)</f>
        <v/>
      </c>
    </row>
    <row r="521" spans="1:1" x14ac:dyDescent="0.3">
      <c r="A521" t="str">
        <f>IF(ISBLANK('Work Package'!B532),"",'Work Package'!B532)</f>
        <v/>
      </c>
    </row>
    <row r="522" spans="1:1" x14ac:dyDescent="0.3">
      <c r="A522" t="str">
        <f>IF(ISBLANK('Work Package'!B533),"",'Work Package'!B533)</f>
        <v/>
      </c>
    </row>
    <row r="523" spans="1:1" x14ac:dyDescent="0.3">
      <c r="A523" t="str">
        <f>IF(ISBLANK('Work Package'!B534),"",'Work Package'!B534)</f>
        <v/>
      </c>
    </row>
    <row r="524" spans="1:1" x14ac:dyDescent="0.3">
      <c r="A524" t="str">
        <f>IF(ISBLANK('Work Package'!B535),"",'Work Package'!B535)</f>
        <v/>
      </c>
    </row>
    <row r="525" spans="1:1" x14ac:dyDescent="0.3">
      <c r="A525" t="str">
        <f>IF(ISBLANK('Work Package'!B536),"",'Work Package'!B536)</f>
        <v/>
      </c>
    </row>
    <row r="526" spans="1:1" x14ac:dyDescent="0.3">
      <c r="A526" t="str">
        <f>IF(ISBLANK('Work Package'!B537),"",'Work Package'!B537)</f>
        <v/>
      </c>
    </row>
    <row r="527" spans="1:1" x14ac:dyDescent="0.3">
      <c r="A527" t="str">
        <f>IF(ISBLANK('Work Package'!B538),"",'Work Package'!B538)</f>
        <v/>
      </c>
    </row>
    <row r="528" spans="1:1" x14ac:dyDescent="0.3">
      <c r="A528" t="str">
        <f>IF(ISBLANK('Work Package'!B539),"",'Work Package'!B539)</f>
        <v/>
      </c>
    </row>
    <row r="529" spans="1:1" x14ac:dyDescent="0.3">
      <c r="A529" t="str">
        <f>IF(ISBLANK('Work Package'!B540),"",'Work Package'!B540)</f>
        <v/>
      </c>
    </row>
    <row r="530" spans="1:1" x14ac:dyDescent="0.3">
      <c r="A530" t="str">
        <f>IF(ISBLANK('Work Package'!B541),"",'Work Package'!B541)</f>
        <v/>
      </c>
    </row>
    <row r="531" spans="1:1" x14ac:dyDescent="0.3">
      <c r="A531" t="str">
        <f>IF(ISBLANK('Work Package'!B542),"",'Work Package'!B542)</f>
        <v/>
      </c>
    </row>
    <row r="532" spans="1:1" x14ac:dyDescent="0.3">
      <c r="A532" t="str">
        <f>IF(ISBLANK('Work Package'!B543),"",'Work Package'!B543)</f>
        <v/>
      </c>
    </row>
    <row r="533" spans="1:1" x14ac:dyDescent="0.3">
      <c r="A533" t="str">
        <f>IF(ISBLANK('Work Package'!B544),"",'Work Package'!B544)</f>
        <v/>
      </c>
    </row>
    <row r="534" spans="1:1" x14ac:dyDescent="0.3">
      <c r="A534" t="str">
        <f>IF(ISBLANK('Work Package'!B545),"",'Work Package'!B545)</f>
        <v/>
      </c>
    </row>
    <row r="535" spans="1:1" x14ac:dyDescent="0.3">
      <c r="A535" t="str">
        <f>IF(ISBLANK('Work Package'!B546),"",'Work Package'!B546)</f>
        <v/>
      </c>
    </row>
    <row r="536" spans="1:1" x14ac:dyDescent="0.3">
      <c r="A536" t="str">
        <f>IF(ISBLANK('Work Package'!B547),"",'Work Package'!B547)</f>
        <v/>
      </c>
    </row>
    <row r="537" spans="1:1" x14ac:dyDescent="0.3">
      <c r="A537" t="str">
        <f>IF(ISBLANK('Work Package'!B548),"",'Work Package'!B548)</f>
        <v/>
      </c>
    </row>
    <row r="538" spans="1:1" x14ac:dyDescent="0.3">
      <c r="A538" t="str">
        <f>IF(ISBLANK('Work Package'!B549),"",'Work Package'!B549)</f>
        <v/>
      </c>
    </row>
    <row r="539" spans="1:1" x14ac:dyDescent="0.3">
      <c r="A539" t="str">
        <f>IF(ISBLANK('Work Package'!B550),"",'Work Package'!B550)</f>
        <v/>
      </c>
    </row>
    <row r="540" spans="1:1" x14ac:dyDescent="0.3">
      <c r="A540" t="str">
        <f>IF(ISBLANK('Work Package'!B551),"",'Work Package'!B551)</f>
        <v/>
      </c>
    </row>
    <row r="541" spans="1:1" x14ac:dyDescent="0.3">
      <c r="A541" t="str">
        <f>IF(ISBLANK('Work Package'!B552),"",'Work Package'!B552)</f>
        <v/>
      </c>
    </row>
    <row r="542" spans="1:1" x14ac:dyDescent="0.3">
      <c r="A542" t="str">
        <f>IF(ISBLANK('Work Package'!B553),"",'Work Package'!B553)</f>
        <v/>
      </c>
    </row>
    <row r="543" spans="1:1" x14ac:dyDescent="0.3">
      <c r="A543" t="str">
        <f>IF(ISBLANK('Work Package'!B554),"",'Work Package'!B554)</f>
        <v/>
      </c>
    </row>
    <row r="544" spans="1:1" x14ac:dyDescent="0.3">
      <c r="A544" t="str">
        <f>IF(ISBLANK('Work Package'!B555),"",'Work Package'!B555)</f>
        <v/>
      </c>
    </row>
    <row r="545" spans="1:1" x14ac:dyDescent="0.3">
      <c r="A545" t="str">
        <f>IF(ISBLANK('Work Package'!B556),"",'Work Package'!B556)</f>
        <v/>
      </c>
    </row>
    <row r="546" spans="1:1" x14ac:dyDescent="0.3">
      <c r="A546" t="str">
        <f>IF(ISBLANK('Work Package'!B557),"",'Work Package'!B557)</f>
        <v/>
      </c>
    </row>
    <row r="547" spans="1:1" x14ac:dyDescent="0.3">
      <c r="A547" t="str">
        <f>IF(ISBLANK('Work Package'!B558),"",'Work Package'!B558)</f>
        <v/>
      </c>
    </row>
    <row r="548" spans="1:1" x14ac:dyDescent="0.3">
      <c r="A548" t="str">
        <f>IF(ISBLANK('Work Package'!B559),"",'Work Package'!B559)</f>
        <v/>
      </c>
    </row>
    <row r="549" spans="1:1" x14ac:dyDescent="0.3">
      <c r="A549" t="str">
        <f>IF(ISBLANK('Work Package'!B560),"",'Work Package'!B560)</f>
        <v/>
      </c>
    </row>
    <row r="550" spans="1:1" x14ac:dyDescent="0.3">
      <c r="A550" t="str">
        <f>IF(ISBLANK('Work Package'!B561),"",'Work Package'!B561)</f>
        <v/>
      </c>
    </row>
    <row r="551" spans="1:1" x14ac:dyDescent="0.3">
      <c r="A551" t="str">
        <f>IF(ISBLANK('Work Package'!B562),"",'Work Package'!B562)</f>
        <v/>
      </c>
    </row>
    <row r="552" spans="1:1" x14ac:dyDescent="0.3">
      <c r="A552" t="str">
        <f>IF(ISBLANK('Work Package'!B563),"",'Work Package'!B563)</f>
        <v/>
      </c>
    </row>
    <row r="553" spans="1:1" x14ac:dyDescent="0.3">
      <c r="A553" t="str">
        <f>IF(ISBLANK('Work Package'!B564),"",'Work Package'!B564)</f>
        <v/>
      </c>
    </row>
    <row r="554" spans="1:1" x14ac:dyDescent="0.3">
      <c r="A554" t="str">
        <f>IF(ISBLANK('Work Package'!B565),"",'Work Package'!B565)</f>
        <v/>
      </c>
    </row>
    <row r="555" spans="1:1" x14ac:dyDescent="0.3">
      <c r="A555" t="str">
        <f>IF(ISBLANK('Work Package'!B566),"",'Work Package'!B566)</f>
        <v/>
      </c>
    </row>
    <row r="556" spans="1:1" x14ac:dyDescent="0.3">
      <c r="A556" t="str">
        <f>IF(ISBLANK('Work Package'!B567),"",'Work Package'!B567)</f>
        <v/>
      </c>
    </row>
    <row r="557" spans="1:1" x14ac:dyDescent="0.3">
      <c r="A557" t="str">
        <f>IF(ISBLANK('Work Package'!B568),"",'Work Package'!B568)</f>
        <v/>
      </c>
    </row>
    <row r="558" spans="1:1" x14ac:dyDescent="0.3">
      <c r="A558" t="str">
        <f>IF(ISBLANK('Work Package'!B569),"",'Work Package'!B569)</f>
        <v/>
      </c>
    </row>
    <row r="559" spans="1:1" x14ac:dyDescent="0.3">
      <c r="A559" t="str">
        <f>IF(ISBLANK('Work Package'!B570),"",'Work Package'!B570)</f>
        <v/>
      </c>
    </row>
    <row r="560" spans="1:1" x14ac:dyDescent="0.3">
      <c r="A560" t="str">
        <f>IF(ISBLANK('Work Package'!B571),"",'Work Package'!B571)</f>
        <v/>
      </c>
    </row>
    <row r="561" spans="1:1" x14ac:dyDescent="0.3">
      <c r="A561" t="str">
        <f>IF(ISBLANK('Work Package'!B572),"",'Work Package'!B572)</f>
        <v/>
      </c>
    </row>
    <row r="562" spans="1:1" x14ac:dyDescent="0.3">
      <c r="A562" t="str">
        <f>IF(ISBLANK('Work Package'!B573),"",'Work Package'!B573)</f>
        <v/>
      </c>
    </row>
    <row r="563" spans="1:1" x14ac:dyDescent="0.3">
      <c r="A563" t="str">
        <f>IF(ISBLANK('Work Package'!B574),"",'Work Package'!B574)</f>
        <v/>
      </c>
    </row>
    <row r="564" spans="1:1" x14ac:dyDescent="0.3">
      <c r="A564" t="str">
        <f>IF(ISBLANK('Work Package'!B575),"",'Work Package'!B575)</f>
        <v/>
      </c>
    </row>
    <row r="565" spans="1:1" x14ac:dyDescent="0.3">
      <c r="A565" t="str">
        <f>IF(ISBLANK('Work Package'!B576),"",'Work Package'!B576)</f>
        <v/>
      </c>
    </row>
    <row r="566" spans="1:1" x14ac:dyDescent="0.3">
      <c r="A566" t="str">
        <f>IF(ISBLANK('Work Package'!B577),"",'Work Package'!B577)</f>
        <v/>
      </c>
    </row>
    <row r="567" spans="1:1" x14ac:dyDescent="0.3">
      <c r="A567" t="str">
        <f>IF(ISBLANK('Work Package'!B578),"",'Work Package'!B578)</f>
        <v/>
      </c>
    </row>
    <row r="568" spans="1:1" x14ac:dyDescent="0.3">
      <c r="A568" t="str">
        <f>IF(ISBLANK('Work Package'!B579),"",'Work Package'!B579)</f>
        <v/>
      </c>
    </row>
    <row r="569" spans="1:1" x14ac:dyDescent="0.3">
      <c r="A569" t="str">
        <f>IF(ISBLANK('Work Package'!B580),"",'Work Package'!B580)</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D6C5C-D761-4BC6-8B1C-B1DFA3182B6D}">
  <sheetPr codeName="Sheet2"/>
  <dimension ref="A1:BB103"/>
  <sheetViews>
    <sheetView topLeftCell="C1" zoomScale="70" zoomScaleNormal="70" workbookViewId="0">
      <selection activeCell="D1" sqref="D1:T1"/>
    </sheetView>
  </sheetViews>
  <sheetFormatPr defaultRowHeight="14.4" x14ac:dyDescent="0.3"/>
  <cols>
    <col min="1" max="1" width="22" customWidth="1"/>
    <col min="2" max="2" width="40.88671875" customWidth="1"/>
    <col min="3" max="3" width="0.88671875" style="28" customWidth="1"/>
    <col min="4" max="4" width="7.88671875" style="24" customWidth="1"/>
    <col min="5" max="5" width="32.21875" style="26" customWidth="1"/>
    <col min="6" max="6" width="23.33203125" style="59" customWidth="1"/>
    <col min="7" max="7" width="19.6640625" style="20" customWidth="1"/>
    <col min="8" max="8" width="16.109375" style="20" customWidth="1"/>
    <col min="9" max="10" width="16.6640625" style="22" customWidth="1"/>
    <col min="11" max="12" width="16.6640625" style="20" customWidth="1"/>
    <col min="13" max="13" width="6.77734375" style="59" customWidth="1"/>
    <col min="14" max="14" width="16.6640625" style="20" customWidth="1"/>
    <col min="15" max="15" width="18.44140625" style="20" customWidth="1"/>
    <col min="16" max="16" width="9.21875" customWidth="1"/>
    <col min="17" max="17" width="22.88671875" customWidth="1"/>
    <col min="18" max="18" width="6.44140625" customWidth="1"/>
    <col min="19" max="19" width="13.6640625" style="30" customWidth="1"/>
    <col min="20" max="20" width="8.77734375" customWidth="1"/>
    <col min="21" max="21" width="1.5546875" customWidth="1"/>
    <col min="22" max="22" width="15" customWidth="1"/>
    <col min="23" max="23" width="15.6640625" customWidth="1"/>
    <col min="24" max="24" width="13.6640625" customWidth="1"/>
    <col min="25" max="25" width="1.88671875" customWidth="1"/>
    <col min="26" max="26" width="12.109375" customWidth="1"/>
    <col min="27" max="27" width="14.6640625" customWidth="1"/>
    <col min="28" max="28" width="13" customWidth="1"/>
    <col min="29" max="29" width="1.77734375" customWidth="1"/>
    <col min="30" max="30" width="10.77734375" customWidth="1"/>
    <col min="31" max="34" width="8.88671875" customWidth="1"/>
    <col min="35" max="35" width="3.88671875" customWidth="1"/>
    <col min="36" max="36" width="14" customWidth="1"/>
    <col min="37" max="37" width="1.6640625" customWidth="1"/>
    <col min="38" max="38" width="33.33203125" customWidth="1"/>
    <col min="39" max="39" width="17.77734375" customWidth="1"/>
    <col min="40" max="40" width="20" customWidth="1"/>
    <col min="41" max="41" width="29.5546875" customWidth="1"/>
    <col min="43" max="43" width="14.33203125" customWidth="1"/>
    <col min="44" max="44" width="1.88671875" customWidth="1"/>
    <col min="45" max="45" width="27.109375" customWidth="1"/>
    <col min="46" max="46" width="20.33203125" style="20" customWidth="1"/>
    <col min="47" max="47" width="14.109375" style="20" customWidth="1"/>
    <col min="48" max="48" width="17.77734375" style="20" customWidth="1"/>
    <col min="49" max="49" width="16" style="20" customWidth="1"/>
    <col min="50" max="50" width="9.21875" customWidth="1"/>
    <col min="51" max="51" width="17.44140625" customWidth="1"/>
    <col min="52" max="52" width="18.77734375" customWidth="1"/>
    <col min="53" max="53" width="18.21875" customWidth="1"/>
    <col min="54" max="54" width="19.5546875" customWidth="1"/>
  </cols>
  <sheetData>
    <row r="1" spans="1:54" ht="14.4" customHeight="1" x14ac:dyDescent="0.3">
      <c r="A1" s="1" t="s">
        <v>4</v>
      </c>
      <c r="D1" s="21" t="s">
        <v>43</v>
      </c>
      <c r="E1" s="27" t="s">
        <v>44</v>
      </c>
      <c r="F1" s="61" t="s">
        <v>251</v>
      </c>
      <c r="G1" s="27" t="s">
        <v>252</v>
      </c>
      <c r="H1" s="27" t="s">
        <v>253</v>
      </c>
      <c r="I1" s="27" t="s">
        <v>254</v>
      </c>
      <c r="J1" s="27" t="s">
        <v>255</v>
      </c>
      <c r="K1" s="21" t="s">
        <v>45</v>
      </c>
      <c r="L1" s="21" t="s">
        <v>46</v>
      </c>
      <c r="M1" s="21" t="s">
        <v>232</v>
      </c>
      <c r="N1" s="23" t="s">
        <v>47</v>
      </c>
      <c r="O1" s="23" t="s">
        <v>48</v>
      </c>
      <c r="P1" s="21" t="s">
        <v>49</v>
      </c>
      <c r="Q1" s="21" t="s">
        <v>6</v>
      </c>
      <c r="R1" s="60" t="s">
        <v>250</v>
      </c>
      <c r="S1" s="67" t="s">
        <v>50</v>
      </c>
      <c r="T1" s="21" t="s">
        <v>51</v>
      </c>
      <c r="V1" s="265" t="s">
        <v>5</v>
      </c>
      <c r="W1" s="266"/>
      <c r="X1" s="267"/>
      <c r="Y1" s="63"/>
      <c r="Z1" s="268" t="s">
        <v>14</v>
      </c>
      <c r="AA1" s="269"/>
      <c r="AB1" s="269"/>
      <c r="AC1" s="63"/>
      <c r="AD1" s="270" t="s">
        <v>18</v>
      </c>
      <c r="AE1" s="271"/>
      <c r="AF1" s="271"/>
      <c r="AG1" s="271"/>
      <c r="AH1" s="271"/>
      <c r="AJ1" s="65" t="s">
        <v>30</v>
      </c>
      <c r="AM1" s="65"/>
      <c r="AN1" s="65"/>
      <c r="AO1" s="65"/>
      <c r="AP1" s="65"/>
      <c r="AR1" s="65"/>
      <c r="AS1" s="127" t="s">
        <v>44</v>
      </c>
      <c r="AT1" s="133" t="s">
        <v>47</v>
      </c>
      <c r="AU1" s="26" t="s">
        <v>303</v>
      </c>
      <c r="AV1" s="20" t="s">
        <v>304</v>
      </c>
      <c r="AW1" s="20" t="s">
        <v>305</v>
      </c>
      <c r="AX1" s="20" t="s">
        <v>306</v>
      </c>
      <c r="AY1" s="20" t="s">
        <v>48</v>
      </c>
      <c r="AZ1" s="26" t="s">
        <v>300</v>
      </c>
      <c r="BA1" s="20" t="s">
        <v>231</v>
      </c>
      <c r="BB1" s="26" t="s">
        <v>302</v>
      </c>
    </row>
    <row r="2" spans="1:54" ht="43.2" customHeight="1" x14ac:dyDescent="0.3">
      <c r="A2" t="s">
        <v>0</v>
      </c>
      <c r="B2" t="s">
        <v>0</v>
      </c>
      <c r="D2" s="24">
        <v>1</v>
      </c>
      <c r="E2" s="26" t="s">
        <v>52</v>
      </c>
      <c r="F2" s="62" t="str">
        <f ca="1">IF(TaskTable[[#This Row],[WBS Level]]=2,TaskTable[[#This Row],[PHASE]],OFFSET(TaskTable[[#This Row],[MAIN PHASE]],-1,0))</f>
        <v>Project Kick-off</v>
      </c>
      <c r="G2" s="26" t="str">
        <f ca="1">IF(TaskTable[[#This Row],[WBS Level]]=3,TaskTable[[#This Row],[PHASE]],IF(TaskTable[[#This Row],[WBS Level]]&lt;3,"NONE",OFFSET(TaskTable[[#This Row],[SP-1]],-1,0)))</f>
        <v>NONE</v>
      </c>
      <c r="H2" s="26" t="str">
        <f ca="1">IF(TaskTable[[#This Row],[WBS Level]]=4,TaskTable[[#This Row],[PHASE]],IF(TaskTable[[#This Row],[WBS Level]]&lt;4,"NONE",OFFSET(TaskTable[[#This Row],[SP-2]],-1,0)))</f>
        <v>NONE</v>
      </c>
      <c r="I2" s="26" t="str">
        <f ca="1">IF(TaskTable[[#This Row],[WBS Level]]=5,TaskTable[[#This Row],[PHASE]],IF(TaskTable[[#This Row],[WBS Level]]&lt;5,"NONE",OFFSET(TaskTable[[#This Row],[SP-3]],-1,0)))</f>
        <v>NONE</v>
      </c>
      <c r="J2" s="26" t="str">
        <f ca="1">IF(TaskTable[[#This Row],[WBS Level]]=6,TaskTable[[#This Row],[PHASE]],IF(TaskTable[[#This Row],[WBS Level]]&lt;6,"NONE",OFFSET(TaskTable[[#This Row],[SP-4]],-1,0)))</f>
        <v>NONE</v>
      </c>
      <c r="K2" s="20" t="s">
        <v>53</v>
      </c>
      <c r="M2" s="20">
        <f>LEN(TaskTable[WBS])-LEN(SUBSTITUTE(TaskTable[WBS],".",""))+2</f>
        <v>2</v>
      </c>
      <c r="N2" s="22">
        <v>44645</v>
      </c>
      <c r="O2" s="22">
        <v>44649</v>
      </c>
      <c r="P2" s="20">
        <v>5</v>
      </c>
      <c r="Q2" s="20" t="s">
        <v>10</v>
      </c>
      <c r="R2" s="59" t="str">
        <f>IF(TaskTable[[#This Row],[STATUS]]="COMPLETE",1,"")</f>
        <v/>
      </c>
      <c r="S2" s="66">
        <v>1</v>
      </c>
      <c r="T2" s="20">
        <v>3</v>
      </c>
      <c r="V2" s="2" t="s">
        <v>6</v>
      </c>
      <c r="W2" s="3" t="s">
        <v>7</v>
      </c>
      <c r="X2" s="3" t="s">
        <v>8</v>
      </c>
      <c r="Z2" s="12" t="s">
        <v>15</v>
      </c>
      <c r="AA2" s="13" t="s">
        <v>16</v>
      </c>
      <c r="AB2" s="13" t="s">
        <v>17</v>
      </c>
      <c r="AD2" s="138" t="s">
        <v>19</v>
      </c>
      <c r="AE2" s="139" t="s">
        <v>23</v>
      </c>
      <c r="AF2" s="140" t="s">
        <v>24</v>
      </c>
      <c r="AG2" s="140" t="s">
        <v>25</v>
      </c>
      <c r="AH2" s="1" t="s">
        <v>298</v>
      </c>
      <c r="AI2" s="135"/>
      <c r="AJ2" s="64" t="s">
        <v>3</v>
      </c>
      <c r="AL2" s="272" t="s">
        <v>37</v>
      </c>
      <c r="AM2" s="272" t="s">
        <v>41</v>
      </c>
      <c r="AN2" s="272" t="s">
        <v>40</v>
      </c>
      <c r="AO2" s="273" t="s">
        <v>42</v>
      </c>
      <c r="AP2" s="272" t="s">
        <v>299</v>
      </c>
      <c r="AQ2" s="50" t="s">
        <v>232</v>
      </c>
      <c r="AR2" s="50"/>
      <c r="AS2" s="20" t="s">
        <v>231</v>
      </c>
      <c r="AT2" s="133">
        <v>43941</v>
      </c>
      <c r="AX2" s="20">
        <v>140</v>
      </c>
      <c r="AY2" s="20"/>
      <c r="AZ2" s="20"/>
      <c r="BA2" s="20"/>
      <c r="BB2" s="20"/>
    </row>
    <row r="3" spans="1:54" ht="23.4" customHeight="1" x14ac:dyDescent="0.3">
      <c r="A3" t="s">
        <v>1</v>
      </c>
      <c r="B3" t="s">
        <v>261</v>
      </c>
      <c r="D3" s="24">
        <v>2</v>
      </c>
      <c r="E3" s="26" t="s">
        <v>54</v>
      </c>
      <c r="F3" s="62" t="str">
        <f ca="1">IF(TaskTable[[#This Row],[WBS Level]]=2,TaskTable[[#This Row],[PHASE]],OFFSET(TaskTable[[#This Row],[MAIN PHASE]],-1,0))</f>
        <v>Data Sanitation and training content creation</v>
      </c>
      <c r="G3" s="26" t="str">
        <f ca="1">IF(TaskTable[[#This Row],[WBS Level]]=3,TaskTable[[#This Row],[PHASE]],IF(TaskTable[[#This Row],[WBS Level]]&lt;3,"NONE",OFFSET(TaskTable[[#This Row],[SP-1]],-1,0)))</f>
        <v>NONE</v>
      </c>
      <c r="H3" s="26" t="str">
        <f ca="1">IF(TaskTable[[#This Row],[WBS Level]]=4,TaskTable[[#This Row],[PHASE]],IF(TaskTable[[#This Row],[WBS Level]]&lt;4,"NONE",OFFSET(TaskTable[[#This Row],[SP-2]],-1,0)))</f>
        <v>NONE</v>
      </c>
      <c r="I3" s="26" t="str">
        <f ca="1">IF(TaskTable[[#This Row],[WBS Level]]=5,TaskTable[[#This Row],[PHASE]],IF(TaskTable[[#This Row],[WBS Level]]&lt;5,"NONE",OFFSET(TaskTable[[#This Row],[SP-3]],-1,0)))</f>
        <v>NONE</v>
      </c>
      <c r="J3" s="26" t="str">
        <f ca="1">IF(TaskTable[[#This Row],[WBS Level]]=6,TaskTable[[#This Row],[PHASE]],IF(TaskTable[[#This Row],[WBS Level]]&lt;6,"NONE",OFFSET(TaskTable[[#This Row],[SP-4]],-1,0)))</f>
        <v>NONE</v>
      </c>
      <c r="K3" s="20" t="s">
        <v>55</v>
      </c>
      <c r="M3" s="20">
        <f>LEN(TaskTable[WBS])-LEN(SUBSTITUTE(TaskTable[WBS],".",""))+2</f>
        <v>2</v>
      </c>
      <c r="N3" s="22">
        <v>44664</v>
      </c>
      <c r="O3" s="22">
        <v>44693</v>
      </c>
      <c r="P3" s="20">
        <v>22</v>
      </c>
      <c r="Q3" s="20" t="s">
        <v>12</v>
      </c>
      <c r="R3" s="59">
        <f>IF(TaskTable[[#This Row],[STATUS]]="COMPLETE",1,"")</f>
        <v>1</v>
      </c>
      <c r="S3" s="66">
        <v>0.5</v>
      </c>
      <c r="T3" s="20">
        <v>22</v>
      </c>
      <c r="V3" s="4" t="s">
        <v>9</v>
      </c>
      <c r="W3" s="32">
        <v>4</v>
      </c>
      <c r="X3" s="5">
        <f>notStarted_Cnt/totalTasks_Cnt</f>
        <v>9.5238095238095233E-2</v>
      </c>
      <c r="Z3" s="131">
        <v>5000</v>
      </c>
      <c r="AA3" s="132">
        <v>1000</v>
      </c>
      <c r="AB3" s="132">
        <f>(Z3-AA3)</f>
        <v>4000</v>
      </c>
      <c r="AD3" s="18" t="s">
        <v>20</v>
      </c>
      <c r="AE3" s="14">
        <v>2</v>
      </c>
      <c r="AF3" s="14">
        <v>5</v>
      </c>
      <c r="AG3" s="14">
        <v>8</v>
      </c>
      <c r="AH3">
        <f>SUM(AE3:AG3)</f>
        <v>15</v>
      </c>
      <c r="AI3" s="136"/>
      <c r="AJ3" s="15" t="s">
        <v>9</v>
      </c>
      <c r="AL3" s="272"/>
      <c r="AM3" s="272"/>
      <c r="AN3" s="272"/>
      <c r="AO3" s="273"/>
      <c r="AP3" s="272"/>
      <c r="AQ3" s="50">
        <v>2</v>
      </c>
      <c r="AR3" s="50"/>
      <c r="AS3" s="20" t="s">
        <v>231</v>
      </c>
      <c r="AT3" s="133">
        <v>43941</v>
      </c>
      <c r="AX3" s="20">
        <v>-140</v>
      </c>
      <c r="AY3" s="20"/>
      <c r="AZ3" s="20"/>
      <c r="BA3" s="20"/>
      <c r="BB3" s="20"/>
    </row>
    <row r="4" spans="1:54" ht="28.8" customHeight="1" x14ac:dyDescent="0.3">
      <c r="A4" t="s">
        <v>2</v>
      </c>
      <c r="B4" t="s">
        <v>262</v>
      </c>
      <c r="D4" s="25">
        <v>2.1</v>
      </c>
      <c r="E4" s="26" t="s">
        <v>56</v>
      </c>
      <c r="F4" s="62" t="str">
        <f ca="1">IF(TaskTable[[#This Row],[WBS Level]]=2,TaskTable[[#This Row],[PHASE]],OFFSET(TaskTable[[#This Row],[MAIN PHASE]],-1,0))</f>
        <v>Data Sanitation and training content creation</v>
      </c>
      <c r="G4" s="26" t="str">
        <f ca="1">IF(TaskTable[[#This Row],[WBS Level]]=3,TaskTable[[#This Row],[PHASE]],IF(TaskTable[[#This Row],[WBS Level]]&lt;3,"NONE",OFFSET(TaskTable[[#This Row],[SP-1]],-1,0)))</f>
        <v>Data Extraction</v>
      </c>
      <c r="H4" s="26" t="str">
        <f ca="1">IF(TaskTable[[#This Row],[WBS Level]]=4,TaskTable[[#This Row],[PHASE]],IF(TaskTable[[#This Row],[WBS Level]]&lt;4,"NONE",OFFSET(TaskTable[[#This Row],[SP-2]],-1,0)))</f>
        <v>NONE</v>
      </c>
      <c r="I4" s="26" t="str">
        <f ca="1">IF(TaskTable[[#This Row],[WBS Level]]=5,TaskTable[[#This Row],[PHASE]],IF(TaskTable[[#This Row],[WBS Level]]&lt;5,"NONE",OFFSET(TaskTable[[#This Row],[SP-3]],-1,0)))</f>
        <v>NONE</v>
      </c>
      <c r="J4" s="26" t="str">
        <f ca="1">IF(TaskTable[[#This Row],[WBS Level]]=6,TaskTable[[#This Row],[PHASE]],IF(TaskTable[[#This Row],[WBS Level]]&lt;6,"NONE",OFFSET(TaskTable[[#This Row],[SP-4]],-1,0)))</f>
        <v>NONE</v>
      </c>
      <c r="K4" s="20" t="s">
        <v>57</v>
      </c>
      <c r="M4" s="20">
        <f>LEN(TaskTable[WBS])-LEN(SUBSTITUTE(TaskTable[WBS],".",""))+2</f>
        <v>3</v>
      </c>
      <c r="N4" s="22">
        <v>44664</v>
      </c>
      <c r="O4" s="22">
        <v>43938</v>
      </c>
      <c r="P4" s="20">
        <v>5</v>
      </c>
      <c r="Q4" s="20" t="s">
        <v>12</v>
      </c>
      <c r="R4" s="59">
        <f>IF(TaskTable[[#This Row],[STATUS]]="COMPLETE",1,"")</f>
        <v>1</v>
      </c>
      <c r="S4" s="66">
        <v>1</v>
      </c>
      <c r="T4" s="20">
        <v>5</v>
      </c>
      <c r="V4" s="6" t="s">
        <v>10</v>
      </c>
      <c r="W4" s="32">
        <v>8</v>
      </c>
      <c r="X4" s="5">
        <f>inProgress_Cnt/totalTasks_Cnt</f>
        <v>0.19047619047619047</v>
      </c>
      <c r="AA4" s="30">
        <f>AA3/Z3</f>
        <v>0.2</v>
      </c>
      <c r="AB4" s="30">
        <f>AB3/Z3</f>
        <v>0.8</v>
      </c>
      <c r="AD4" s="19" t="s">
        <v>21</v>
      </c>
      <c r="AE4" s="14">
        <v>150</v>
      </c>
      <c r="AF4" s="14">
        <v>62</v>
      </c>
      <c r="AG4" s="14">
        <v>22</v>
      </c>
      <c r="AH4">
        <f>SUM(AE4:AG4)</f>
        <v>234</v>
      </c>
      <c r="AI4" s="136"/>
      <c r="AJ4" s="8" t="s">
        <v>27</v>
      </c>
      <c r="AL4" t="s">
        <v>31</v>
      </c>
      <c r="AM4" t="s">
        <v>23</v>
      </c>
      <c r="AN4" t="s">
        <v>38</v>
      </c>
      <c r="AP4" t="s">
        <v>231</v>
      </c>
      <c r="AQ4" s="113">
        <v>43931</v>
      </c>
      <c r="AS4" s="26" t="s">
        <v>52</v>
      </c>
      <c r="AT4" s="133">
        <v>43915</v>
      </c>
      <c r="AU4" s="20">
        <f t="shared" ref="AU4:AU16" si="0">AY4-AT4</f>
        <v>4</v>
      </c>
      <c r="AV4" s="20">
        <v>40</v>
      </c>
      <c r="AW4" s="20">
        <f>(AV4/100)*AU4</f>
        <v>1.6</v>
      </c>
      <c r="AX4" s="20">
        <v>120</v>
      </c>
      <c r="AY4" s="22">
        <v>43919</v>
      </c>
      <c r="AZ4" s="20">
        <f t="shared" ref="AZ4:AZ16" si="1">AT4-$B$6</f>
        <v>-696</v>
      </c>
      <c r="BA4" s="133">
        <f t="shared" ref="BA4:BA16" si="2">$AQ$4</f>
        <v>43931</v>
      </c>
      <c r="BB4" s="20">
        <f t="shared" ref="BB4:BB16" si="3">BA4-AT4</f>
        <v>16</v>
      </c>
    </row>
    <row r="5" spans="1:54" ht="28.8" x14ac:dyDescent="0.3">
      <c r="A5" t="s">
        <v>229</v>
      </c>
      <c r="D5" s="24" t="s">
        <v>154</v>
      </c>
      <c r="E5" s="26" t="s">
        <v>58</v>
      </c>
      <c r="F5" s="62" t="str">
        <f ca="1">IF(TaskTable[[#This Row],[WBS Level]]=2,TaskTable[[#This Row],[PHASE]],OFFSET(TaskTable[[#This Row],[MAIN PHASE]],-1,0))</f>
        <v>Data Sanitation and training content creation</v>
      </c>
      <c r="G5" s="26" t="str">
        <f ca="1">IF(TaskTable[[#This Row],[WBS Level]]=3,TaskTable[[#This Row],[PHASE]],IF(TaskTable[[#This Row],[WBS Level]]&lt;3,"NONE",OFFSET(TaskTable[[#This Row],[SP-1]],-1,0)))</f>
        <v>Data Extraction</v>
      </c>
      <c r="H5" s="26" t="str">
        <f ca="1">IF(TaskTable[[#This Row],[WBS Level]]=4,TaskTable[[#This Row],[PHASE]],IF(TaskTable[[#This Row],[WBS Level]]&lt;4,"NONE",OFFSET(TaskTable[[#This Row],[SP-2]],-1,0)))</f>
        <v>Data Clean-up</v>
      </c>
      <c r="I5" s="26" t="str">
        <f ca="1">IF(TaskTable[[#This Row],[WBS Level]]=5,TaskTable[[#This Row],[PHASE]],IF(TaskTable[[#This Row],[WBS Level]]&lt;5,"NONE",OFFSET(TaskTable[[#This Row],[SP-3]],-1,0)))</f>
        <v>NONE</v>
      </c>
      <c r="J5" s="26" t="str">
        <f ca="1">IF(TaskTable[[#This Row],[WBS Level]]=6,TaskTable[[#This Row],[PHASE]],IF(TaskTable[[#This Row],[WBS Level]]&lt;6,"NONE",OFFSET(TaskTable[[#This Row],[SP-4]],-1,0)))</f>
        <v>NONE</v>
      </c>
      <c r="K5" s="20" t="s">
        <v>59</v>
      </c>
      <c r="M5" s="20">
        <f>LEN(TaskTable[WBS])-LEN(SUBSTITUTE(TaskTable[WBS],".",""))+2</f>
        <v>4</v>
      </c>
      <c r="N5" s="22">
        <v>43938</v>
      </c>
      <c r="O5" s="22">
        <v>43958</v>
      </c>
      <c r="P5" s="20">
        <v>21</v>
      </c>
      <c r="Q5" s="20" t="s">
        <v>12</v>
      </c>
      <c r="R5" s="59">
        <f>IF(TaskTable[[#This Row],[STATUS]]="COMPLETE",1,"")</f>
        <v>1</v>
      </c>
      <c r="S5" s="66">
        <v>1</v>
      </c>
      <c r="T5" s="20">
        <v>15</v>
      </c>
      <c r="V5" s="7" t="s">
        <v>11</v>
      </c>
      <c r="W5" s="32">
        <v>10</v>
      </c>
      <c r="X5" s="5">
        <f>overdue_Cnt/totalTasks_Cnt</f>
        <v>0.23809523809523808</v>
      </c>
      <c r="AD5" s="19" t="s">
        <v>22</v>
      </c>
      <c r="AE5" s="14">
        <v>8</v>
      </c>
      <c r="AF5" s="14">
        <v>9</v>
      </c>
      <c r="AG5" s="14">
        <v>238</v>
      </c>
      <c r="AH5">
        <f>SUM(AE5:AG5)</f>
        <v>255</v>
      </c>
      <c r="AI5" s="137"/>
      <c r="AJ5" s="16" t="s">
        <v>28</v>
      </c>
      <c r="AL5" t="s">
        <v>32</v>
      </c>
      <c r="AM5" t="s">
        <v>24</v>
      </c>
      <c r="AN5" t="s">
        <v>39</v>
      </c>
      <c r="AP5" t="s">
        <v>47</v>
      </c>
      <c r="AQ5" s="113">
        <f>AT4</f>
        <v>43915</v>
      </c>
      <c r="AS5" s="26" t="s">
        <v>54</v>
      </c>
      <c r="AT5" s="133">
        <v>43934</v>
      </c>
      <c r="AU5" s="20">
        <f t="shared" si="0"/>
        <v>29</v>
      </c>
      <c r="AV5" s="20">
        <f>VLOOKUP(AS5,E3:S102,15,0)*100</f>
        <v>50</v>
      </c>
      <c r="AW5" s="20">
        <f t="shared" ref="AW5:AW16" si="4">(AV5/100)*AU5</f>
        <v>14.5</v>
      </c>
      <c r="AX5" s="20">
        <v>100</v>
      </c>
      <c r="AY5" s="22">
        <v>43963</v>
      </c>
      <c r="AZ5" s="20">
        <f t="shared" si="1"/>
        <v>-677</v>
      </c>
      <c r="BA5" s="133">
        <f t="shared" si="2"/>
        <v>43931</v>
      </c>
      <c r="BB5" s="20">
        <f t="shared" si="3"/>
        <v>-3</v>
      </c>
    </row>
    <row r="6" spans="1:54" ht="28.8" x14ac:dyDescent="0.3">
      <c r="A6" t="s">
        <v>228</v>
      </c>
      <c r="B6" s="113">
        <f>projectStart</f>
        <v>44611</v>
      </c>
      <c r="D6" s="24" t="s">
        <v>155</v>
      </c>
      <c r="E6" s="26" t="s">
        <v>60</v>
      </c>
      <c r="F6" s="62" t="str">
        <f ca="1">IF(TaskTable[[#This Row],[WBS Level]]=2,TaskTable[[#This Row],[PHASE]],OFFSET(TaskTable[[#This Row],[MAIN PHASE]],-1,0))</f>
        <v>Data Sanitation and training content creation</v>
      </c>
      <c r="G6" s="26" t="str">
        <f ca="1">IF(TaskTable[[#This Row],[WBS Level]]=3,TaskTable[[#This Row],[PHASE]],IF(TaskTable[[#This Row],[WBS Level]]&lt;3,"NONE",OFFSET(TaskTable[[#This Row],[SP-1]],-1,0)))</f>
        <v>Data Extraction</v>
      </c>
      <c r="H6" s="26" t="str">
        <f ca="1">IF(TaskTable[[#This Row],[WBS Level]]=4,TaskTable[[#This Row],[PHASE]],IF(TaskTable[[#This Row],[WBS Level]]&lt;4,"NONE",OFFSET(TaskTable[[#This Row],[SP-2]],-1,0)))</f>
        <v>Product Update in JDA and My Suki</v>
      </c>
      <c r="I6" s="26" t="str">
        <f ca="1">IF(TaskTable[[#This Row],[WBS Level]]=5,TaskTable[[#This Row],[PHASE]],IF(TaskTable[[#This Row],[WBS Level]]&lt;5,"NONE",OFFSET(TaskTable[[#This Row],[SP-3]],-1,0)))</f>
        <v>NONE</v>
      </c>
      <c r="J6" s="26" t="str">
        <f ca="1">IF(TaskTable[[#This Row],[WBS Level]]=6,TaskTable[[#This Row],[PHASE]],IF(TaskTable[[#This Row],[WBS Level]]&lt;6,"NONE",OFFSET(TaskTable[[#This Row],[SP-4]],-1,0)))</f>
        <v>NONE</v>
      </c>
      <c r="K6" s="20" t="s">
        <v>59</v>
      </c>
      <c r="M6" s="20">
        <f>LEN(TaskTable[WBS])-LEN(SUBSTITUTE(TaskTable[WBS],".",""))+2</f>
        <v>4</v>
      </c>
      <c r="N6" s="22">
        <v>43938</v>
      </c>
      <c r="O6" s="22">
        <v>43941</v>
      </c>
      <c r="P6" s="20">
        <v>4</v>
      </c>
      <c r="Q6" s="20" t="s">
        <v>12</v>
      </c>
      <c r="R6" s="59">
        <f>IF(TaskTable[[#This Row],[STATUS]]="COMPLETE",1,"")</f>
        <v>1</v>
      </c>
      <c r="S6" s="66">
        <v>0.9</v>
      </c>
      <c r="T6" s="20">
        <v>2</v>
      </c>
      <c r="V6" s="8" t="s">
        <v>12</v>
      </c>
      <c r="W6" s="32">
        <v>20</v>
      </c>
      <c r="X6" s="5">
        <f>complete_Cnt/totalTasks_Cnt</f>
        <v>0.47619047619047616</v>
      </c>
      <c r="AD6" t="s">
        <v>298</v>
      </c>
      <c r="AE6">
        <f>SUM(AE3:AE5)</f>
        <v>160</v>
      </c>
      <c r="AF6">
        <f>SUM(AF3:AF5)</f>
        <v>76</v>
      </c>
      <c r="AG6">
        <f>SUM(AG3:AG5)</f>
        <v>268</v>
      </c>
      <c r="AJ6" s="7" t="s">
        <v>29</v>
      </c>
      <c r="AL6" t="s">
        <v>33</v>
      </c>
      <c r="AM6" t="s">
        <v>25</v>
      </c>
      <c r="AN6" t="s">
        <v>26</v>
      </c>
      <c r="AS6" s="26" t="s">
        <v>65</v>
      </c>
      <c r="AT6" s="133">
        <v>43929</v>
      </c>
      <c r="AU6" s="20">
        <f t="shared" si="0"/>
        <v>30</v>
      </c>
      <c r="AV6" s="20">
        <v>80</v>
      </c>
      <c r="AW6" s="20">
        <f t="shared" si="4"/>
        <v>24</v>
      </c>
      <c r="AX6" s="20">
        <v>80</v>
      </c>
      <c r="AY6" s="22">
        <v>43959</v>
      </c>
      <c r="AZ6" s="20">
        <f t="shared" si="1"/>
        <v>-682</v>
      </c>
      <c r="BA6" s="133">
        <f t="shared" si="2"/>
        <v>43931</v>
      </c>
      <c r="BB6" s="20">
        <f t="shared" si="3"/>
        <v>2</v>
      </c>
    </row>
    <row r="7" spans="1:54" ht="14.4" customHeight="1" x14ac:dyDescent="0.3">
      <c r="A7" t="s">
        <v>229</v>
      </c>
      <c r="B7" s="113">
        <v>44605</v>
      </c>
      <c r="D7" s="24" t="s">
        <v>156</v>
      </c>
      <c r="E7" s="26" t="s">
        <v>61</v>
      </c>
      <c r="F7" s="62" t="str">
        <f ca="1">IF(TaskTable[[#This Row],[WBS Level]]=2,TaskTable[[#This Row],[PHASE]],OFFSET(TaskTable[[#This Row],[MAIN PHASE]],-1,0))</f>
        <v>Data Sanitation and training content creation</v>
      </c>
      <c r="G7" s="26" t="str">
        <f ca="1">IF(TaskTable[[#This Row],[WBS Level]]=3,TaskTable[[#This Row],[PHASE]],IF(TaskTable[[#This Row],[WBS Level]]&lt;3,"NONE",OFFSET(TaskTable[[#This Row],[SP-1]],-1,0)))</f>
        <v>Data Extraction</v>
      </c>
      <c r="H7" s="26" t="str">
        <f ca="1">IF(TaskTable[[#This Row],[WBS Level]]=4,TaskTable[[#This Row],[PHASE]],IF(TaskTable[[#This Row],[WBS Level]]&lt;4,"NONE",OFFSET(TaskTable[[#This Row],[SP-2]],-1,0)))</f>
        <v>Data Clean-up Sign-off</v>
      </c>
      <c r="I7" s="26" t="str">
        <f ca="1">IF(TaskTable[[#This Row],[WBS Level]]=5,TaskTable[[#This Row],[PHASE]],IF(TaskTable[[#This Row],[WBS Level]]&lt;5,"NONE",OFFSET(TaskTable[[#This Row],[SP-3]],-1,0)))</f>
        <v>NONE</v>
      </c>
      <c r="J7" s="26" t="str">
        <f ca="1">IF(TaskTable[[#This Row],[WBS Level]]=6,TaskTable[[#This Row],[PHASE]],IF(TaskTable[[#This Row],[WBS Level]]&lt;6,"NONE",OFFSET(TaskTable[[#This Row],[SP-4]],-1,0)))</f>
        <v>NONE</v>
      </c>
      <c r="M7" s="20">
        <f>LEN(TaskTable[WBS])-LEN(SUBSTITUTE(TaskTable[WBS],".",""))+2</f>
        <v>4</v>
      </c>
      <c r="N7" s="22">
        <v>43958</v>
      </c>
      <c r="O7" s="22">
        <v>43958</v>
      </c>
      <c r="P7" s="20">
        <v>1</v>
      </c>
      <c r="Q7" s="20"/>
      <c r="R7" s="59" t="str">
        <f>IF(TaskTable[[#This Row],[STATUS]]="COMPLETE",1,"")</f>
        <v/>
      </c>
      <c r="S7" s="66">
        <v>0</v>
      </c>
      <c r="T7" s="20">
        <v>1</v>
      </c>
      <c r="V7" s="9" t="s">
        <v>13</v>
      </c>
      <c r="W7" s="10">
        <f>SUM(W3:W6)</f>
        <v>42</v>
      </c>
      <c r="X7" s="11">
        <f>SUM(X3:X6)</f>
        <v>0.99999999999999989</v>
      </c>
      <c r="AH7" s="17"/>
      <c r="AI7" s="17"/>
      <c r="AL7" t="s">
        <v>34</v>
      </c>
      <c r="AS7" s="26" t="s">
        <v>76</v>
      </c>
      <c r="AT7" s="133">
        <v>43952</v>
      </c>
      <c r="AU7" s="20">
        <f t="shared" si="0"/>
        <v>10</v>
      </c>
      <c r="AV7" s="20">
        <v>90</v>
      </c>
      <c r="AW7" s="20">
        <f t="shared" si="4"/>
        <v>9</v>
      </c>
      <c r="AX7" s="20">
        <v>60</v>
      </c>
      <c r="AY7" s="22">
        <v>43962</v>
      </c>
      <c r="AZ7" s="20">
        <f t="shared" si="1"/>
        <v>-659</v>
      </c>
      <c r="BA7" s="133">
        <f t="shared" si="2"/>
        <v>43931</v>
      </c>
      <c r="BB7" s="20">
        <f t="shared" si="3"/>
        <v>-21</v>
      </c>
    </row>
    <row r="8" spans="1:54" ht="43.2" x14ac:dyDescent="0.3">
      <c r="A8" t="s">
        <v>230</v>
      </c>
      <c r="D8" s="24" t="s">
        <v>157</v>
      </c>
      <c r="E8" s="26" t="s">
        <v>62</v>
      </c>
      <c r="F8" s="62" t="str">
        <f ca="1">IF(TaskTable[[#This Row],[WBS Level]]=2,TaskTable[[#This Row],[PHASE]],OFFSET(TaskTable[[#This Row],[MAIN PHASE]],-1,0))</f>
        <v>Data Sanitation and training content creation</v>
      </c>
      <c r="G8" s="26" t="str">
        <f ca="1">IF(TaskTable[[#This Row],[WBS Level]]=3,TaskTable[[#This Row],[PHASE]],IF(TaskTable[[#This Row],[WBS Level]]&lt;3,"NONE",OFFSET(TaskTable[[#This Row],[SP-1]],-1,0)))</f>
        <v>Data Extraction</v>
      </c>
      <c r="H8" s="26" t="str">
        <f ca="1">IF(TaskTable[[#This Row],[WBS Level]]=4,TaskTable[[#This Row],[PHASE]],IF(TaskTable[[#This Row],[WBS Level]]&lt;4,"NONE",OFFSET(TaskTable[[#This Row],[SP-2]],-1,0)))</f>
        <v>Training Content Creation - Store Operation</v>
      </c>
      <c r="I8" s="26" t="str">
        <f ca="1">IF(TaskTable[[#This Row],[WBS Level]]=5,TaskTable[[#This Row],[PHASE]],IF(TaskTable[[#This Row],[WBS Level]]&lt;5,"NONE",OFFSET(TaskTable[[#This Row],[SP-3]],-1,0)))</f>
        <v>NONE</v>
      </c>
      <c r="J8" s="26" t="str">
        <f ca="1">IF(TaskTable[[#This Row],[WBS Level]]=6,TaskTable[[#This Row],[PHASE]],IF(TaskTable[[#This Row],[WBS Level]]&lt;6,"NONE",OFFSET(TaskTable[[#This Row],[SP-4]],-1,0)))</f>
        <v>NONE</v>
      </c>
      <c r="K8" s="20" t="s">
        <v>57</v>
      </c>
      <c r="M8" s="20">
        <f>LEN(TaskTable[WBS])-LEN(SUBSTITUTE(TaskTable[WBS],".",""))+2</f>
        <v>4</v>
      </c>
      <c r="N8" s="22">
        <v>43941</v>
      </c>
      <c r="O8" s="22">
        <v>43963</v>
      </c>
      <c r="P8" s="20">
        <v>23</v>
      </c>
      <c r="Q8" s="20" t="s">
        <v>12</v>
      </c>
      <c r="R8" s="59">
        <f>IF(TaskTable[[#This Row],[STATUS]]="COMPLETE",1,"")</f>
        <v>1</v>
      </c>
      <c r="S8" s="66">
        <v>1</v>
      </c>
      <c r="T8" s="20">
        <v>17</v>
      </c>
      <c r="W8" t="s">
        <v>310</v>
      </c>
      <c r="X8" s="31">
        <f>1-X6</f>
        <v>0.52380952380952384</v>
      </c>
      <c r="AL8" t="s">
        <v>35</v>
      </c>
      <c r="AS8" s="26" t="s">
        <v>81</v>
      </c>
      <c r="AT8" s="133">
        <v>43958</v>
      </c>
      <c r="AU8" s="20">
        <f t="shared" si="0"/>
        <v>5</v>
      </c>
      <c r="AV8" s="20">
        <f t="shared" ref="AV8:AV13" si="5">VLOOKUP(AS8,E6:S105,15,0)*100</f>
        <v>100</v>
      </c>
      <c r="AW8" s="20">
        <f t="shared" si="4"/>
        <v>5</v>
      </c>
      <c r="AX8" s="20">
        <v>40</v>
      </c>
      <c r="AY8" s="22">
        <v>43963</v>
      </c>
      <c r="AZ8" s="20">
        <f t="shared" si="1"/>
        <v>-653</v>
      </c>
      <c r="BA8" s="133">
        <f t="shared" si="2"/>
        <v>43931</v>
      </c>
      <c r="BB8" s="20">
        <f t="shared" si="3"/>
        <v>-27</v>
      </c>
    </row>
    <row r="9" spans="1:54" ht="43.2" x14ac:dyDescent="0.3">
      <c r="A9" t="s">
        <v>231</v>
      </c>
      <c r="B9" s="29">
        <f ca="1">TODAY()</f>
        <v>44616</v>
      </c>
      <c r="D9" s="24" t="s">
        <v>158</v>
      </c>
      <c r="E9" s="26" t="s">
        <v>63</v>
      </c>
      <c r="F9" s="62" t="str">
        <f ca="1">IF(TaskTable[[#This Row],[WBS Level]]=2,TaskTable[[#This Row],[PHASE]],OFFSET(TaskTable[[#This Row],[MAIN PHASE]],-1,0))</f>
        <v>Data Sanitation and training content creation</v>
      </c>
      <c r="G9" s="26" t="str">
        <f ca="1">IF(TaskTable[[#This Row],[WBS Level]]=3,TaskTable[[#This Row],[PHASE]],IF(TaskTable[[#This Row],[WBS Level]]&lt;3,"NONE",OFFSET(TaskTable[[#This Row],[SP-1]],-1,0)))</f>
        <v>Data Extraction</v>
      </c>
      <c r="H9" s="26" t="str">
        <f ca="1">IF(TaskTable[[#This Row],[WBS Level]]=4,TaskTable[[#This Row],[PHASE]],IF(TaskTable[[#This Row],[WBS Level]]&lt;4,"NONE",OFFSET(TaskTable[[#This Row],[SP-2]],-1,0)))</f>
        <v>Training Content Creation - For Customer</v>
      </c>
      <c r="I9" s="26" t="str">
        <f ca="1">IF(TaskTable[[#This Row],[WBS Level]]=5,TaskTable[[#This Row],[PHASE]],IF(TaskTable[[#This Row],[WBS Level]]&lt;5,"NONE",OFFSET(TaskTable[[#This Row],[SP-3]],-1,0)))</f>
        <v>NONE</v>
      </c>
      <c r="J9" s="26" t="str">
        <f ca="1">IF(TaskTable[[#This Row],[WBS Level]]=6,TaskTable[[#This Row],[PHASE]],IF(TaskTable[[#This Row],[WBS Level]]&lt;6,"NONE",OFFSET(TaskTable[[#This Row],[SP-4]],-1,0)))</f>
        <v>NONE</v>
      </c>
      <c r="K9" s="20" t="s">
        <v>57</v>
      </c>
      <c r="M9" s="20">
        <f>LEN(TaskTable[WBS])-LEN(SUBSTITUTE(TaskTable[WBS],".",""))+2</f>
        <v>4</v>
      </c>
      <c r="N9" s="22">
        <v>43941</v>
      </c>
      <c r="O9" s="22">
        <v>43963</v>
      </c>
      <c r="P9" s="20">
        <v>23</v>
      </c>
      <c r="Q9" s="20" t="s">
        <v>12</v>
      </c>
      <c r="R9" s="59">
        <f>IF(TaskTable[[#This Row],[STATUS]]="COMPLETE",1,"")</f>
        <v>1</v>
      </c>
      <c r="S9" s="66">
        <v>1</v>
      </c>
      <c r="T9" s="20">
        <v>17</v>
      </c>
      <c r="AD9" s="135"/>
      <c r="AE9" s="135"/>
      <c r="AF9" s="135"/>
      <c r="AG9" s="135"/>
      <c r="AL9" t="s">
        <v>36</v>
      </c>
      <c r="AS9" s="26" t="s">
        <v>85</v>
      </c>
      <c r="AT9" s="133">
        <v>43938</v>
      </c>
      <c r="AU9" s="20">
        <f t="shared" si="0"/>
        <v>26</v>
      </c>
      <c r="AV9" s="20">
        <f t="shared" si="5"/>
        <v>100</v>
      </c>
      <c r="AW9" s="20">
        <f t="shared" si="4"/>
        <v>26</v>
      </c>
      <c r="AX9" s="20">
        <v>20</v>
      </c>
      <c r="AY9" s="22">
        <v>43964</v>
      </c>
      <c r="AZ9" s="20">
        <f t="shared" si="1"/>
        <v>-673</v>
      </c>
      <c r="BA9" s="133">
        <f t="shared" si="2"/>
        <v>43931</v>
      </c>
      <c r="BB9" s="20">
        <f t="shared" si="3"/>
        <v>-7</v>
      </c>
    </row>
    <row r="10" spans="1:54" ht="28.8" x14ac:dyDescent="0.3">
      <c r="A10" t="s">
        <v>239</v>
      </c>
      <c r="B10" t="s">
        <v>29</v>
      </c>
      <c r="D10" s="24" t="s">
        <v>159</v>
      </c>
      <c r="E10" s="26" t="s">
        <v>64</v>
      </c>
      <c r="F10" s="62" t="str">
        <f ca="1">IF(TaskTable[[#This Row],[WBS Level]]=2,TaskTable[[#This Row],[PHASE]],OFFSET(TaskTable[[#This Row],[MAIN PHASE]],-1,0))</f>
        <v>Data Sanitation and training content creation</v>
      </c>
      <c r="G10" s="26" t="str">
        <f ca="1">IF(TaskTable[[#This Row],[WBS Level]]=3,TaskTable[[#This Row],[PHASE]],IF(TaskTable[[#This Row],[WBS Level]]&lt;3,"NONE",OFFSET(TaskTable[[#This Row],[SP-1]],-1,0)))</f>
        <v>Data Extraction</v>
      </c>
      <c r="H10" s="26" t="str">
        <f ca="1">IF(TaskTable[[#This Row],[WBS Level]]=4,TaskTable[[#This Row],[PHASE]],IF(TaskTable[[#This Row],[WBS Level]]&lt;4,"NONE",OFFSET(TaskTable[[#This Row],[SP-2]],-1,0)))</f>
        <v>Training Content Sign-off</v>
      </c>
      <c r="I10" s="26" t="str">
        <f ca="1">IF(TaskTable[[#This Row],[WBS Level]]=5,TaskTable[[#This Row],[PHASE]],IF(TaskTable[[#This Row],[WBS Level]]&lt;5,"NONE",OFFSET(TaskTable[[#This Row],[SP-3]],-1,0)))</f>
        <v>NONE</v>
      </c>
      <c r="J10" s="26" t="str">
        <f ca="1">IF(TaskTable[[#This Row],[WBS Level]]=6,TaskTable[[#This Row],[PHASE]],IF(TaskTable[[#This Row],[WBS Level]]&lt;6,"NONE",OFFSET(TaskTable[[#This Row],[SP-4]],-1,0)))</f>
        <v>NONE</v>
      </c>
      <c r="M10" s="20">
        <f>LEN(TaskTable[WBS])-LEN(SUBSTITUTE(TaskTable[WBS],".",""))+2</f>
        <v>4</v>
      </c>
      <c r="N10" s="22">
        <v>43963</v>
      </c>
      <c r="O10" s="22">
        <v>43963</v>
      </c>
      <c r="P10" s="20">
        <v>1</v>
      </c>
      <c r="Q10" s="20"/>
      <c r="R10" s="59" t="str">
        <f>IF(TaskTable[[#This Row],[STATUS]]="COMPLETE",1,"")</f>
        <v/>
      </c>
      <c r="S10" s="66">
        <v>0</v>
      </c>
      <c r="T10" s="20">
        <v>1</v>
      </c>
      <c r="V10" s="51"/>
      <c r="W10" s="51"/>
      <c r="X10" s="1"/>
      <c r="AD10" s="74"/>
      <c r="AE10" s="74"/>
      <c r="AF10" s="74"/>
      <c r="AG10" s="74"/>
      <c r="AS10" s="26" t="s">
        <v>98</v>
      </c>
      <c r="AT10" s="133">
        <v>43962</v>
      </c>
      <c r="AU10" s="20">
        <f t="shared" si="0"/>
        <v>4</v>
      </c>
      <c r="AV10" s="20">
        <f t="shared" si="5"/>
        <v>100</v>
      </c>
      <c r="AW10" s="20">
        <f t="shared" si="4"/>
        <v>4</v>
      </c>
      <c r="AX10" s="20">
        <v>-40</v>
      </c>
      <c r="AY10" s="22">
        <v>43966</v>
      </c>
      <c r="AZ10" s="20">
        <f t="shared" si="1"/>
        <v>-649</v>
      </c>
      <c r="BA10" s="133">
        <f t="shared" si="2"/>
        <v>43931</v>
      </c>
      <c r="BB10" s="20">
        <f t="shared" si="3"/>
        <v>-31</v>
      </c>
    </row>
    <row r="11" spans="1:54" x14ac:dyDescent="0.3">
      <c r="A11" t="s">
        <v>256</v>
      </c>
      <c r="B11" t="str">
        <f>company_name</f>
        <v>COMPANY ABC</v>
      </c>
      <c r="D11" s="24">
        <v>3</v>
      </c>
      <c r="E11" s="26" t="s">
        <v>65</v>
      </c>
      <c r="F11" s="62" t="str">
        <f ca="1">IF(TaskTable[[#This Row],[WBS Level]]=2,TaskTable[[#This Row],[PHASE]],OFFSET(TaskTable[[#This Row],[MAIN PHASE]],-1,0))</f>
        <v>Development</v>
      </c>
      <c r="G11" s="26" t="str">
        <f ca="1">IF(TaskTable[[#This Row],[WBS Level]]=3,TaskTable[[#This Row],[PHASE]],IF(TaskTable[[#This Row],[WBS Level]]&lt;3,"NONE",OFFSET(TaskTable[[#This Row],[SP-1]],-1,0)))</f>
        <v>NONE</v>
      </c>
      <c r="H11" s="26" t="str">
        <f ca="1">IF(TaskTable[[#This Row],[WBS Level]]=4,TaskTable[[#This Row],[PHASE]],IF(TaskTable[[#This Row],[WBS Level]]&lt;4,"NONE",OFFSET(TaskTable[[#This Row],[SP-2]],-1,0)))</f>
        <v>NONE</v>
      </c>
      <c r="I11" s="26" t="str">
        <f ca="1">IF(TaskTable[[#This Row],[WBS Level]]=5,TaskTable[[#This Row],[PHASE]],IF(TaskTable[[#This Row],[WBS Level]]&lt;5,"NONE",OFFSET(TaskTable[[#This Row],[SP-3]],-1,0)))</f>
        <v>NONE</v>
      </c>
      <c r="J11" s="26" t="str">
        <f ca="1">IF(TaskTable[[#This Row],[WBS Level]]=6,TaskTable[[#This Row],[PHASE]],IF(TaskTable[[#This Row],[WBS Level]]&lt;6,"NONE",OFFSET(TaskTable[[#This Row],[SP-4]],-1,0)))</f>
        <v>NONE</v>
      </c>
      <c r="K11" s="20" t="s">
        <v>66</v>
      </c>
      <c r="M11" s="20">
        <f>LEN(TaskTable[WBS])-LEN(SUBSTITUTE(TaskTable[WBS],".",""))+2</f>
        <v>2</v>
      </c>
      <c r="N11" s="22">
        <v>43929</v>
      </c>
      <c r="O11" s="22">
        <v>43959</v>
      </c>
      <c r="P11" s="20">
        <v>23</v>
      </c>
      <c r="Q11" s="20" t="s">
        <v>12</v>
      </c>
      <c r="R11" s="59">
        <f>IF(TaskTable[[#This Row],[STATUS]]="COMPLETE",1,"")</f>
        <v>1</v>
      </c>
      <c r="S11" s="66">
        <v>1</v>
      </c>
      <c r="T11" s="20">
        <v>23</v>
      </c>
      <c r="AD11" s="74"/>
      <c r="AE11" s="74"/>
      <c r="AF11" s="74"/>
      <c r="AG11" s="74"/>
      <c r="AS11" s="26" t="s">
        <v>107</v>
      </c>
      <c r="AT11" s="133">
        <v>43962</v>
      </c>
      <c r="AU11" s="20">
        <f t="shared" si="0"/>
        <v>4</v>
      </c>
      <c r="AV11" s="20">
        <f t="shared" si="5"/>
        <v>100</v>
      </c>
      <c r="AW11" s="20">
        <f t="shared" si="4"/>
        <v>4</v>
      </c>
      <c r="AX11" s="20">
        <v>-60</v>
      </c>
      <c r="AY11" s="22">
        <v>43966</v>
      </c>
      <c r="AZ11" s="20">
        <f t="shared" si="1"/>
        <v>-649</v>
      </c>
      <c r="BA11" s="133">
        <f t="shared" si="2"/>
        <v>43931</v>
      </c>
      <c r="BB11" s="20">
        <f t="shared" si="3"/>
        <v>-31</v>
      </c>
    </row>
    <row r="12" spans="1:54" x14ac:dyDescent="0.3">
      <c r="A12" t="s">
        <v>263</v>
      </c>
      <c r="B12" s="114">
        <f ca="1">TODAY()-B6</f>
        <v>5</v>
      </c>
      <c r="D12" s="24">
        <v>3.1</v>
      </c>
      <c r="E12" s="26" t="s">
        <v>67</v>
      </c>
      <c r="F12" s="62" t="str">
        <f ca="1">IF(TaskTable[[#This Row],[WBS Level]]=2,TaskTable[[#This Row],[PHASE]],OFFSET(TaskTable[[#This Row],[MAIN PHASE]],-1,0))</f>
        <v>Development</v>
      </c>
      <c r="G12" s="26" t="str">
        <f ca="1">IF(TaskTable[[#This Row],[WBS Level]]=3,TaskTable[[#This Row],[PHASE]],IF(TaskTable[[#This Row],[WBS Level]]&lt;3,"NONE",OFFSET(TaskTable[[#This Row],[SP-1]],-1,0)))</f>
        <v>Suki App</v>
      </c>
      <c r="H12" s="26" t="str">
        <f ca="1">IF(TaskTable[[#This Row],[WBS Level]]=4,TaskTable[[#This Row],[PHASE]],IF(TaskTable[[#This Row],[WBS Level]]&lt;4,"NONE",OFFSET(TaskTable[[#This Row],[SP-2]],-1,0)))</f>
        <v>NONE</v>
      </c>
      <c r="I12" s="26" t="str">
        <f ca="1">IF(TaskTable[[#This Row],[WBS Level]]=5,TaskTable[[#This Row],[PHASE]],IF(TaskTable[[#This Row],[WBS Level]]&lt;5,"NONE",OFFSET(TaskTable[[#This Row],[SP-3]],-1,0)))</f>
        <v>NONE</v>
      </c>
      <c r="J12" s="26" t="str">
        <f ca="1">IF(TaskTable[[#This Row],[WBS Level]]=6,TaskTable[[#This Row],[PHASE]],IF(TaskTable[[#This Row],[WBS Level]]&lt;6,"NONE",OFFSET(TaskTable[[#This Row],[SP-4]],-1,0)))</f>
        <v>NONE</v>
      </c>
      <c r="M12" s="20">
        <f>LEN(TaskTable[WBS])-LEN(SUBSTITUTE(TaskTable[WBS],".",""))+2</f>
        <v>3</v>
      </c>
      <c r="N12" s="22">
        <v>43929</v>
      </c>
      <c r="O12" s="22">
        <v>43929</v>
      </c>
      <c r="P12" s="20">
        <v>1</v>
      </c>
      <c r="Q12" s="20" t="s">
        <v>12</v>
      </c>
      <c r="R12" s="59">
        <f>IF(TaskTable[[#This Row],[STATUS]]="COMPLETE",1,"")</f>
        <v>1</v>
      </c>
      <c r="S12" s="66">
        <v>0.4</v>
      </c>
      <c r="T12" s="20">
        <v>1</v>
      </c>
      <c r="AD12" s="74"/>
      <c r="AE12" s="74"/>
      <c r="AF12" s="74"/>
      <c r="AG12" s="74"/>
      <c r="AS12" s="26" t="s">
        <v>114</v>
      </c>
      <c r="AT12" s="133">
        <v>43951</v>
      </c>
      <c r="AU12" s="20">
        <f t="shared" si="0"/>
        <v>12</v>
      </c>
      <c r="AV12" s="20">
        <f t="shared" si="5"/>
        <v>100</v>
      </c>
      <c r="AW12" s="20">
        <f t="shared" si="4"/>
        <v>12</v>
      </c>
      <c r="AX12" s="20">
        <v>-80</v>
      </c>
      <c r="AY12" s="22">
        <v>43963</v>
      </c>
      <c r="AZ12" s="20">
        <f t="shared" si="1"/>
        <v>-660</v>
      </c>
      <c r="BA12" s="133">
        <f t="shared" si="2"/>
        <v>43931</v>
      </c>
      <c r="BB12" s="20">
        <f t="shared" si="3"/>
        <v>-20</v>
      </c>
    </row>
    <row r="13" spans="1:54" x14ac:dyDescent="0.3">
      <c r="A13" t="s">
        <v>301</v>
      </c>
      <c r="B13" t="str">
        <f ca="1">UPPER(TEXT(TODAY(),"mmm dd, yyyy | ddd"))</f>
        <v>FEB 24, 2022 | THU</v>
      </c>
      <c r="D13" s="24" t="s">
        <v>160</v>
      </c>
      <c r="E13" s="26" t="s">
        <v>68</v>
      </c>
      <c r="F13" s="62" t="str">
        <f ca="1">IF(TaskTable[[#This Row],[WBS Level]]=2,TaskTable[[#This Row],[PHASE]],OFFSET(TaskTable[[#This Row],[MAIN PHASE]],-1,0))</f>
        <v>Development</v>
      </c>
      <c r="G13" s="26" t="str">
        <f ca="1">IF(TaskTable[[#This Row],[WBS Level]]=3,TaskTable[[#This Row],[PHASE]],IF(TaskTable[[#This Row],[WBS Level]]&lt;3,"NONE",OFFSET(TaskTable[[#This Row],[SP-1]],-1,0)))</f>
        <v>Suki App</v>
      </c>
      <c r="H13" s="26" t="str">
        <f ca="1">IF(TaskTable[[#This Row],[WBS Level]]=4,TaskTable[[#This Row],[PHASE]],IF(TaskTable[[#This Row],[WBS Level]]&lt;4,"NONE",OFFSET(TaskTable[[#This Row],[SP-2]],-1,0)))</f>
        <v>Suki Hub</v>
      </c>
      <c r="I13" s="26" t="str">
        <f ca="1">IF(TaskTable[[#This Row],[WBS Level]]=5,TaskTable[[#This Row],[PHASE]],IF(TaskTable[[#This Row],[WBS Level]]&lt;5,"NONE",OFFSET(TaskTable[[#This Row],[SP-3]],-1,0)))</f>
        <v>NONE</v>
      </c>
      <c r="J13" s="26" t="str">
        <f ca="1">IF(TaskTable[[#This Row],[WBS Level]]=6,TaskTable[[#This Row],[PHASE]],IF(TaskTable[[#This Row],[WBS Level]]&lt;6,"NONE",OFFSET(TaskTable[[#This Row],[SP-4]],-1,0)))</f>
        <v>NONE</v>
      </c>
      <c r="M13" s="20">
        <f>LEN(TaskTable[WBS])-LEN(SUBSTITUTE(TaskTable[WBS],".",""))+2</f>
        <v>4</v>
      </c>
      <c r="N13" s="22">
        <v>43929</v>
      </c>
      <c r="O13" s="22">
        <v>43929</v>
      </c>
      <c r="P13" s="20">
        <v>1</v>
      </c>
      <c r="Q13" s="20" t="s">
        <v>12</v>
      </c>
      <c r="R13" s="59">
        <f>IF(TaskTable[[#This Row],[STATUS]]="COMPLETE",1,"")</f>
        <v>1</v>
      </c>
      <c r="S13" s="66">
        <v>1</v>
      </c>
      <c r="T13" s="20">
        <v>1</v>
      </c>
      <c r="AD13" s="74"/>
      <c r="AE13" s="74"/>
      <c r="AF13" s="74"/>
      <c r="AG13" s="74"/>
      <c r="AS13" s="26" t="s">
        <v>122</v>
      </c>
      <c r="AT13" s="133">
        <v>43962</v>
      </c>
      <c r="AU13" s="20">
        <f t="shared" si="0"/>
        <v>4</v>
      </c>
      <c r="AV13" s="20">
        <f t="shared" si="5"/>
        <v>100</v>
      </c>
      <c r="AW13" s="20">
        <f t="shared" si="4"/>
        <v>4</v>
      </c>
      <c r="AX13" s="20">
        <v>-100</v>
      </c>
      <c r="AY13" s="22">
        <v>43966</v>
      </c>
      <c r="AZ13" s="20">
        <f t="shared" si="1"/>
        <v>-649</v>
      </c>
      <c r="BA13" s="133">
        <f t="shared" si="2"/>
        <v>43931</v>
      </c>
      <c r="BB13" s="20">
        <f t="shared" si="3"/>
        <v>-31</v>
      </c>
    </row>
    <row r="14" spans="1:54" x14ac:dyDescent="0.3">
      <c r="A14" t="s">
        <v>308</v>
      </c>
      <c r="B14">
        <v>1</v>
      </c>
      <c r="D14" s="24" t="s">
        <v>161</v>
      </c>
      <c r="E14" s="26" t="s">
        <v>69</v>
      </c>
      <c r="F14" s="62" t="str">
        <f ca="1">IF(TaskTable[[#This Row],[WBS Level]]=2,TaskTable[[#This Row],[PHASE]],OFFSET(TaskTable[[#This Row],[MAIN PHASE]],-1,0))</f>
        <v>Development</v>
      </c>
      <c r="G14" s="26" t="str">
        <f ca="1">IF(TaskTable[[#This Row],[WBS Level]]=3,TaskTable[[#This Row],[PHASE]],IF(TaskTable[[#This Row],[WBS Level]]&lt;3,"NONE",OFFSET(TaskTable[[#This Row],[SP-1]],-1,0)))</f>
        <v>Suki App</v>
      </c>
      <c r="H14" s="26" t="str">
        <f ca="1">IF(TaskTable[[#This Row],[WBS Level]]=4,TaskTable[[#This Row],[PHASE]],IF(TaskTable[[#This Row],[WBS Level]]&lt;4,"NONE",OFFSET(TaskTable[[#This Row],[SP-2]],-1,0)))</f>
        <v>Picker-Checker</v>
      </c>
      <c r="I14" s="26" t="str">
        <f ca="1">IF(TaskTable[[#This Row],[WBS Level]]=5,TaskTable[[#This Row],[PHASE]],IF(TaskTable[[#This Row],[WBS Level]]&lt;5,"NONE",OFFSET(TaskTable[[#This Row],[SP-3]],-1,0)))</f>
        <v>NONE</v>
      </c>
      <c r="J14" s="26" t="str">
        <f ca="1">IF(TaskTable[[#This Row],[WBS Level]]=6,TaskTable[[#This Row],[PHASE]],IF(TaskTable[[#This Row],[WBS Level]]&lt;6,"NONE",OFFSET(TaskTable[[#This Row],[SP-4]],-1,0)))</f>
        <v>NONE</v>
      </c>
      <c r="M14" s="20">
        <f>LEN(TaskTable[WBS])-LEN(SUBSTITUTE(TaskTable[WBS],".",""))+2</f>
        <v>4</v>
      </c>
      <c r="N14" s="22">
        <v>43929</v>
      </c>
      <c r="O14" s="22">
        <v>43929</v>
      </c>
      <c r="P14" s="20">
        <v>1</v>
      </c>
      <c r="Q14" s="20" t="s">
        <v>12</v>
      </c>
      <c r="R14" s="59">
        <f>IF(TaskTable[[#This Row],[STATUS]]="COMPLETE",1,"")</f>
        <v>1</v>
      </c>
      <c r="S14" s="66">
        <v>1</v>
      </c>
      <c r="T14" s="20">
        <v>1</v>
      </c>
      <c r="AD14" s="135"/>
      <c r="AE14" s="74"/>
      <c r="AF14" s="74"/>
      <c r="AG14" s="74"/>
      <c r="AS14" s="26" t="s">
        <v>137</v>
      </c>
      <c r="AT14" s="133">
        <v>43962</v>
      </c>
      <c r="AU14" s="20">
        <f t="shared" si="0"/>
        <v>15</v>
      </c>
      <c r="AV14" s="20">
        <v>10</v>
      </c>
      <c r="AW14" s="20">
        <f t="shared" si="4"/>
        <v>1.5</v>
      </c>
      <c r="AX14" s="20">
        <v>-120</v>
      </c>
      <c r="AY14" s="22">
        <v>43977</v>
      </c>
      <c r="AZ14" s="20">
        <f t="shared" si="1"/>
        <v>-649</v>
      </c>
      <c r="BA14" s="133">
        <f t="shared" si="2"/>
        <v>43931</v>
      </c>
      <c r="BB14" s="20">
        <f t="shared" si="3"/>
        <v>-31</v>
      </c>
    </row>
    <row r="15" spans="1:54" ht="72" x14ac:dyDescent="0.3">
      <c r="A15" t="s">
        <v>367</v>
      </c>
      <c r="B15" s="163" t="str">
        <f>CONCATENATE('Project Team'!B3,CHAR(10), 'Project Team'!B4,CHAR(10),'Project Team'!B5,CHAR(10),'Project Team'!B6,CHAR(10),'Project Team'!B7)</f>
        <v>Team Member A
Team Member B
Team Member C
Team Member D
Team Member E</v>
      </c>
      <c r="D15" s="24" t="s">
        <v>162</v>
      </c>
      <c r="E15" s="26" t="s">
        <v>70</v>
      </c>
      <c r="F15" s="62" t="str">
        <f ca="1">IF(TaskTable[[#This Row],[WBS Level]]=2,TaskTable[[#This Row],[PHASE]],OFFSET(TaskTable[[#This Row],[MAIN PHASE]],-1,0))</f>
        <v>Development</v>
      </c>
      <c r="G15" s="26" t="str">
        <f ca="1">IF(TaskTable[[#This Row],[WBS Level]]=3,TaskTable[[#This Row],[PHASE]],IF(TaskTable[[#This Row],[WBS Level]]&lt;3,"NONE",OFFSET(TaskTable[[#This Row],[SP-1]],-1,0)))</f>
        <v>Suki App</v>
      </c>
      <c r="H15" s="26" t="str">
        <f ca="1">IF(TaskTable[[#This Row],[WBS Level]]=4,TaskTable[[#This Row],[PHASE]],IF(TaskTable[[#This Row],[WBS Level]]&lt;4,"NONE",OFFSET(TaskTable[[#This Row],[SP-2]],-1,0)))</f>
        <v>Barter Middleware (Merging to prod version)</v>
      </c>
      <c r="I15" s="26" t="str">
        <f ca="1">IF(TaskTable[[#This Row],[WBS Level]]=5,TaskTable[[#This Row],[PHASE]],IF(TaskTable[[#This Row],[WBS Level]]&lt;5,"NONE",OFFSET(TaskTable[[#This Row],[SP-3]],-1,0)))</f>
        <v>NONE</v>
      </c>
      <c r="J15" s="26" t="str">
        <f ca="1">IF(TaskTable[[#This Row],[WBS Level]]=6,TaskTable[[#This Row],[PHASE]],IF(TaskTable[[#This Row],[WBS Level]]&lt;6,"NONE",OFFSET(TaskTable[[#This Row],[SP-4]],-1,0)))</f>
        <v>NONE</v>
      </c>
      <c r="M15" s="20">
        <f>LEN(TaskTable[WBS])-LEN(SUBSTITUTE(TaskTable[WBS],".",""))+2</f>
        <v>4</v>
      </c>
      <c r="N15" s="22">
        <v>43952</v>
      </c>
      <c r="O15" s="22">
        <v>43959</v>
      </c>
      <c r="P15" s="20">
        <v>8</v>
      </c>
      <c r="Q15" s="20" t="s">
        <v>12</v>
      </c>
      <c r="R15" s="59">
        <f>IF(TaskTable[[#This Row],[STATUS]]="COMPLETE",1,"")</f>
        <v>1</v>
      </c>
      <c r="S15" s="66">
        <v>1</v>
      </c>
      <c r="T15" s="20">
        <v>6</v>
      </c>
      <c r="AD15" s="135"/>
      <c r="AE15" s="74"/>
      <c r="AF15" s="74"/>
      <c r="AG15" s="74"/>
      <c r="AS15" s="26" t="s">
        <v>147</v>
      </c>
      <c r="AT15" s="133">
        <v>43979</v>
      </c>
      <c r="AU15" s="20">
        <f t="shared" si="0"/>
        <v>1</v>
      </c>
      <c r="AV15" s="20">
        <f>VLOOKUP(AS15,E13:S112,15,0)*100</f>
        <v>100</v>
      </c>
      <c r="AW15" s="20">
        <f t="shared" si="4"/>
        <v>1</v>
      </c>
      <c r="AX15" s="20">
        <v>-140</v>
      </c>
      <c r="AY15" s="22">
        <v>43980</v>
      </c>
      <c r="AZ15" s="20">
        <f t="shared" si="1"/>
        <v>-632</v>
      </c>
      <c r="BA15" s="133">
        <f t="shared" si="2"/>
        <v>43931</v>
      </c>
      <c r="BB15" s="20">
        <f t="shared" si="3"/>
        <v>-48</v>
      </c>
    </row>
    <row r="16" spans="1:54" ht="14.4" customHeight="1" x14ac:dyDescent="0.3">
      <c r="D16" s="24" t="s">
        <v>163</v>
      </c>
      <c r="E16" s="26" t="s">
        <v>71</v>
      </c>
      <c r="F16" s="62" t="str">
        <f ca="1">IF(TaskTable[[#This Row],[WBS Level]]=2,TaskTable[[#This Row],[PHASE]],OFFSET(TaskTable[[#This Row],[MAIN PHASE]],-1,0))</f>
        <v>Development</v>
      </c>
      <c r="G16" s="26" t="str">
        <f ca="1">IF(TaskTable[[#This Row],[WBS Level]]=3,TaskTable[[#This Row],[PHASE]],IF(TaskTable[[#This Row],[WBS Level]]&lt;3,"NONE",OFFSET(TaskTable[[#This Row],[SP-1]],-1,0)))</f>
        <v>Suki App</v>
      </c>
      <c r="H16" s="26" t="str">
        <f ca="1">IF(TaskTable[[#This Row],[WBS Level]]=4,TaskTable[[#This Row],[PHASE]],IF(TaskTable[[#This Row],[WBS Level]]&lt;4,"NONE",OFFSET(TaskTable[[#This Row],[SP-2]],-1,0)))</f>
        <v>POS Interface</v>
      </c>
      <c r="I16" s="26" t="str">
        <f ca="1">IF(TaskTable[[#This Row],[WBS Level]]=5,TaskTable[[#This Row],[PHASE]],IF(TaskTable[[#This Row],[WBS Level]]&lt;5,"NONE",OFFSET(TaskTable[[#This Row],[SP-3]],-1,0)))</f>
        <v>NONE</v>
      </c>
      <c r="J16" s="26" t="str">
        <f ca="1">IF(TaskTable[[#This Row],[WBS Level]]=6,TaskTable[[#This Row],[PHASE]],IF(TaskTable[[#This Row],[WBS Level]]&lt;6,"NONE",OFFSET(TaskTable[[#This Row],[SP-4]],-1,0)))</f>
        <v>NONE</v>
      </c>
      <c r="M16" s="20">
        <f>LEN(TaskTable[WBS])-LEN(SUBSTITUTE(TaskTable[WBS],".",""))+2</f>
        <v>4</v>
      </c>
      <c r="N16" s="22">
        <v>43952</v>
      </c>
      <c r="O16" s="22">
        <v>43959</v>
      </c>
      <c r="P16" s="20">
        <v>8</v>
      </c>
      <c r="Q16" s="20" t="s">
        <v>12</v>
      </c>
      <c r="R16" s="59">
        <f>IF(TaskTable[[#This Row],[STATUS]]="COMPLETE",1,"")</f>
        <v>1</v>
      </c>
      <c r="S16" s="66">
        <v>1</v>
      </c>
      <c r="T16" s="20">
        <v>6</v>
      </c>
      <c r="AD16" s="74"/>
      <c r="AE16" s="74"/>
      <c r="AF16" s="74"/>
      <c r="AG16" s="74"/>
      <c r="AS16" s="26" t="s">
        <v>152</v>
      </c>
      <c r="AT16" s="133">
        <v>43966</v>
      </c>
      <c r="AU16" s="20">
        <f t="shared" si="0"/>
        <v>206</v>
      </c>
      <c r="AV16" s="20">
        <f>VLOOKUP(AS16,E14:S113,15,0)*100</f>
        <v>100</v>
      </c>
      <c r="AW16" s="20">
        <f t="shared" si="4"/>
        <v>206</v>
      </c>
      <c r="AX16" s="20">
        <v>-160</v>
      </c>
      <c r="AY16" s="22">
        <v>44172</v>
      </c>
      <c r="AZ16" s="20">
        <f t="shared" si="1"/>
        <v>-645</v>
      </c>
      <c r="BA16" s="133">
        <f t="shared" si="2"/>
        <v>43931</v>
      </c>
      <c r="BB16" s="20">
        <f t="shared" si="3"/>
        <v>-35</v>
      </c>
    </row>
    <row r="17" spans="4:35" x14ac:dyDescent="0.3">
      <c r="D17" s="24" t="s">
        <v>164</v>
      </c>
      <c r="E17" s="26" t="s">
        <v>72</v>
      </c>
      <c r="F17" s="62" t="str">
        <f ca="1">IF(TaskTable[[#This Row],[WBS Level]]=2,TaskTable[[#This Row],[PHASE]],OFFSET(TaskTable[[#This Row],[MAIN PHASE]],-1,0))</f>
        <v>Development</v>
      </c>
      <c r="G17" s="26" t="str">
        <f ca="1">IF(TaskTable[[#This Row],[WBS Level]]=3,TaskTable[[#This Row],[PHASE]],IF(TaskTable[[#This Row],[WBS Level]]&lt;3,"NONE",OFFSET(TaskTable[[#This Row],[SP-1]],-1,0)))</f>
        <v>Suki App</v>
      </c>
      <c r="H17" s="26" t="str">
        <f ca="1">IF(TaskTable[[#This Row],[WBS Level]]=4,TaskTable[[#This Row],[PHASE]],IF(TaskTable[[#This Row],[WBS Level]]&lt;4,"NONE",OFFSET(TaskTable[[#This Row],[SP-2]],-1,0)))</f>
        <v>Core Middleware</v>
      </c>
      <c r="I17" s="26" t="str">
        <f ca="1">IF(TaskTable[[#This Row],[WBS Level]]=5,TaskTable[[#This Row],[PHASE]],IF(TaskTable[[#This Row],[WBS Level]]&lt;5,"NONE",OFFSET(TaskTable[[#This Row],[SP-3]],-1,0)))</f>
        <v>NONE</v>
      </c>
      <c r="J17" s="26" t="str">
        <f ca="1">IF(TaskTable[[#This Row],[WBS Level]]=6,TaskTable[[#This Row],[PHASE]],IF(TaskTable[[#This Row],[WBS Level]]&lt;6,"NONE",OFFSET(TaskTable[[#This Row],[SP-4]],-1,0)))</f>
        <v>NONE</v>
      </c>
      <c r="M17" s="20">
        <f>LEN(TaskTable[WBS])-LEN(SUBSTITUTE(TaskTable[WBS],".",""))+2</f>
        <v>4</v>
      </c>
      <c r="N17" s="22">
        <v>43952</v>
      </c>
      <c r="O17" s="22">
        <v>43959</v>
      </c>
      <c r="P17" s="20">
        <v>8</v>
      </c>
      <c r="Q17" s="20" t="s">
        <v>12</v>
      </c>
      <c r="R17" s="59">
        <f>IF(TaskTable[[#This Row],[STATUS]]="COMPLETE",1,"")</f>
        <v>1</v>
      </c>
      <c r="S17" s="66">
        <v>1</v>
      </c>
      <c r="T17" s="20">
        <v>6</v>
      </c>
      <c r="AD17" s="135"/>
      <c r="AE17" s="74"/>
      <c r="AF17" s="74"/>
      <c r="AG17" s="74"/>
    </row>
    <row r="18" spans="4:35" x14ac:dyDescent="0.3">
      <c r="D18" s="24" t="s">
        <v>165</v>
      </c>
      <c r="E18" s="26" t="s">
        <v>73</v>
      </c>
      <c r="F18" s="62" t="str">
        <f ca="1">IF(TaskTable[[#This Row],[WBS Level]]=2,TaskTable[[#This Row],[PHASE]],OFFSET(TaskTable[[#This Row],[MAIN PHASE]],-1,0))</f>
        <v>Development</v>
      </c>
      <c r="G18" s="26" t="str">
        <f ca="1">IF(TaskTable[[#This Row],[WBS Level]]=3,TaskTable[[#This Row],[PHASE]],IF(TaskTable[[#This Row],[WBS Level]]&lt;3,"NONE",OFFSET(TaskTable[[#This Row],[SP-1]],-1,0)))</f>
        <v>Suki App</v>
      </c>
      <c r="H18" s="26" t="str">
        <f ca="1">IF(TaskTable[[#This Row],[WBS Level]]=4,TaskTable[[#This Row],[PHASE]],IF(TaskTable[[#This Row],[WBS Level]]&lt;4,"NONE",OFFSET(TaskTable[[#This Row],[SP-2]],-1,0)))</f>
        <v>Barter POS</v>
      </c>
      <c r="I18" s="26" t="str">
        <f ca="1">IF(TaskTable[[#This Row],[WBS Level]]=5,TaskTable[[#This Row],[PHASE]],IF(TaskTable[[#This Row],[WBS Level]]&lt;5,"NONE",OFFSET(TaskTable[[#This Row],[SP-3]],-1,0)))</f>
        <v>NONE</v>
      </c>
      <c r="J18" s="26" t="str">
        <f ca="1">IF(TaskTable[[#This Row],[WBS Level]]=6,TaskTable[[#This Row],[PHASE]],IF(TaskTable[[#This Row],[WBS Level]]&lt;6,"NONE",OFFSET(TaskTable[[#This Row],[SP-4]],-1,0)))</f>
        <v>NONE</v>
      </c>
      <c r="M18" s="20">
        <f>LEN(TaskTable[WBS])-LEN(SUBSTITUTE(TaskTable[WBS],".",""))+2</f>
        <v>4</v>
      </c>
      <c r="N18" s="22">
        <v>43952</v>
      </c>
      <c r="O18" s="22">
        <v>43959</v>
      </c>
      <c r="P18" s="20">
        <v>8</v>
      </c>
      <c r="Q18" s="20" t="s">
        <v>12</v>
      </c>
      <c r="R18" s="59">
        <f>IF(TaskTable[[#This Row],[STATUS]]="COMPLETE",1,"")</f>
        <v>1</v>
      </c>
      <c r="S18" s="66">
        <v>1</v>
      </c>
      <c r="T18" s="20">
        <v>6</v>
      </c>
      <c r="AD18" s="135"/>
      <c r="AE18" s="74"/>
      <c r="AF18" s="74"/>
      <c r="AG18" s="74"/>
    </row>
    <row r="19" spans="4:35" ht="28.8" x14ac:dyDescent="0.3">
      <c r="D19" s="24" t="s">
        <v>166</v>
      </c>
      <c r="E19" s="26" t="s">
        <v>74</v>
      </c>
      <c r="F19" s="62" t="str">
        <f ca="1">IF(TaskTable[[#This Row],[WBS Level]]=2,TaskTable[[#This Row],[PHASE]],OFFSET(TaskTable[[#This Row],[MAIN PHASE]],-1,0))</f>
        <v>Development</v>
      </c>
      <c r="G19" s="26" t="str">
        <f ca="1">IF(TaskTable[[#This Row],[WBS Level]]=3,TaskTable[[#This Row],[PHASE]],IF(TaskTable[[#This Row],[WBS Level]]&lt;3,"NONE",OFFSET(TaskTable[[#This Row],[SP-1]],-1,0)))</f>
        <v>Suki App</v>
      </c>
      <c r="H19" s="26" t="str">
        <f ca="1">IF(TaskTable[[#This Row],[WBS Level]]=4,TaskTable[[#This Row],[PHASE]],IF(TaskTable[[#This Row],[WBS Level]]&lt;4,"NONE",OFFSET(TaskTable[[#This Row],[SP-2]],-1,0)))</f>
        <v>Multiple Branch Capabilities</v>
      </c>
      <c r="I19" s="26" t="str">
        <f ca="1">IF(TaskTable[[#This Row],[WBS Level]]=5,TaskTable[[#This Row],[PHASE]],IF(TaskTable[[#This Row],[WBS Level]]&lt;5,"NONE",OFFSET(TaskTable[[#This Row],[SP-3]],-1,0)))</f>
        <v>NONE</v>
      </c>
      <c r="J19" s="26" t="str">
        <f ca="1">IF(TaskTable[[#This Row],[WBS Level]]=6,TaskTable[[#This Row],[PHASE]],IF(TaskTable[[#This Row],[WBS Level]]&lt;6,"NONE",OFFSET(TaskTable[[#This Row],[SP-4]],-1,0)))</f>
        <v>NONE</v>
      </c>
      <c r="M19" s="20">
        <f>LEN(TaskTable[WBS])-LEN(SUBSTITUTE(TaskTable[WBS],".",""))+2</f>
        <v>4</v>
      </c>
      <c r="N19" s="22">
        <v>43952</v>
      </c>
      <c r="O19" s="22">
        <v>43959</v>
      </c>
      <c r="P19" s="20">
        <v>8</v>
      </c>
      <c r="Q19" s="20" t="s">
        <v>12</v>
      </c>
      <c r="R19" s="59">
        <f>IF(TaskTable[[#This Row],[STATUS]]="COMPLETE",1,"")</f>
        <v>1</v>
      </c>
      <c r="S19" s="66">
        <v>1</v>
      </c>
      <c r="T19" s="20">
        <v>6</v>
      </c>
      <c r="AD19" s="74"/>
      <c r="AE19" s="74"/>
      <c r="AF19" s="74"/>
      <c r="AG19" s="74"/>
    </row>
    <row r="20" spans="4:35" ht="28.8" x14ac:dyDescent="0.3">
      <c r="D20" s="24" t="s">
        <v>167</v>
      </c>
      <c r="E20" s="26" t="s">
        <v>75</v>
      </c>
      <c r="F20" s="62" t="str">
        <f ca="1">IF(TaskTable[[#This Row],[WBS Level]]=2,TaskTable[[#This Row],[PHASE]],OFFSET(TaskTable[[#This Row],[MAIN PHASE]],-1,0))</f>
        <v>Development</v>
      </c>
      <c r="G20" s="26" t="str">
        <f ca="1">IF(TaskTable[[#This Row],[WBS Level]]=3,TaskTable[[#This Row],[PHASE]],IF(TaskTable[[#This Row],[WBS Level]]&lt;3,"NONE",OFFSET(TaskTable[[#This Row],[SP-1]],-1,0)))</f>
        <v>Suki App</v>
      </c>
      <c r="H20" s="26" t="str">
        <f ca="1">IF(TaskTable[[#This Row],[WBS Level]]=4,TaskTable[[#This Row],[PHASE]],IF(TaskTable[[#This Row],[WBS Level]]&lt;4,"NONE",OFFSET(TaskTable[[#This Row],[SP-2]],-1,0)))</f>
        <v>Customer Loyalty Points</v>
      </c>
      <c r="I20" s="26" t="str">
        <f ca="1">IF(TaskTable[[#This Row],[WBS Level]]=5,TaskTable[[#This Row],[PHASE]],IF(TaskTable[[#This Row],[WBS Level]]&lt;5,"NONE",OFFSET(TaskTable[[#This Row],[SP-3]],-1,0)))</f>
        <v>NONE</v>
      </c>
      <c r="J20" s="26" t="str">
        <f ca="1">IF(TaskTable[[#This Row],[WBS Level]]=6,TaskTable[[#This Row],[PHASE]],IF(TaskTable[[#This Row],[WBS Level]]&lt;6,"NONE",OFFSET(TaskTable[[#This Row],[SP-4]],-1,0)))</f>
        <v>NONE</v>
      </c>
      <c r="M20" s="20">
        <f>LEN(TaskTable[WBS])-LEN(SUBSTITUTE(TaskTable[WBS],".",""))+2</f>
        <v>4</v>
      </c>
      <c r="N20" s="22">
        <v>43952</v>
      </c>
      <c r="O20" s="22">
        <v>43959</v>
      </c>
      <c r="P20" s="20">
        <v>8</v>
      </c>
      <c r="Q20" s="20" t="s">
        <v>12</v>
      </c>
      <c r="R20" s="59">
        <f>IF(TaskTable[[#This Row],[STATUS]]="COMPLETE",1,"")</f>
        <v>1</v>
      </c>
      <c r="S20" s="66">
        <v>1</v>
      </c>
      <c r="T20" s="20">
        <v>6</v>
      </c>
    </row>
    <row r="21" spans="4:35" x14ac:dyDescent="0.3">
      <c r="D21" s="24">
        <v>4</v>
      </c>
      <c r="E21" s="26" t="s">
        <v>76</v>
      </c>
      <c r="F21" s="62" t="str">
        <f ca="1">IF(TaskTable[[#This Row],[WBS Level]]=2,TaskTable[[#This Row],[PHASE]],OFFSET(TaskTable[[#This Row],[MAIN PHASE]],-1,0))</f>
        <v>System Integration Testing</v>
      </c>
      <c r="G21" s="26" t="str">
        <f ca="1">IF(TaskTable[[#This Row],[WBS Level]]=3,TaskTable[[#This Row],[PHASE]],IF(TaskTable[[#This Row],[WBS Level]]&lt;3,"NONE",OFFSET(TaskTable[[#This Row],[SP-1]],-1,0)))</f>
        <v>NONE</v>
      </c>
      <c r="H21" s="26" t="str">
        <f ca="1">IF(TaskTable[[#This Row],[WBS Level]]=4,TaskTable[[#This Row],[PHASE]],IF(TaskTable[[#This Row],[WBS Level]]&lt;4,"NONE",OFFSET(TaskTable[[#This Row],[SP-2]],-1,0)))</f>
        <v>NONE</v>
      </c>
      <c r="I21" s="26" t="str">
        <f ca="1">IF(TaskTable[[#This Row],[WBS Level]]=5,TaskTable[[#This Row],[PHASE]],IF(TaskTable[[#This Row],[WBS Level]]&lt;5,"NONE",OFFSET(TaskTable[[#This Row],[SP-3]],-1,0)))</f>
        <v>NONE</v>
      </c>
      <c r="J21" s="26" t="str">
        <f ca="1">IF(TaskTable[[#This Row],[WBS Level]]=6,TaskTable[[#This Row],[PHASE]],IF(TaskTable[[#This Row],[WBS Level]]&lt;6,"NONE",OFFSET(TaskTable[[#This Row],[SP-4]],-1,0)))</f>
        <v>NONE</v>
      </c>
      <c r="K21" s="20" t="s">
        <v>66</v>
      </c>
      <c r="M21" s="20">
        <f>LEN(TaskTable[WBS])-LEN(SUBSTITUTE(TaskTable[WBS],".",""))+2</f>
        <v>2</v>
      </c>
      <c r="N21" s="22">
        <v>43952</v>
      </c>
      <c r="O21" s="22">
        <v>43962</v>
      </c>
      <c r="P21" s="20">
        <v>7</v>
      </c>
      <c r="Q21" s="20" t="s">
        <v>12</v>
      </c>
      <c r="R21" s="59">
        <f>IF(TaskTable[[#This Row],[STATUS]]="COMPLETE",1,"")</f>
        <v>1</v>
      </c>
      <c r="S21" s="66">
        <v>1</v>
      </c>
      <c r="T21" s="20">
        <v>7</v>
      </c>
    </row>
    <row r="22" spans="4:35" x14ac:dyDescent="0.3">
      <c r="D22" s="25">
        <v>4.0999999999999996</v>
      </c>
      <c r="E22" s="26" t="s">
        <v>77</v>
      </c>
      <c r="F22" s="62" t="str">
        <f ca="1">IF(TaskTable[[#This Row],[WBS Level]]=2,TaskTable[[#This Row],[PHASE]],OFFSET(TaskTable[[#This Row],[MAIN PHASE]],-1,0))</f>
        <v>System Integration Testing</v>
      </c>
      <c r="G22" s="26" t="str">
        <f ca="1">IF(TaskTable[[#This Row],[WBS Level]]=3,TaskTable[[#This Row],[PHASE]],IF(TaskTable[[#This Row],[WBS Level]]&lt;3,"NONE",OFFSET(TaskTable[[#This Row],[SP-1]],-1,0)))</f>
        <v>Test Scripts Creation</v>
      </c>
      <c r="H22" s="26" t="str">
        <f ca="1">IF(TaskTable[[#This Row],[WBS Level]]=4,TaskTable[[#This Row],[PHASE]],IF(TaskTable[[#This Row],[WBS Level]]&lt;4,"NONE",OFFSET(TaskTable[[#This Row],[SP-2]],-1,0)))</f>
        <v>NONE</v>
      </c>
      <c r="I22" s="26" t="str">
        <f ca="1">IF(TaskTable[[#This Row],[WBS Level]]=5,TaskTable[[#This Row],[PHASE]],IF(TaskTable[[#This Row],[WBS Level]]&lt;5,"NONE",OFFSET(TaskTable[[#This Row],[SP-3]],-1,0)))</f>
        <v>NONE</v>
      </c>
      <c r="J22" s="26" t="str">
        <f ca="1">IF(TaskTable[[#This Row],[WBS Level]]=6,TaskTable[[#This Row],[PHASE]],IF(TaskTable[[#This Row],[WBS Level]]&lt;6,"NONE",OFFSET(TaskTable[[#This Row],[SP-4]],-1,0)))</f>
        <v>NONE</v>
      </c>
      <c r="M22" s="20">
        <f>LEN(TaskTable[WBS])-LEN(SUBSTITUTE(TaskTable[WBS],".",""))+2</f>
        <v>3</v>
      </c>
      <c r="N22" s="22">
        <v>43955</v>
      </c>
      <c r="O22" s="22">
        <v>43960</v>
      </c>
      <c r="P22" s="20">
        <v>6</v>
      </c>
      <c r="Q22" s="20" t="s">
        <v>12</v>
      </c>
      <c r="R22" s="59">
        <f>IF(TaskTable[[#This Row],[STATUS]]="COMPLETE",1,"")</f>
        <v>1</v>
      </c>
      <c r="S22" s="66">
        <v>1</v>
      </c>
      <c r="T22" s="20">
        <v>5</v>
      </c>
    </row>
    <row r="23" spans="4:35" ht="43.2" x14ac:dyDescent="0.3">
      <c r="D23" s="24" t="s">
        <v>168</v>
      </c>
      <c r="E23" s="26" t="s">
        <v>76</v>
      </c>
      <c r="F23" s="62" t="str">
        <f ca="1">IF(TaskTable[[#This Row],[WBS Level]]=2,TaskTable[[#This Row],[PHASE]],OFFSET(TaskTable[[#This Row],[MAIN PHASE]],-1,0))</f>
        <v>System Integration Testing</v>
      </c>
      <c r="G23" s="26" t="str">
        <f ca="1">IF(TaskTable[[#This Row],[WBS Level]]=3,TaskTable[[#This Row],[PHASE]],IF(TaskTable[[#This Row],[WBS Level]]&lt;3,"NONE",OFFSET(TaskTable[[#This Row],[SP-1]],-1,0)))</f>
        <v>Test Scripts Creation</v>
      </c>
      <c r="H23" s="26" t="str">
        <f ca="1">IF(TaskTable[[#This Row],[WBS Level]]=4,TaskTable[[#This Row],[PHASE]],IF(TaskTable[[#This Row],[WBS Level]]&lt;4,"NONE",OFFSET(TaskTable[[#This Row],[SP-2]],-1,0)))</f>
        <v>System Integration Testing</v>
      </c>
      <c r="I23" s="26" t="str">
        <f ca="1">IF(TaskTable[[#This Row],[WBS Level]]=5,TaskTable[[#This Row],[PHASE]],IF(TaskTable[[#This Row],[WBS Level]]&lt;5,"NONE",OFFSET(TaskTable[[#This Row],[SP-3]],-1,0)))</f>
        <v>NONE</v>
      </c>
      <c r="J23" s="26" t="str">
        <f ca="1">IF(TaskTable[[#This Row],[WBS Level]]=6,TaskTable[[#This Row],[PHASE]],IF(TaskTable[[#This Row],[WBS Level]]&lt;6,"NONE",OFFSET(TaskTable[[#This Row],[SP-4]],-1,0)))</f>
        <v>NONE</v>
      </c>
      <c r="M23" s="20">
        <f>LEN(TaskTable[WBS])-LEN(SUBSTITUTE(TaskTable[WBS],".",""))+2</f>
        <v>4</v>
      </c>
      <c r="N23" s="22">
        <v>43961</v>
      </c>
      <c r="O23" s="22">
        <v>43961</v>
      </c>
      <c r="P23" s="20">
        <v>1</v>
      </c>
      <c r="Q23" s="20"/>
      <c r="R23" s="59" t="str">
        <f>IF(TaskTable[[#This Row],[STATUS]]="COMPLETE",1,"")</f>
        <v/>
      </c>
      <c r="S23" s="66">
        <v>1</v>
      </c>
      <c r="T23" s="20">
        <v>0</v>
      </c>
    </row>
    <row r="24" spans="4:35" x14ac:dyDescent="0.3">
      <c r="D24" s="24" t="s">
        <v>169</v>
      </c>
      <c r="E24" s="26" t="s">
        <v>78</v>
      </c>
      <c r="F24" s="62" t="str">
        <f ca="1">IF(TaskTable[[#This Row],[WBS Level]]=2,TaskTable[[#This Row],[PHASE]],OFFSET(TaskTable[[#This Row],[MAIN PHASE]],-1,0))</f>
        <v>System Integration Testing</v>
      </c>
      <c r="G24" s="26" t="str">
        <f ca="1">IF(TaskTable[[#This Row],[WBS Level]]=3,TaskTable[[#This Row],[PHASE]],IF(TaskTable[[#This Row],[WBS Level]]&lt;3,"NONE",OFFSET(TaskTable[[#This Row],[SP-1]],-1,0)))</f>
        <v>Test Scripts Creation</v>
      </c>
      <c r="H24" s="26" t="str">
        <f ca="1">IF(TaskTable[[#This Row],[WBS Level]]=4,TaskTable[[#This Row],[PHASE]],IF(TaskTable[[#This Row],[WBS Level]]&lt;4,"NONE",OFFSET(TaskTable[[#This Row],[SP-2]],-1,0)))</f>
        <v>Bugs Fixing</v>
      </c>
      <c r="I24" s="26" t="str">
        <f ca="1">IF(TaskTable[[#This Row],[WBS Level]]=5,TaskTable[[#This Row],[PHASE]],IF(TaskTable[[#This Row],[WBS Level]]&lt;5,"NONE",OFFSET(TaskTable[[#This Row],[SP-3]],-1,0)))</f>
        <v>NONE</v>
      </c>
      <c r="J24" s="26" t="str">
        <f ca="1">IF(TaskTable[[#This Row],[WBS Level]]=6,TaskTable[[#This Row],[PHASE]],IF(TaskTable[[#This Row],[WBS Level]]&lt;6,"NONE",OFFSET(TaskTable[[#This Row],[SP-4]],-1,0)))</f>
        <v>NONE</v>
      </c>
      <c r="M24" s="20">
        <f>LEN(TaskTable[WBS])-LEN(SUBSTITUTE(TaskTable[WBS],".",""))+2</f>
        <v>4</v>
      </c>
      <c r="N24" s="22">
        <v>43961</v>
      </c>
      <c r="O24" s="22">
        <v>43961</v>
      </c>
      <c r="P24" s="20">
        <v>1</v>
      </c>
      <c r="Q24" s="20"/>
      <c r="R24" s="59" t="str">
        <f>IF(TaskTable[[#This Row],[STATUS]]="COMPLETE",1,"")</f>
        <v/>
      </c>
      <c r="S24" s="66">
        <v>1</v>
      </c>
      <c r="T24" s="20">
        <v>0</v>
      </c>
    </row>
    <row r="25" spans="4:35" x14ac:dyDescent="0.3">
      <c r="D25" s="24" t="s">
        <v>170</v>
      </c>
      <c r="E25" s="26" t="s">
        <v>79</v>
      </c>
      <c r="F25" s="62" t="str">
        <f ca="1">IF(TaskTable[[#This Row],[WBS Level]]=2,TaskTable[[#This Row],[PHASE]],OFFSET(TaskTable[[#This Row],[MAIN PHASE]],-1,0))</f>
        <v>System Integration Testing</v>
      </c>
      <c r="G25" s="26" t="str">
        <f ca="1">IF(TaskTable[[#This Row],[WBS Level]]=3,TaskTable[[#This Row],[PHASE]],IF(TaskTable[[#This Row],[WBS Level]]&lt;3,"NONE",OFFSET(TaskTable[[#This Row],[SP-1]],-1,0)))</f>
        <v>Test Scripts Creation</v>
      </c>
      <c r="H25" s="26" t="str">
        <f ca="1">IF(TaskTable[[#This Row],[WBS Level]]=4,TaskTable[[#This Row],[PHASE]],IF(TaskTable[[#This Row],[WBS Level]]&lt;4,"NONE",OFFSET(TaskTable[[#This Row],[SP-2]],-1,0)))</f>
        <v>Re-testing</v>
      </c>
      <c r="I25" s="26" t="str">
        <f ca="1">IF(TaskTable[[#This Row],[WBS Level]]=5,TaskTable[[#This Row],[PHASE]],IF(TaskTable[[#This Row],[WBS Level]]&lt;5,"NONE",OFFSET(TaskTable[[#This Row],[SP-3]],-1,0)))</f>
        <v>NONE</v>
      </c>
      <c r="J25" s="26" t="str">
        <f ca="1">IF(TaskTable[[#This Row],[WBS Level]]=6,TaskTable[[#This Row],[PHASE]],IF(TaskTable[[#This Row],[WBS Level]]&lt;6,"NONE",OFFSET(TaskTable[[#This Row],[SP-4]],-1,0)))</f>
        <v>NONE</v>
      </c>
      <c r="M25" s="20">
        <f>LEN(TaskTable[WBS])-LEN(SUBSTITUTE(TaskTable[WBS],".",""))+2</f>
        <v>4</v>
      </c>
      <c r="N25" s="22">
        <v>43961</v>
      </c>
      <c r="O25" s="22">
        <v>43961</v>
      </c>
      <c r="P25" s="20">
        <v>1</v>
      </c>
      <c r="Q25" s="20"/>
      <c r="R25" s="59" t="str">
        <f>IF(TaskTable[[#This Row],[STATUS]]="COMPLETE",1,"")</f>
        <v/>
      </c>
      <c r="S25" s="66">
        <v>1</v>
      </c>
      <c r="T25" s="20">
        <v>0</v>
      </c>
    </row>
    <row r="26" spans="4:35" x14ac:dyDescent="0.3">
      <c r="D26" s="24" t="s">
        <v>171</v>
      </c>
      <c r="E26" s="26" t="s">
        <v>80</v>
      </c>
      <c r="F26" s="62" t="str">
        <f ca="1">IF(TaskTable[[#This Row],[WBS Level]]=2,TaskTable[[#This Row],[PHASE]],OFFSET(TaskTable[[#This Row],[MAIN PHASE]],-1,0))</f>
        <v>System Integration Testing</v>
      </c>
      <c r="G26" s="26" t="str">
        <f ca="1">IF(TaskTable[[#This Row],[WBS Level]]=3,TaskTable[[#This Row],[PHASE]],IF(TaskTable[[#This Row],[WBS Level]]&lt;3,"NONE",OFFSET(TaskTable[[#This Row],[SP-1]],-1,0)))</f>
        <v>Test Scripts Creation</v>
      </c>
      <c r="H26" s="26" t="str">
        <f ca="1">IF(TaskTable[[#This Row],[WBS Level]]=4,TaskTable[[#This Row],[PHASE]],IF(TaskTable[[#This Row],[WBS Level]]&lt;4,"NONE",OFFSET(TaskTable[[#This Row],[SP-2]],-1,0)))</f>
        <v>Sign-off</v>
      </c>
      <c r="I26" s="26" t="str">
        <f ca="1">IF(TaskTable[[#This Row],[WBS Level]]=5,TaskTable[[#This Row],[PHASE]],IF(TaskTable[[#This Row],[WBS Level]]&lt;5,"NONE",OFFSET(TaskTable[[#This Row],[SP-3]],-1,0)))</f>
        <v>NONE</v>
      </c>
      <c r="J26" s="26" t="str">
        <f ca="1">IF(TaskTable[[#This Row],[WBS Level]]=6,TaskTable[[#This Row],[PHASE]],IF(TaskTable[[#This Row],[WBS Level]]&lt;6,"NONE",OFFSET(TaskTable[[#This Row],[SP-4]],-1,0)))</f>
        <v>NONE</v>
      </c>
      <c r="M26" s="20">
        <f>LEN(TaskTable[WBS])-LEN(SUBSTITUTE(TaskTable[WBS],".",""))+2</f>
        <v>4</v>
      </c>
      <c r="N26" s="22">
        <v>43962</v>
      </c>
      <c r="O26" s="22">
        <v>43962</v>
      </c>
      <c r="P26" s="20">
        <v>1</v>
      </c>
      <c r="Q26" s="20"/>
      <c r="R26" s="59" t="str">
        <f>IF(TaskTable[[#This Row],[STATUS]]="COMPLETE",1,"")</f>
        <v/>
      </c>
      <c r="S26" s="66">
        <v>1</v>
      </c>
      <c r="T26" s="20">
        <v>1</v>
      </c>
    </row>
    <row r="27" spans="4:35" x14ac:dyDescent="0.3">
      <c r="D27" s="24">
        <v>5</v>
      </c>
      <c r="E27" s="26" t="s">
        <v>81</v>
      </c>
      <c r="F27" s="62" t="str">
        <f ca="1">IF(TaskTable[[#This Row],[WBS Level]]=2,TaskTable[[#This Row],[PHASE]],OFFSET(TaskTable[[#This Row],[MAIN PHASE]],-1,0))</f>
        <v>Training</v>
      </c>
      <c r="G27" s="26" t="str">
        <f ca="1">IF(TaskTable[[#This Row],[WBS Level]]=3,TaskTable[[#This Row],[PHASE]],IF(TaskTable[[#This Row],[WBS Level]]&lt;3,"NONE",OFFSET(TaskTable[[#This Row],[SP-1]],-1,0)))</f>
        <v>NONE</v>
      </c>
      <c r="H27" s="26" t="str">
        <f ca="1">IF(TaskTable[[#This Row],[WBS Level]]=4,TaskTable[[#This Row],[PHASE]],IF(TaskTable[[#This Row],[WBS Level]]&lt;4,"NONE",OFFSET(TaskTable[[#This Row],[SP-2]],-1,0)))</f>
        <v>NONE</v>
      </c>
      <c r="I27" s="26" t="str">
        <f ca="1">IF(TaskTable[[#This Row],[WBS Level]]=5,TaskTable[[#This Row],[PHASE]],IF(TaskTable[[#This Row],[WBS Level]]&lt;5,"NONE",OFFSET(TaskTable[[#This Row],[SP-3]],-1,0)))</f>
        <v>NONE</v>
      </c>
      <c r="J27" s="26" t="str">
        <f ca="1">IF(TaskTable[[#This Row],[WBS Level]]=6,TaskTable[[#This Row],[PHASE]],IF(TaskTable[[#This Row],[WBS Level]]&lt;6,"NONE",OFFSET(TaskTable[[#This Row],[SP-4]],-1,0)))</f>
        <v>NONE</v>
      </c>
      <c r="K27" s="20" t="s">
        <v>82</v>
      </c>
      <c r="M27" s="20">
        <f>LEN(TaskTable[WBS])-LEN(SUBSTITUTE(TaskTable[WBS],".",""))+2</f>
        <v>2</v>
      </c>
      <c r="N27" s="22">
        <v>43958</v>
      </c>
      <c r="O27" s="22">
        <v>43963</v>
      </c>
      <c r="P27" s="20">
        <v>4</v>
      </c>
      <c r="Q27" s="20" t="s">
        <v>12</v>
      </c>
      <c r="R27" s="59">
        <f>IF(TaskTable[[#This Row],[STATUS]]="COMPLETE",1,"")</f>
        <v>1</v>
      </c>
      <c r="S27" s="66">
        <v>1</v>
      </c>
      <c r="T27" s="20">
        <v>4</v>
      </c>
    </row>
    <row r="28" spans="4:35" x14ac:dyDescent="0.3">
      <c r="D28" s="25">
        <v>5.0999999999999996</v>
      </c>
      <c r="E28" s="26" t="s">
        <v>67</v>
      </c>
      <c r="F28" s="62" t="str">
        <f ca="1">IF(TaskTable[[#This Row],[WBS Level]]=2,TaskTable[[#This Row],[PHASE]],OFFSET(TaskTable[[#This Row],[MAIN PHASE]],-1,0))</f>
        <v>Training</v>
      </c>
      <c r="G28" s="26" t="str">
        <f ca="1">IF(TaskTable[[#This Row],[WBS Level]]=3,TaskTable[[#This Row],[PHASE]],IF(TaskTable[[#This Row],[WBS Level]]&lt;3,"NONE",OFFSET(TaskTable[[#This Row],[SP-1]],-1,0)))</f>
        <v>Suki App</v>
      </c>
      <c r="H28" s="26" t="str">
        <f ca="1">IF(TaskTable[[#This Row],[WBS Level]]=4,TaskTable[[#This Row],[PHASE]],IF(TaskTable[[#This Row],[WBS Level]]&lt;4,"NONE",OFFSET(TaskTable[[#This Row],[SP-2]],-1,0)))</f>
        <v>NONE</v>
      </c>
      <c r="I28" s="26" t="str">
        <f ca="1">IF(TaskTable[[#This Row],[WBS Level]]=5,TaskTable[[#This Row],[PHASE]],IF(TaskTable[[#This Row],[WBS Level]]&lt;5,"NONE",OFFSET(TaskTable[[#This Row],[SP-3]],-1,0)))</f>
        <v>NONE</v>
      </c>
      <c r="J28" s="26" t="str">
        <f ca="1">IF(TaskTable[[#This Row],[WBS Level]]=6,TaskTable[[#This Row],[PHASE]],IF(TaskTable[[#This Row],[WBS Level]]&lt;6,"NONE",OFFSET(TaskTable[[#This Row],[SP-4]],-1,0)))</f>
        <v>NONE</v>
      </c>
      <c r="K28" s="20" t="s">
        <v>83</v>
      </c>
      <c r="M28" s="20">
        <f>LEN(TaskTable[WBS])-LEN(SUBSTITUTE(TaskTable[WBS],".",""))+2</f>
        <v>3</v>
      </c>
      <c r="N28" s="22">
        <v>43958</v>
      </c>
      <c r="O28" s="22">
        <v>43958</v>
      </c>
      <c r="P28" s="20">
        <v>1</v>
      </c>
      <c r="Q28" s="20" t="s">
        <v>12</v>
      </c>
      <c r="R28" s="59">
        <f>IF(TaskTable[[#This Row],[STATUS]]="COMPLETE",1,"")</f>
        <v>1</v>
      </c>
      <c r="S28" s="66">
        <v>1</v>
      </c>
      <c r="T28" s="20">
        <v>1</v>
      </c>
    </row>
    <row r="29" spans="4:35" x14ac:dyDescent="0.3">
      <c r="D29" s="24" t="s">
        <v>172</v>
      </c>
      <c r="E29" s="26" t="s">
        <v>68</v>
      </c>
      <c r="F29" s="62" t="str">
        <f ca="1">IF(TaskTable[[#This Row],[WBS Level]]=2,TaskTable[[#This Row],[PHASE]],OFFSET(TaskTable[[#This Row],[MAIN PHASE]],-1,0))</f>
        <v>Training</v>
      </c>
      <c r="G29" s="26" t="str">
        <f ca="1">IF(TaskTable[[#This Row],[WBS Level]]=3,TaskTable[[#This Row],[PHASE]],IF(TaskTable[[#This Row],[WBS Level]]&lt;3,"NONE",OFFSET(TaskTable[[#This Row],[SP-1]],-1,0)))</f>
        <v>Suki App</v>
      </c>
      <c r="H29" s="26" t="str">
        <f ca="1">IF(TaskTable[[#This Row],[WBS Level]]=4,TaskTable[[#This Row],[PHASE]],IF(TaskTable[[#This Row],[WBS Level]]&lt;4,"NONE",OFFSET(TaskTable[[#This Row],[SP-2]],-1,0)))</f>
        <v>Suki Hub</v>
      </c>
      <c r="I29" s="26" t="str">
        <f ca="1">IF(TaskTable[[#This Row],[WBS Level]]=5,TaskTable[[#This Row],[PHASE]],IF(TaskTable[[#This Row],[WBS Level]]&lt;5,"NONE",OFFSET(TaskTable[[#This Row],[SP-3]],-1,0)))</f>
        <v>NONE</v>
      </c>
      <c r="J29" s="26" t="str">
        <f ca="1">IF(TaskTable[[#This Row],[WBS Level]]=6,TaskTable[[#This Row],[PHASE]],IF(TaskTable[[#This Row],[WBS Level]]&lt;6,"NONE",OFFSET(TaskTable[[#This Row],[SP-4]],-1,0)))</f>
        <v>NONE</v>
      </c>
      <c r="K29" s="20" t="s">
        <v>83</v>
      </c>
      <c r="M29" s="20">
        <f>LEN(TaskTable[WBS])-LEN(SUBSTITUTE(TaskTable[WBS],".",""))+2</f>
        <v>4</v>
      </c>
      <c r="N29" s="22">
        <v>43962</v>
      </c>
      <c r="O29" s="22">
        <v>43962</v>
      </c>
      <c r="P29" s="20">
        <v>1</v>
      </c>
      <c r="Q29" s="20" t="s">
        <v>12</v>
      </c>
      <c r="R29" s="59">
        <f>IF(TaskTable[[#This Row],[STATUS]]="COMPLETE",1,"")</f>
        <v>1</v>
      </c>
      <c r="S29" s="66">
        <v>1</v>
      </c>
      <c r="T29" s="20">
        <v>1</v>
      </c>
    </row>
    <row r="30" spans="4:35" ht="28.8" x14ac:dyDescent="0.3">
      <c r="D30" s="24" t="s">
        <v>173</v>
      </c>
      <c r="E30" s="26" t="s">
        <v>84</v>
      </c>
      <c r="F30" s="62" t="str">
        <f ca="1">IF(TaskTable[[#This Row],[WBS Level]]=2,TaskTable[[#This Row],[PHASE]],OFFSET(TaskTable[[#This Row],[MAIN PHASE]],-1,0))</f>
        <v>Training</v>
      </c>
      <c r="G30" s="26" t="str">
        <f ca="1">IF(TaskTable[[#This Row],[WBS Level]]=3,TaskTable[[#This Row],[PHASE]],IF(TaskTable[[#This Row],[WBS Level]]&lt;3,"NONE",OFFSET(TaskTable[[#This Row],[SP-1]],-1,0)))</f>
        <v>Suki App</v>
      </c>
      <c r="H30" s="26" t="str">
        <f ca="1">IF(TaskTable[[#This Row],[WBS Level]]=4,TaskTable[[#This Row],[PHASE]],IF(TaskTable[[#This Row],[WBS Level]]&lt;4,"NONE",OFFSET(TaskTable[[#This Row],[SP-2]],-1,0)))</f>
        <v>Picker-Checker-Driver</v>
      </c>
      <c r="I30" s="26" t="str">
        <f ca="1">IF(TaskTable[[#This Row],[WBS Level]]=5,TaskTable[[#This Row],[PHASE]],IF(TaskTable[[#This Row],[WBS Level]]&lt;5,"NONE",OFFSET(TaskTable[[#This Row],[SP-3]],-1,0)))</f>
        <v>NONE</v>
      </c>
      <c r="J30" s="26" t="str">
        <f ca="1">IF(TaskTable[[#This Row],[WBS Level]]=6,TaskTable[[#This Row],[PHASE]],IF(TaskTable[[#This Row],[WBS Level]]&lt;6,"NONE",OFFSET(TaskTable[[#This Row],[SP-4]],-1,0)))</f>
        <v>NONE</v>
      </c>
      <c r="K30" s="20" t="s">
        <v>83</v>
      </c>
      <c r="M30" s="20">
        <f>LEN(TaskTable[WBS])-LEN(SUBSTITUTE(TaskTable[WBS],".",""))+2</f>
        <v>4</v>
      </c>
      <c r="N30" s="22">
        <v>43963</v>
      </c>
      <c r="O30" s="22">
        <v>43963</v>
      </c>
      <c r="P30" s="20">
        <v>1</v>
      </c>
      <c r="Q30" s="20" t="s">
        <v>12</v>
      </c>
      <c r="R30" s="59">
        <f>IF(TaskTable[[#This Row],[STATUS]]="COMPLETE",1,"")</f>
        <v>1</v>
      </c>
      <c r="S30" s="66">
        <v>1</v>
      </c>
      <c r="T30" s="20">
        <v>1</v>
      </c>
    </row>
    <row r="31" spans="4:35" ht="28.8" x14ac:dyDescent="0.3">
      <c r="D31" s="24">
        <v>6</v>
      </c>
      <c r="E31" s="26" t="s">
        <v>85</v>
      </c>
      <c r="F31" s="62" t="str">
        <f ca="1">IF(TaskTable[[#This Row],[WBS Level]]=2,TaskTable[[#This Row],[PHASE]],OFFSET(TaskTable[[#This Row],[MAIN PHASE]],-1,0))</f>
        <v>PRG Business Process Creation - BRD</v>
      </c>
      <c r="G31" s="26" t="str">
        <f ca="1">IF(TaskTable[[#This Row],[WBS Level]]=3,TaskTable[[#This Row],[PHASE]],IF(TaskTable[[#This Row],[WBS Level]]&lt;3,"NONE",OFFSET(TaskTable[[#This Row],[SP-1]],-1,0)))</f>
        <v>NONE</v>
      </c>
      <c r="H31" s="26" t="str">
        <f ca="1">IF(TaskTable[[#This Row],[WBS Level]]=4,TaskTable[[#This Row],[PHASE]],IF(TaskTable[[#This Row],[WBS Level]]&lt;4,"NONE",OFFSET(TaskTable[[#This Row],[SP-2]],-1,0)))</f>
        <v>NONE</v>
      </c>
      <c r="I31" s="26" t="str">
        <f ca="1">IF(TaskTable[[#This Row],[WBS Level]]=5,TaskTable[[#This Row],[PHASE]],IF(TaskTable[[#This Row],[WBS Level]]&lt;5,"NONE",OFFSET(TaskTable[[#This Row],[SP-3]],-1,0)))</f>
        <v>NONE</v>
      </c>
      <c r="J31" s="26" t="str">
        <f ca="1">IF(TaskTable[[#This Row],[WBS Level]]=6,TaskTable[[#This Row],[PHASE]],IF(TaskTable[[#This Row],[WBS Level]]&lt;6,"NONE",OFFSET(TaskTable[[#This Row],[SP-4]],-1,0)))</f>
        <v>NONE</v>
      </c>
      <c r="K31" s="20" t="s">
        <v>86</v>
      </c>
      <c r="M31" s="20">
        <f>LEN(TaskTable[WBS])-LEN(SUBSTITUTE(TaskTable[WBS],".",""))+2</f>
        <v>2</v>
      </c>
      <c r="N31" s="22">
        <v>43938</v>
      </c>
      <c r="O31" s="22">
        <v>43964</v>
      </c>
      <c r="P31" s="20">
        <v>19</v>
      </c>
      <c r="Q31" s="20"/>
      <c r="R31" s="59" t="str">
        <f>IF(TaskTable[[#This Row],[STATUS]]="COMPLETE",1,"")</f>
        <v/>
      </c>
      <c r="S31" s="66">
        <v>1</v>
      </c>
      <c r="T31" s="20">
        <v>19</v>
      </c>
      <c r="U31" s="73"/>
      <c r="V31" s="73"/>
      <c r="W31" s="73"/>
      <c r="X31" s="73"/>
      <c r="Y31" s="73"/>
      <c r="Z31" s="73"/>
      <c r="AA31" s="73"/>
      <c r="AB31" s="73"/>
      <c r="AC31" s="73"/>
      <c r="AD31" s="73"/>
      <c r="AE31" s="73"/>
      <c r="AF31" s="73"/>
      <c r="AG31" s="73"/>
      <c r="AH31" s="73"/>
      <c r="AI31" s="73"/>
    </row>
    <row r="32" spans="4:35" ht="28.8" x14ac:dyDescent="0.3">
      <c r="D32" s="25">
        <v>6.1</v>
      </c>
      <c r="E32" s="26" t="s">
        <v>87</v>
      </c>
      <c r="F32" s="62" t="str">
        <f ca="1">IF(TaskTable[[#This Row],[WBS Level]]=2,TaskTable[[#This Row],[PHASE]],OFFSET(TaskTable[[#This Row],[MAIN PHASE]],-1,0))</f>
        <v>PRG Business Process Creation - BRD</v>
      </c>
      <c r="G32" s="26" t="str">
        <f ca="1">IF(TaskTable[[#This Row],[WBS Level]]=3,TaskTable[[#This Row],[PHASE]],IF(TaskTable[[#This Row],[WBS Level]]&lt;3,"NONE",OFFSET(TaskTable[[#This Row],[SP-1]],-1,0)))</f>
        <v>BRD Creation</v>
      </c>
      <c r="H32" s="26" t="str">
        <f ca="1">IF(TaskTable[[#This Row],[WBS Level]]=4,TaskTable[[#This Row],[PHASE]],IF(TaskTable[[#This Row],[WBS Level]]&lt;4,"NONE",OFFSET(TaskTable[[#This Row],[SP-2]],-1,0)))</f>
        <v>NONE</v>
      </c>
      <c r="I32" s="26" t="str">
        <f ca="1">IF(TaskTable[[#This Row],[WBS Level]]=5,TaskTable[[#This Row],[PHASE]],IF(TaskTable[[#This Row],[WBS Level]]&lt;5,"NONE",OFFSET(TaskTable[[#This Row],[SP-3]],-1,0)))</f>
        <v>NONE</v>
      </c>
      <c r="J32" s="26" t="str">
        <f ca="1">IF(TaskTable[[#This Row],[WBS Level]]=6,TaskTable[[#This Row],[PHASE]],IF(TaskTable[[#This Row],[WBS Level]]&lt;6,"NONE",OFFSET(TaskTable[[#This Row],[SP-4]],-1,0)))</f>
        <v>NONE</v>
      </c>
      <c r="M32" s="20">
        <f>LEN(TaskTable[WBS])-LEN(SUBSTITUTE(TaskTable[WBS],".",""))+2</f>
        <v>3</v>
      </c>
      <c r="N32" s="22">
        <v>43938</v>
      </c>
      <c r="O32" s="22">
        <v>43949</v>
      </c>
      <c r="P32" s="20">
        <v>12</v>
      </c>
      <c r="Q32" s="20"/>
      <c r="R32" s="59" t="str">
        <f>IF(TaskTable[[#This Row],[STATUS]]="COMPLETE",1,"")</f>
        <v/>
      </c>
      <c r="S32" s="66">
        <v>1</v>
      </c>
      <c r="T32" s="20">
        <v>8</v>
      </c>
      <c r="U32" s="73"/>
      <c r="V32" s="73"/>
      <c r="W32" s="73"/>
      <c r="X32" s="73"/>
      <c r="Y32" s="73"/>
      <c r="Z32" s="73"/>
      <c r="AA32" s="73"/>
      <c r="AB32" s="73"/>
      <c r="AC32" s="73"/>
      <c r="AD32" s="73"/>
      <c r="AE32" s="73"/>
      <c r="AF32" s="73"/>
      <c r="AG32" s="73"/>
      <c r="AH32" s="73"/>
      <c r="AI32" s="73"/>
    </row>
    <row r="33" spans="4:35" ht="28.8" x14ac:dyDescent="0.3">
      <c r="D33" s="24" t="s">
        <v>174</v>
      </c>
      <c r="E33" s="26" t="s">
        <v>67</v>
      </c>
      <c r="F33" s="62" t="str">
        <f ca="1">IF(TaskTable[[#This Row],[WBS Level]]=2,TaskTable[[#This Row],[PHASE]],OFFSET(TaskTable[[#This Row],[MAIN PHASE]],-1,0))</f>
        <v>PRG Business Process Creation - BRD</v>
      </c>
      <c r="G33" s="26" t="str">
        <f ca="1">IF(TaskTable[[#This Row],[WBS Level]]=3,TaskTable[[#This Row],[PHASE]],IF(TaskTable[[#This Row],[WBS Level]]&lt;3,"NONE",OFFSET(TaskTable[[#This Row],[SP-1]],-1,0)))</f>
        <v>BRD Creation</v>
      </c>
      <c r="H33" s="26" t="str">
        <f ca="1">IF(TaskTable[[#This Row],[WBS Level]]=4,TaskTable[[#This Row],[PHASE]],IF(TaskTable[[#This Row],[WBS Level]]&lt;4,"NONE",OFFSET(TaskTable[[#This Row],[SP-2]],-1,0)))</f>
        <v>Suki App</v>
      </c>
      <c r="I33" s="26" t="str">
        <f ca="1">IF(TaskTable[[#This Row],[WBS Level]]=5,TaskTable[[#This Row],[PHASE]],IF(TaskTable[[#This Row],[WBS Level]]&lt;5,"NONE",OFFSET(TaskTable[[#This Row],[SP-3]],-1,0)))</f>
        <v>NONE</v>
      </c>
      <c r="J33" s="26" t="str">
        <f ca="1">IF(TaskTable[[#This Row],[WBS Level]]=6,TaskTable[[#This Row],[PHASE]],IF(TaskTable[[#This Row],[WBS Level]]&lt;6,"NONE",OFFSET(TaskTable[[#This Row],[SP-4]],-1,0)))</f>
        <v>NONE</v>
      </c>
      <c r="M33" s="20">
        <f>LEN(TaskTable[WBS])-LEN(SUBSTITUTE(TaskTable[WBS],".",""))+2</f>
        <v>4</v>
      </c>
      <c r="N33" s="22">
        <v>43938</v>
      </c>
      <c r="O33" s="22">
        <v>43949</v>
      </c>
      <c r="P33" s="20">
        <v>12</v>
      </c>
      <c r="Q33" s="20"/>
      <c r="R33" s="59" t="str">
        <f>IF(TaskTable[[#This Row],[STATUS]]="COMPLETE",1,"")</f>
        <v/>
      </c>
      <c r="S33" s="66">
        <v>1</v>
      </c>
      <c r="T33" s="20">
        <v>8</v>
      </c>
      <c r="U33" s="73"/>
      <c r="V33" s="77"/>
      <c r="W33" s="78"/>
      <c r="X33" s="79"/>
      <c r="Y33" s="78"/>
      <c r="Z33" s="78"/>
      <c r="AA33" s="78"/>
      <c r="AB33" s="78"/>
      <c r="AC33" s="77"/>
      <c r="AD33" s="77"/>
      <c r="AE33" s="77"/>
      <c r="AF33" s="80"/>
      <c r="AG33" s="80"/>
      <c r="AH33" s="77"/>
      <c r="AI33" s="77"/>
    </row>
    <row r="34" spans="4:35" ht="28.8" x14ac:dyDescent="0.3">
      <c r="D34" s="24" t="s">
        <v>175</v>
      </c>
      <c r="E34" s="26" t="s">
        <v>68</v>
      </c>
      <c r="F34" s="62" t="str">
        <f ca="1">IF(TaskTable[[#This Row],[WBS Level]]=2,TaskTable[[#This Row],[PHASE]],OFFSET(TaskTable[[#This Row],[MAIN PHASE]],-1,0))</f>
        <v>PRG Business Process Creation - BRD</v>
      </c>
      <c r="G34" s="26" t="str">
        <f ca="1">IF(TaskTable[[#This Row],[WBS Level]]=3,TaskTable[[#This Row],[PHASE]],IF(TaskTable[[#This Row],[WBS Level]]&lt;3,"NONE",OFFSET(TaskTable[[#This Row],[SP-1]],-1,0)))</f>
        <v>BRD Creation</v>
      </c>
      <c r="H34" s="26" t="str">
        <f ca="1">IF(TaskTable[[#This Row],[WBS Level]]=4,TaskTable[[#This Row],[PHASE]],IF(TaskTable[[#This Row],[WBS Level]]&lt;4,"NONE",OFFSET(TaskTable[[#This Row],[SP-2]],-1,0)))</f>
        <v>Suki Hub</v>
      </c>
      <c r="I34" s="26" t="str">
        <f ca="1">IF(TaskTable[[#This Row],[WBS Level]]=5,TaskTable[[#This Row],[PHASE]],IF(TaskTable[[#This Row],[WBS Level]]&lt;5,"NONE",OFFSET(TaskTable[[#This Row],[SP-3]],-1,0)))</f>
        <v>NONE</v>
      </c>
      <c r="J34" s="26" t="str">
        <f ca="1">IF(TaskTable[[#This Row],[WBS Level]]=6,TaskTable[[#This Row],[PHASE]],IF(TaskTable[[#This Row],[WBS Level]]&lt;6,"NONE",OFFSET(TaskTable[[#This Row],[SP-4]],-1,0)))</f>
        <v>NONE</v>
      </c>
      <c r="M34" s="20">
        <f>LEN(TaskTable[WBS])-LEN(SUBSTITUTE(TaskTable[WBS],".",""))+2</f>
        <v>4</v>
      </c>
      <c r="N34" s="22">
        <v>43938</v>
      </c>
      <c r="O34" s="22">
        <v>43949</v>
      </c>
      <c r="P34" s="20">
        <v>12</v>
      </c>
      <c r="Q34" s="20"/>
      <c r="R34" s="59" t="str">
        <f>IF(TaskTable[[#This Row],[STATUS]]="COMPLETE",1,"")</f>
        <v/>
      </c>
      <c r="S34" s="66">
        <v>1</v>
      </c>
      <c r="T34" s="20">
        <v>8</v>
      </c>
      <c r="U34" s="73"/>
      <c r="V34" s="74"/>
      <c r="W34" s="74"/>
      <c r="X34" s="74"/>
      <c r="Y34" s="74"/>
      <c r="Z34" s="74"/>
      <c r="AA34" s="74"/>
      <c r="AB34" s="74"/>
      <c r="AC34" s="74"/>
      <c r="AD34" s="74"/>
      <c r="AE34" s="74"/>
      <c r="AF34" s="74"/>
      <c r="AG34" s="74"/>
      <c r="AH34" s="74"/>
      <c r="AI34" s="74"/>
    </row>
    <row r="35" spans="4:35" ht="28.8" x14ac:dyDescent="0.3">
      <c r="D35" s="24" t="s">
        <v>176</v>
      </c>
      <c r="E35" s="26" t="s">
        <v>69</v>
      </c>
      <c r="F35" s="62" t="str">
        <f ca="1">IF(TaskTable[[#This Row],[WBS Level]]=2,TaskTable[[#This Row],[PHASE]],OFFSET(TaskTable[[#This Row],[MAIN PHASE]],-1,0))</f>
        <v>PRG Business Process Creation - BRD</v>
      </c>
      <c r="G35" s="26" t="str">
        <f ca="1">IF(TaskTable[[#This Row],[WBS Level]]=3,TaskTable[[#This Row],[PHASE]],IF(TaskTable[[#This Row],[WBS Level]]&lt;3,"NONE",OFFSET(TaskTable[[#This Row],[SP-1]],-1,0)))</f>
        <v>BRD Creation</v>
      </c>
      <c r="H35" s="26" t="str">
        <f ca="1">IF(TaskTable[[#This Row],[WBS Level]]=4,TaskTable[[#This Row],[PHASE]],IF(TaskTable[[#This Row],[WBS Level]]&lt;4,"NONE",OFFSET(TaskTable[[#This Row],[SP-2]],-1,0)))</f>
        <v>Picker-Checker</v>
      </c>
      <c r="I35" s="26" t="str">
        <f ca="1">IF(TaskTable[[#This Row],[WBS Level]]=5,TaskTable[[#This Row],[PHASE]],IF(TaskTable[[#This Row],[WBS Level]]&lt;5,"NONE",OFFSET(TaskTable[[#This Row],[SP-3]],-1,0)))</f>
        <v>NONE</v>
      </c>
      <c r="J35" s="26" t="str">
        <f ca="1">IF(TaskTable[[#This Row],[WBS Level]]=6,TaskTable[[#This Row],[PHASE]],IF(TaskTable[[#This Row],[WBS Level]]&lt;6,"NONE",OFFSET(TaskTable[[#This Row],[SP-4]],-1,0)))</f>
        <v>NONE</v>
      </c>
      <c r="M35" s="20">
        <f>LEN(TaskTable[WBS])-LEN(SUBSTITUTE(TaskTable[WBS],".",""))+2</f>
        <v>4</v>
      </c>
      <c r="N35" s="22">
        <v>43938</v>
      </c>
      <c r="O35" s="22">
        <v>43949</v>
      </c>
      <c r="P35" s="20">
        <v>12</v>
      </c>
      <c r="Q35" s="20"/>
      <c r="R35" s="59" t="str">
        <f>IF(TaskTable[[#This Row],[STATUS]]="COMPLETE",1,"")</f>
        <v/>
      </c>
      <c r="S35" s="66">
        <v>1</v>
      </c>
      <c r="T35" s="20">
        <v>8</v>
      </c>
      <c r="U35" s="73"/>
      <c r="V35" s="53"/>
      <c r="W35" s="52"/>
      <c r="X35" s="75"/>
      <c r="Y35" s="52"/>
      <c r="Z35" s="52"/>
      <c r="AA35" s="52"/>
      <c r="AB35" s="52"/>
      <c r="AC35" s="53"/>
      <c r="AD35" s="53"/>
      <c r="AE35" s="53"/>
      <c r="AF35" s="76"/>
      <c r="AG35" s="76"/>
      <c r="AH35" s="53"/>
      <c r="AI35" s="53"/>
    </row>
    <row r="36" spans="4:35" ht="43.2" x14ac:dyDescent="0.3">
      <c r="D36" s="24" t="s">
        <v>177</v>
      </c>
      <c r="E36" s="26" t="s">
        <v>88</v>
      </c>
      <c r="F36" s="62" t="str">
        <f ca="1">IF(TaskTable[[#This Row],[WBS Level]]=2,TaskTable[[#This Row],[PHASE]],OFFSET(TaskTable[[#This Row],[MAIN PHASE]],-1,0))</f>
        <v>PRG Business Process Creation - BRD</v>
      </c>
      <c r="G36" s="26" t="str">
        <f ca="1">IF(TaskTable[[#This Row],[WBS Level]]=3,TaskTable[[#This Row],[PHASE]],IF(TaskTable[[#This Row],[WBS Level]]&lt;3,"NONE",OFFSET(TaskTable[[#This Row],[SP-1]],-1,0)))</f>
        <v>BRD Creation</v>
      </c>
      <c r="H36" s="26" t="str">
        <f ca="1">IF(TaskTable[[#This Row],[WBS Level]]=4,TaskTable[[#This Row],[PHASE]],IF(TaskTable[[#This Row],[WBS Level]]&lt;4,"NONE",OFFSET(TaskTable[[#This Row],[SP-2]],-1,0)))</f>
        <v>Daily Inventory Uploading and Branch synching</v>
      </c>
      <c r="I36" s="26" t="str">
        <f ca="1">IF(TaskTable[[#This Row],[WBS Level]]=5,TaskTable[[#This Row],[PHASE]],IF(TaskTable[[#This Row],[WBS Level]]&lt;5,"NONE",OFFSET(TaskTable[[#This Row],[SP-3]],-1,0)))</f>
        <v>NONE</v>
      </c>
      <c r="J36" s="26" t="str">
        <f ca="1">IF(TaskTable[[#This Row],[WBS Level]]=6,TaskTable[[#This Row],[PHASE]],IF(TaskTable[[#This Row],[WBS Level]]&lt;6,"NONE",OFFSET(TaskTable[[#This Row],[SP-4]],-1,0)))</f>
        <v>NONE</v>
      </c>
      <c r="M36" s="20">
        <f>LEN(TaskTable[WBS])-LEN(SUBSTITUTE(TaskTable[WBS],".",""))+2</f>
        <v>4</v>
      </c>
      <c r="N36" s="22">
        <v>43938</v>
      </c>
      <c r="O36" s="22">
        <v>43949</v>
      </c>
      <c r="P36" s="20">
        <v>12</v>
      </c>
      <c r="Q36" s="20"/>
      <c r="R36" s="59" t="str">
        <f>IF(TaskTable[[#This Row],[STATUS]]="COMPLETE",1,"")</f>
        <v/>
      </c>
      <c r="S36" s="66">
        <v>1</v>
      </c>
      <c r="T36" s="20">
        <v>8</v>
      </c>
      <c r="U36" s="73"/>
      <c r="V36" s="81"/>
      <c r="W36" s="82"/>
      <c r="X36" s="83"/>
      <c r="Y36" s="82"/>
      <c r="Z36" s="82"/>
      <c r="AA36" s="82"/>
      <c r="AB36" s="82"/>
      <c r="AC36" s="84"/>
      <c r="AD36" s="84"/>
      <c r="AE36" s="84"/>
      <c r="AF36" s="85"/>
      <c r="AG36" s="85"/>
      <c r="AH36" s="84"/>
      <c r="AI36" s="84"/>
    </row>
    <row r="37" spans="4:35" ht="28.8" x14ac:dyDescent="0.3">
      <c r="D37" s="24" t="s">
        <v>178</v>
      </c>
      <c r="E37" s="26" t="s">
        <v>89</v>
      </c>
      <c r="F37" s="62" t="str">
        <f ca="1">IF(TaskTable[[#This Row],[WBS Level]]=2,TaskTable[[#This Row],[PHASE]],OFFSET(TaskTable[[#This Row],[MAIN PHASE]],-1,0))</f>
        <v>PRG Business Process Creation - BRD</v>
      </c>
      <c r="G37" s="26" t="str">
        <f ca="1">IF(TaskTable[[#This Row],[WBS Level]]=3,TaskTable[[#This Row],[PHASE]],IF(TaskTable[[#This Row],[WBS Level]]&lt;3,"NONE",OFFSET(TaskTable[[#This Row],[SP-1]],-1,0)))</f>
        <v>BRD Creation</v>
      </c>
      <c r="H37" s="26" t="str">
        <f ca="1">IF(TaskTable[[#This Row],[WBS Level]]=4,TaskTable[[#This Row],[PHASE]],IF(TaskTable[[#This Row],[WBS Level]]&lt;4,"NONE",OFFSET(TaskTable[[#This Row],[SP-2]],-1,0)))</f>
        <v>Suki Agent</v>
      </c>
      <c r="I37" s="26" t="str">
        <f ca="1">IF(TaskTable[[#This Row],[WBS Level]]=5,TaskTable[[#This Row],[PHASE]],IF(TaskTable[[#This Row],[WBS Level]]&lt;5,"NONE",OFFSET(TaskTable[[#This Row],[SP-3]],-1,0)))</f>
        <v>NONE</v>
      </c>
      <c r="J37" s="26" t="str">
        <f ca="1">IF(TaskTable[[#This Row],[WBS Level]]=6,TaskTable[[#This Row],[PHASE]],IF(TaskTable[[#This Row],[WBS Level]]&lt;6,"NONE",OFFSET(TaskTable[[#This Row],[SP-4]],-1,0)))</f>
        <v>NONE</v>
      </c>
      <c r="M37" s="20">
        <f>LEN(TaskTable[WBS])-LEN(SUBSTITUTE(TaskTable[WBS],".",""))+2</f>
        <v>4</v>
      </c>
      <c r="N37" s="22">
        <v>43938</v>
      </c>
      <c r="O37" s="22">
        <v>43949</v>
      </c>
      <c r="P37" s="20">
        <v>12</v>
      </c>
      <c r="Q37" s="20"/>
      <c r="R37" s="59" t="str">
        <f>IF(TaskTable[[#This Row],[STATUS]]="COMPLETE",1,"")</f>
        <v/>
      </c>
      <c r="S37" s="66">
        <v>1</v>
      </c>
      <c r="T37" s="20">
        <v>8</v>
      </c>
      <c r="V37" s="68"/>
      <c r="W37" s="69"/>
      <c r="X37" s="70"/>
      <c r="Y37" s="69"/>
      <c r="Z37" s="69"/>
      <c r="AA37" s="69"/>
      <c r="AB37" s="69"/>
      <c r="AC37" s="71"/>
      <c r="AD37" s="71"/>
      <c r="AE37" s="71"/>
      <c r="AF37" s="72"/>
      <c r="AG37" s="72"/>
      <c r="AH37" s="71"/>
      <c r="AI37" s="71"/>
    </row>
    <row r="38" spans="4:35" ht="28.8" x14ac:dyDescent="0.3">
      <c r="D38" s="24" t="s">
        <v>179</v>
      </c>
      <c r="E38" s="26" t="s">
        <v>75</v>
      </c>
      <c r="F38" s="62" t="str">
        <f ca="1">IF(TaskTable[[#This Row],[WBS Level]]=2,TaskTable[[#This Row],[PHASE]],OFFSET(TaskTable[[#This Row],[MAIN PHASE]],-1,0))</f>
        <v>PRG Business Process Creation - BRD</v>
      </c>
      <c r="G38" s="26" t="str">
        <f ca="1">IF(TaskTable[[#This Row],[WBS Level]]=3,TaskTable[[#This Row],[PHASE]],IF(TaskTable[[#This Row],[WBS Level]]&lt;3,"NONE",OFFSET(TaskTable[[#This Row],[SP-1]],-1,0)))</f>
        <v>BRD Creation</v>
      </c>
      <c r="H38" s="26" t="str">
        <f ca="1">IF(TaskTable[[#This Row],[WBS Level]]=4,TaskTable[[#This Row],[PHASE]],IF(TaskTable[[#This Row],[WBS Level]]&lt;4,"NONE",OFFSET(TaskTable[[#This Row],[SP-2]],-1,0)))</f>
        <v>Customer Loyalty Points</v>
      </c>
      <c r="I38" s="26" t="str">
        <f ca="1">IF(TaskTable[[#This Row],[WBS Level]]=5,TaskTable[[#This Row],[PHASE]],IF(TaskTable[[#This Row],[WBS Level]]&lt;5,"NONE",OFFSET(TaskTable[[#This Row],[SP-3]],-1,0)))</f>
        <v>NONE</v>
      </c>
      <c r="J38" s="26" t="str">
        <f ca="1">IF(TaskTable[[#This Row],[WBS Level]]=6,TaskTable[[#This Row],[PHASE]],IF(TaskTable[[#This Row],[WBS Level]]&lt;6,"NONE",OFFSET(TaskTable[[#This Row],[SP-4]],-1,0)))</f>
        <v>NONE</v>
      </c>
      <c r="M38" s="20">
        <f>LEN(TaskTable[WBS])-LEN(SUBSTITUTE(TaskTable[WBS],".",""))+2</f>
        <v>4</v>
      </c>
      <c r="N38" s="22">
        <v>43938</v>
      </c>
      <c r="O38" s="22">
        <v>43949</v>
      </c>
      <c r="P38" s="20">
        <v>12</v>
      </c>
      <c r="Q38" s="20"/>
      <c r="R38" s="59" t="str">
        <f>IF(TaskTable[[#This Row],[STATUS]]="COMPLETE",1,"")</f>
        <v/>
      </c>
      <c r="S38" s="66">
        <v>1</v>
      </c>
      <c r="T38" s="20">
        <v>8</v>
      </c>
      <c r="V38" s="68"/>
      <c r="W38" s="69"/>
      <c r="X38" s="70"/>
      <c r="Y38" s="69"/>
      <c r="Z38" s="69"/>
      <c r="AA38" s="69"/>
      <c r="AB38" s="69"/>
      <c r="AC38" s="71"/>
      <c r="AD38" s="71"/>
      <c r="AE38" s="71"/>
      <c r="AF38" s="72"/>
      <c r="AG38" s="72"/>
      <c r="AH38" s="71"/>
      <c r="AI38" s="71"/>
    </row>
    <row r="39" spans="4:35" ht="28.8" x14ac:dyDescent="0.3">
      <c r="D39" s="24" t="s">
        <v>180</v>
      </c>
      <c r="E39" s="26" t="s">
        <v>90</v>
      </c>
      <c r="F39" s="62" t="str">
        <f ca="1">IF(TaskTable[[#This Row],[WBS Level]]=2,TaskTable[[#This Row],[PHASE]],OFFSET(TaskTable[[#This Row],[MAIN PHASE]],-1,0))</f>
        <v>PRG Business Process Creation - BRD</v>
      </c>
      <c r="G39" s="26" t="str">
        <f ca="1">IF(TaskTable[[#This Row],[WBS Level]]=3,TaskTable[[#This Row],[PHASE]],IF(TaskTable[[#This Row],[WBS Level]]&lt;3,"NONE",OFFSET(TaskTable[[#This Row],[SP-1]],-1,0)))</f>
        <v>BRD Creation</v>
      </c>
      <c r="H39" s="26" t="str">
        <f ca="1">IF(TaskTable[[#This Row],[WBS Level]]=4,TaskTable[[#This Row],[PHASE]],IF(TaskTable[[#This Row],[WBS Level]]&lt;4,"NONE",OFFSET(TaskTable[[#This Row],[SP-2]],-1,0)))</f>
        <v>Data Management</v>
      </c>
      <c r="I39" s="26" t="str">
        <f ca="1">IF(TaskTable[[#This Row],[WBS Level]]=5,TaskTable[[#This Row],[PHASE]],IF(TaskTable[[#This Row],[WBS Level]]&lt;5,"NONE",OFFSET(TaskTable[[#This Row],[SP-3]],-1,0)))</f>
        <v>NONE</v>
      </c>
      <c r="J39" s="26" t="str">
        <f ca="1">IF(TaskTable[[#This Row],[WBS Level]]=6,TaskTable[[#This Row],[PHASE]],IF(TaskTable[[#This Row],[WBS Level]]&lt;6,"NONE",OFFSET(TaskTable[[#This Row],[SP-4]],-1,0)))</f>
        <v>NONE</v>
      </c>
      <c r="M39" s="20">
        <f>LEN(TaskTable[WBS])-LEN(SUBSTITUTE(TaskTable[WBS],".",""))+2</f>
        <v>4</v>
      </c>
      <c r="N39" s="22">
        <v>43938</v>
      </c>
      <c r="O39" s="22">
        <v>43949</v>
      </c>
      <c r="P39" s="20">
        <v>12</v>
      </c>
      <c r="Q39" s="20"/>
      <c r="R39" s="59" t="str">
        <f>IF(TaskTable[[#This Row],[STATUS]]="COMPLETE",1,"")</f>
        <v/>
      </c>
      <c r="S39" s="66">
        <v>1</v>
      </c>
      <c r="T39" s="20">
        <v>8</v>
      </c>
      <c r="V39" s="68"/>
      <c r="W39" s="69"/>
      <c r="X39" s="70"/>
      <c r="Y39" s="69"/>
      <c r="Z39" s="69"/>
      <c r="AA39" s="69"/>
      <c r="AB39" s="69"/>
      <c r="AC39" s="71"/>
      <c r="AD39" s="71"/>
      <c r="AE39" s="71"/>
      <c r="AF39" s="72"/>
      <c r="AG39" s="72"/>
      <c r="AH39" s="71"/>
      <c r="AI39" s="71"/>
    </row>
    <row r="40" spans="4:35" ht="28.8" x14ac:dyDescent="0.3">
      <c r="D40" s="24" t="s">
        <v>181</v>
      </c>
      <c r="E40" s="26" t="s">
        <v>91</v>
      </c>
      <c r="F40" s="62" t="str">
        <f ca="1">IF(TaskTable[[#This Row],[WBS Level]]=2,TaskTable[[#This Row],[PHASE]],OFFSET(TaskTable[[#This Row],[MAIN PHASE]],-1,0))</f>
        <v>PRG Business Process Creation - BRD</v>
      </c>
      <c r="G40" s="26" t="str">
        <f ca="1">IF(TaskTable[[#This Row],[WBS Level]]=3,TaskTable[[#This Row],[PHASE]],IF(TaskTable[[#This Row],[WBS Level]]&lt;3,"NONE",OFFSET(TaskTable[[#This Row],[SP-1]],-1,0)))</f>
        <v>BRD Creation</v>
      </c>
      <c r="H40" s="26" t="str">
        <f ca="1">IF(TaskTable[[#This Row],[WBS Level]]=4,TaskTable[[#This Row],[PHASE]],IF(TaskTable[[#This Row],[WBS Level]]&lt;4,"NONE",OFFSET(TaskTable[[#This Row],[SP-2]],-1,0)))</f>
        <v>Payment Collections</v>
      </c>
      <c r="I40" s="26" t="str">
        <f ca="1">IF(TaskTable[[#This Row],[WBS Level]]=5,TaskTable[[#This Row],[PHASE]],IF(TaskTable[[#This Row],[WBS Level]]&lt;5,"NONE",OFFSET(TaskTable[[#This Row],[SP-3]],-1,0)))</f>
        <v>NONE</v>
      </c>
      <c r="J40" s="26" t="str">
        <f ca="1">IF(TaskTable[[#This Row],[WBS Level]]=6,TaskTable[[#This Row],[PHASE]],IF(TaskTable[[#This Row],[WBS Level]]&lt;6,"NONE",OFFSET(TaskTable[[#This Row],[SP-4]],-1,0)))</f>
        <v>NONE</v>
      </c>
      <c r="M40" s="20">
        <f>LEN(TaskTable[WBS])-LEN(SUBSTITUTE(TaskTable[WBS],".",""))+2</f>
        <v>4</v>
      </c>
      <c r="N40" s="22">
        <v>43938</v>
      </c>
      <c r="O40" s="22">
        <v>43949</v>
      </c>
      <c r="P40" s="20">
        <v>12</v>
      </c>
      <c r="Q40" s="20"/>
      <c r="R40" s="59" t="str">
        <f>IF(TaskTable[[#This Row],[STATUS]]="COMPLETE",1,"")</f>
        <v/>
      </c>
      <c r="S40" s="66">
        <v>1</v>
      </c>
      <c r="T40" s="20">
        <v>8</v>
      </c>
      <c r="V40" s="68"/>
      <c r="W40" s="69"/>
      <c r="X40" s="70"/>
      <c r="Y40" s="69"/>
      <c r="Z40" s="69"/>
      <c r="AA40" s="69"/>
      <c r="AB40" s="69"/>
      <c r="AC40" s="71"/>
      <c r="AD40" s="71"/>
      <c r="AE40" s="71"/>
      <c r="AF40" s="72"/>
      <c r="AG40" s="72"/>
      <c r="AH40" s="71"/>
      <c r="AI40" s="71"/>
    </row>
    <row r="41" spans="4:35" ht="28.8" x14ac:dyDescent="0.3">
      <c r="D41" s="24" t="s">
        <v>182</v>
      </c>
      <c r="E41" s="26" t="s">
        <v>92</v>
      </c>
      <c r="F41" s="62" t="str">
        <f ca="1">IF(TaskTable[[#This Row],[WBS Level]]=2,TaskTable[[#This Row],[PHASE]],OFFSET(TaskTable[[#This Row],[MAIN PHASE]],-1,0))</f>
        <v>PRG Business Process Creation - BRD</v>
      </c>
      <c r="G41" s="26" t="str">
        <f ca="1">IF(TaskTable[[#This Row],[WBS Level]]=3,TaskTable[[#This Row],[PHASE]],IF(TaskTable[[#This Row],[WBS Level]]&lt;3,"NONE",OFFSET(TaskTable[[#This Row],[SP-1]],-1,0)))</f>
        <v>BRD Creation</v>
      </c>
      <c r="H41" s="26" t="str">
        <f ca="1">IF(TaskTable[[#This Row],[WBS Level]]=4,TaskTable[[#This Row],[PHASE]],IF(TaskTable[[#This Row],[WBS Level]]&lt;4,"NONE",OFFSET(TaskTable[[#This Row],[SP-2]],-1,0)))</f>
        <v>Exceptions and Limitations</v>
      </c>
      <c r="I41" s="26" t="str">
        <f ca="1">IF(TaskTable[[#This Row],[WBS Level]]=5,TaskTable[[#This Row],[PHASE]],IF(TaskTable[[#This Row],[WBS Level]]&lt;5,"NONE",OFFSET(TaskTable[[#This Row],[SP-3]],-1,0)))</f>
        <v>NONE</v>
      </c>
      <c r="J41" s="26" t="str">
        <f ca="1">IF(TaskTable[[#This Row],[WBS Level]]=6,TaskTable[[#This Row],[PHASE]],IF(TaskTable[[#This Row],[WBS Level]]&lt;6,"NONE",OFFSET(TaskTable[[#This Row],[SP-4]],-1,0)))</f>
        <v>NONE</v>
      </c>
      <c r="M41" s="20">
        <f>LEN(TaskTable[WBS])-LEN(SUBSTITUTE(TaskTable[WBS],".",""))+2</f>
        <v>4</v>
      </c>
      <c r="N41" s="22">
        <v>43938</v>
      </c>
      <c r="O41" s="22">
        <v>43949</v>
      </c>
      <c r="P41" s="20">
        <v>12</v>
      </c>
      <c r="Q41" s="20"/>
      <c r="R41" s="59" t="str">
        <f>IF(TaskTable[[#This Row],[STATUS]]="COMPLETE",1,"")</f>
        <v/>
      </c>
      <c r="S41" s="66">
        <v>1</v>
      </c>
      <c r="T41" s="20">
        <v>8</v>
      </c>
      <c r="V41" s="68"/>
      <c r="W41" s="69"/>
      <c r="X41" s="70"/>
      <c r="Y41" s="69"/>
      <c r="Z41" s="69"/>
      <c r="AA41" s="69"/>
      <c r="AB41" s="69"/>
      <c r="AC41" s="71"/>
      <c r="AD41" s="71"/>
      <c r="AE41" s="71"/>
      <c r="AF41" s="72"/>
      <c r="AG41" s="72"/>
      <c r="AH41" s="71"/>
      <c r="AI41" s="71"/>
    </row>
    <row r="42" spans="4:35" ht="28.8" x14ac:dyDescent="0.3">
      <c r="D42" s="24" t="s">
        <v>183</v>
      </c>
      <c r="E42" s="26" t="s">
        <v>93</v>
      </c>
      <c r="F42" s="62" t="str">
        <f ca="1">IF(TaskTable[[#This Row],[WBS Level]]=2,TaskTable[[#This Row],[PHASE]],OFFSET(TaskTable[[#This Row],[MAIN PHASE]],-1,0))</f>
        <v>PRG Business Process Creation - BRD</v>
      </c>
      <c r="G42" s="26" t="str">
        <f ca="1">IF(TaskTable[[#This Row],[WBS Level]]=3,TaskTable[[#This Row],[PHASE]],IF(TaskTable[[#This Row],[WBS Level]]&lt;3,"NONE",OFFSET(TaskTable[[#This Row],[SP-1]],-1,0)))</f>
        <v>BRD Creation</v>
      </c>
      <c r="H42" s="26" t="str">
        <f ca="1">IF(TaskTable[[#This Row],[WBS Level]]=4,TaskTable[[#This Row],[PHASE]],IF(TaskTable[[#This Row],[WBS Level]]&lt;4,"NONE",OFFSET(TaskTable[[#This Row],[SP-2]],-1,0)))</f>
        <v>Support Org Chart</v>
      </c>
      <c r="I42" s="26" t="str">
        <f ca="1">IF(TaskTable[[#This Row],[WBS Level]]=5,TaskTable[[#This Row],[PHASE]],IF(TaskTable[[#This Row],[WBS Level]]&lt;5,"NONE",OFFSET(TaskTable[[#This Row],[SP-3]],-1,0)))</f>
        <v>NONE</v>
      </c>
      <c r="J42" s="26" t="str">
        <f ca="1">IF(TaskTable[[#This Row],[WBS Level]]=6,TaskTable[[#This Row],[PHASE]],IF(TaskTable[[#This Row],[WBS Level]]&lt;6,"NONE",OFFSET(TaskTable[[#This Row],[SP-4]],-1,0)))</f>
        <v>NONE</v>
      </c>
      <c r="M42" s="20">
        <f>LEN(TaskTable[WBS])-LEN(SUBSTITUTE(TaskTable[WBS],".",""))+2</f>
        <v>4</v>
      </c>
      <c r="N42" s="22">
        <v>43938</v>
      </c>
      <c r="O42" s="22">
        <v>43949</v>
      </c>
      <c r="P42" s="20">
        <v>12</v>
      </c>
      <c r="Q42" s="20"/>
      <c r="R42" s="59" t="str">
        <f>IF(TaskTable[[#This Row],[STATUS]]="COMPLETE",1,"")</f>
        <v/>
      </c>
      <c r="S42" s="66">
        <v>1</v>
      </c>
      <c r="T42" s="20">
        <v>8</v>
      </c>
      <c r="V42" s="68"/>
      <c r="W42" s="69"/>
      <c r="X42" s="70"/>
      <c r="Y42" s="69"/>
      <c r="Z42" s="69"/>
      <c r="AA42" s="69"/>
      <c r="AB42" s="69"/>
      <c r="AC42" s="71"/>
      <c r="AD42" s="71"/>
      <c r="AE42" s="71"/>
      <c r="AF42" s="72"/>
      <c r="AG42" s="72"/>
      <c r="AH42" s="71"/>
      <c r="AI42" s="71"/>
    </row>
    <row r="43" spans="4:35" ht="28.8" x14ac:dyDescent="0.3">
      <c r="D43" s="24" t="s">
        <v>184</v>
      </c>
      <c r="E43" s="26" t="s">
        <v>94</v>
      </c>
      <c r="F43" s="62" t="str">
        <f ca="1">IF(TaskTable[[#This Row],[WBS Level]]=2,TaskTable[[#This Row],[PHASE]],OFFSET(TaskTable[[#This Row],[MAIN PHASE]],-1,0))</f>
        <v>PRG Business Process Creation - BRD</v>
      </c>
      <c r="G43" s="26" t="str">
        <f ca="1">IF(TaskTable[[#This Row],[WBS Level]]=3,TaskTable[[#This Row],[PHASE]],IF(TaskTable[[#This Row],[WBS Level]]&lt;3,"NONE",OFFSET(TaskTable[[#This Row],[SP-1]],-1,0)))</f>
        <v>BRD Creation</v>
      </c>
      <c r="H43" s="26" t="str">
        <f ca="1">IF(TaskTable[[#This Row],[WBS Level]]=4,TaskTable[[#This Row],[PHASE]],IF(TaskTable[[#This Row],[WBS Level]]&lt;4,"NONE",OFFSET(TaskTable[[#This Row],[SP-2]],-1,0)))</f>
        <v>Customer Awareness</v>
      </c>
      <c r="I43" s="26" t="str">
        <f ca="1">IF(TaskTable[[#This Row],[WBS Level]]=5,TaskTable[[#This Row],[PHASE]],IF(TaskTable[[#This Row],[WBS Level]]&lt;5,"NONE",OFFSET(TaskTable[[#This Row],[SP-3]],-1,0)))</f>
        <v>NONE</v>
      </c>
      <c r="J43" s="26" t="str">
        <f ca="1">IF(TaskTable[[#This Row],[WBS Level]]=6,TaskTable[[#This Row],[PHASE]],IF(TaskTable[[#This Row],[WBS Level]]&lt;6,"NONE",OFFSET(TaskTable[[#This Row],[SP-4]],-1,0)))</f>
        <v>NONE</v>
      </c>
      <c r="M43" s="20">
        <f>LEN(TaskTable[WBS])-LEN(SUBSTITUTE(TaskTable[WBS],".",""))+2</f>
        <v>4</v>
      </c>
      <c r="N43" s="22">
        <v>43938</v>
      </c>
      <c r="O43" s="22">
        <v>43949</v>
      </c>
      <c r="P43" s="20">
        <v>12</v>
      </c>
      <c r="Q43" s="20"/>
      <c r="R43" s="59" t="str">
        <f>IF(TaskTable[[#This Row],[STATUS]]="COMPLETE",1,"")</f>
        <v/>
      </c>
      <c r="S43" s="66">
        <v>1</v>
      </c>
      <c r="T43" s="20">
        <v>8</v>
      </c>
      <c r="V43" s="68"/>
      <c r="W43" s="69"/>
      <c r="X43" s="70"/>
      <c r="Y43" s="69"/>
      <c r="Z43" s="69"/>
      <c r="AA43" s="69"/>
      <c r="AB43" s="69"/>
      <c r="AC43" s="71"/>
      <c r="AD43" s="71"/>
      <c r="AE43" s="71"/>
      <c r="AF43" s="72"/>
      <c r="AG43" s="72"/>
      <c r="AH43" s="71"/>
      <c r="AI43" s="71"/>
    </row>
    <row r="44" spans="4:35" ht="28.8" x14ac:dyDescent="0.3">
      <c r="D44" s="24" t="s">
        <v>185</v>
      </c>
      <c r="E44" s="26" t="s">
        <v>95</v>
      </c>
      <c r="F44" s="62" t="str">
        <f ca="1">IF(TaskTable[[#This Row],[WBS Level]]=2,TaskTable[[#This Row],[PHASE]],OFFSET(TaskTable[[#This Row],[MAIN PHASE]],-1,0))</f>
        <v>PRG Business Process Creation - BRD</v>
      </c>
      <c r="G44" s="26" t="str">
        <f ca="1">IF(TaskTable[[#This Row],[WBS Level]]=3,TaskTable[[#This Row],[PHASE]],IF(TaskTable[[#This Row],[WBS Level]]&lt;3,"NONE",OFFSET(TaskTable[[#This Row],[SP-1]],-1,0)))</f>
        <v>BRD Creation</v>
      </c>
      <c r="H44" s="26" t="str">
        <f ca="1">IF(TaskTable[[#This Row],[WBS Level]]=4,TaskTable[[#This Row],[PHASE]],IF(TaskTable[[#This Row],[WBS Level]]&lt;4,"NONE",OFFSET(TaskTable[[#This Row],[SP-2]],-1,0)))</f>
        <v>Guidelines and policies</v>
      </c>
      <c r="I44" s="26" t="str">
        <f ca="1">IF(TaskTable[[#This Row],[WBS Level]]=5,TaskTable[[#This Row],[PHASE]],IF(TaskTable[[#This Row],[WBS Level]]&lt;5,"NONE",OFFSET(TaskTable[[#This Row],[SP-3]],-1,0)))</f>
        <v>NONE</v>
      </c>
      <c r="J44" s="26" t="str">
        <f ca="1">IF(TaskTable[[#This Row],[WBS Level]]=6,TaskTable[[#This Row],[PHASE]],IF(TaskTable[[#This Row],[WBS Level]]&lt;6,"NONE",OFFSET(TaskTable[[#This Row],[SP-4]],-1,0)))</f>
        <v>NONE</v>
      </c>
      <c r="M44" s="20">
        <f>LEN(TaskTable[WBS])-LEN(SUBSTITUTE(TaskTable[WBS],".",""))+2</f>
        <v>4</v>
      </c>
      <c r="N44" s="22">
        <v>43938</v>
      </c>
      <c r="O44" s="22">
        <v>43949</v>
      </c>
      <c r="P44" s="20">
        <v>12</v>
      </c>
      <c r="Q44" s="20"/>
      <c r="R44" s="59" t="str">
        <f>IF(TaskTable[[#This Row],[STATUS]]="COMPLETE",1,"")</f>
        <v/>
      </c>
      <c r="S44" s="66">
        <v>1</v>
      </c>
      <c r="T44" s="20">
        <v>8</v>
      </c>
      <c r="V44" s="68"/>
      <c r="W44" s="69"/>
      <c r="X44" s="70"/>
      <c r="Y44" s="69"/>
      <c r="Z44" s="69"/>
      <c r="AA44" s="69"/>
      <c r="AB44" s="69"/>
      <c r="AC44" s="71"/>
      <c r="AD44" s="71"/>
      <c r="AE44" s="71"/>
      <c r="AF44" s="72"/>
      <c r="AG44" s="72"/>
      <c r="AH44" s="71"/>
      <c r="AI44" s="71"/>
    </row>
    <row r="45" spans="4:35" ht="28.8" x14ac:dyDescent="0.3">
      <c r="D45" s="24">
        <v>6.2</v>
      </c>
      <c r="E45" s="26" t="s">
        <v>96</v>
      </c>
      <c r="F45" s="62" t="str">
        <f ca="1">IF(TaskTable[[#This Row],[WBS Level]]=2,TaskTable[[#This Row],[PHASE]],OFFSET(TaskTable[[#This Row],[MAIN PHASE]],-1,0))</f>
        <v>PRG Business Process Creation - BRD</v>
      </c>
      <c r="G45" s="26" t="str">
        <f ca="1">IF(TaskTable[[#This Row],[WBS Level]]=3,TaskTable[[#This Row],[PHASE]],IF(TaskTable[[#This Row],[WBS Level]]&lt;3,"NONE",OFFSET(TaskTable[[#This Row],[SP-1]],-1,0)))</f>
        <v>BRD Submission</v>
      </c>
      <c r="H45" s="26" t="str">
        <f ca="1">IF(TaskTable[[#This Row],[WBS Level]]=4,TaskTable[[#This Row],[PHASE]],IF(TaskTable[[#This Row],[WBS Level]]&lt;4,"NONE",OFFSET(TaskTable[[#This Row],[SP-2]],-1,0)))</f>
        <v>NONE</v>
      </c>
      <c r="I45" s="26" t="str">
        <f ca="1">IF(TaskTable[[#This Row],[WBS Level]]=5,TaskTable[[#This Row],[PHASE]],IF(TaskTable[[#This Row],[WBS Level]]&lt;5,"NONE",OFFSET(TaskTable[[#This Row],[SP-3]],-1,0)))</f>
        <v>NONE</v>
      </c>
      <c r="J45" s="26" t="str">
        <f ca="1">IF(TaskTable[[#This Row],[WBS Level]]=6,TaskTable[[#This Row],[PHASE]],IF(TaskTable[[#This Row],[WBS Level]]&lt;6,"NONE",OFFSET(TaskTable[[#This Row],[SP-4]],-1,0)))</f>
        <v>NONE</v>
      </c>
      <c r="M45" s="20">
        <f>LEN(TaskTable[WBS])-LEN(SUBSTITUTE(TaskTable[WBS],".",""))+2</f>
        <v>3</v>
      </c>
      <c r="N45" s="22">
        <v>43950</v>
      </c>
      <c r="O45" s="22">
        <v>43950</v>
      </c>
      <c r="P45" s="20">
        <v>1</v>
      </c>
      <c r="Q45" s="20"/>
      <c r="R45" s="59" t="str">
        <f>IF(TaskTable[[#This Row],[STATUS]]="COMPLETE",1,"")</f>
        <v/>
      </c>
      <c r="S45" s="66">
        <v>1</v>
      </c>
      <c r="T45" s="20">
        <v>1</v>
      </c>
      <c r="V45" s="68"/>
      <c r="W45" s="69"/>
      <c r="X45" s="70"/>
      <c r="Y45" s="69"/>
      <c r="Z45" s="69"/>
      <c r="AA45" s="69"/>
      <c r="AB45" s="69"/>
      <c r="AC45" s="71"/>
      <c r="AD45" s="71"/>
      <c r="AE45" s="71"/>
      <c r="AF45" s="72"/>
      <c r="AG45" s="72"/>
      <c r="AH45" s="71"/>
      <c r="AI45" s="71"/>
    </row>
    <row r="46" spans="4:35" ht="28.8" x14ac:dyDescent="0.3">
      <c r="D46" s="24">
        <v>6.3</v>
      </c>
      <c r="E46" s="26" t="s">
        <v>97</v>
      </c>
      <c r="F46" s="62" t="str">
        <f ca="1">IF(TaskTable[[#This Row],[WBS Level]]=2,TaskTable[[#This Row],[PHASE]],OFFSET(TaskTable[[#This Row],[MAIN PHASE]],-1,0))</f>
        <v>PRG Business Process Creation - BRD</v>
      </c>
      <c r="G46" s="26" t="str">
        <f ca="1">IF(TaskTable[[#This Row],[WBS Level]]=3,TaskTable[[#This Row],[PHASE]],IF(TaskTable[[#This Row],[WBS Level]]&lt;3,"NONE",OFFSET(TaskTable[[#This Row],[SP-1]],-1,0)))</f>
        <v>BRD Processing</v>
      </c>
      <c r="H46" s="26" t="str">
        <f ca="1">IF(TaskTable[[#This Row],[WBS Level]]=4,TaskTable[[#This Row],[PHASE]],IF(TaskTable[[#This Row],[WBS Level]]&lt;4,"NONE",OFFSET(TaskTable[[#This Row],[SP-2]],-1,0)))</f>
        <v>NONE</v>
      </c>
      <c r="I46" s="26" t="str">
        <f ca="1">IF(TaskTable[[#This Row],[WBS Level]]=5,TaskTable[[#This Row],[PHASE]],IF(TaskTable[[#This Row],[WBS Level]]&lt;5,"NONE",OFFSET(TaskTable[[#This Row],[SP-3]],-1,0)))</f>
        <v>NONE</v>
      </c>
      <c r="J46" s="26" t="str">
        <f ca="1">IF(TaskTable[[#This Row],[WBS Level]]=6,TaskTable[[#This Row],[PHASE]],IF(TaskTable[[#This Row],[WBS Level]]&lt;6,"NONE",OFFSET(TaskTable[[#This Row],[SP-4]],-1,0)))</f>
        <v>NONE</v>
      </c>
      <c r="M46" s="20">
        <f>LEN(TaskTable[WBS])-LEN(SUBSTITUTE(TaskTable[WBS],".",""))+2</f>
        <v>3</v>
      </c>
      <c r="N46" s="22">
        <v>43951</v>
      </c>
      <c r="O46" s="22">
        <v>43964</v>
      </c>
      <c r="P46" s="20">
        <v>14</v>
      </c>
      <c r="Q46" s="20"/>
      <c r="R46" s="59" t="str">
        <f>IF(TaskTable[[#This Row],[STATUS]]="COMPLETE",1,"")</f>
        <v/>
      </c>
      <c r="S46" s="66">
        <v>1</v>
      </c>
      <c r="T46" s="20">
        <v>10</v>
      </c>
      <c r="V46" s="68"/>
      <c r="W46" s="69"/>
      <c r="X46" s="70"/>
      <c r="Y46" s="69"/>
      <c r="Z46" s="69"/>
      <c r="AA46" s="69"/>
      <c r="AB46" s="69"/>
      <c r="AC46" s="71"/>
      <c r="AD46" s="71"/>
      <c r="AE46" s="71"/>
      <c r="AF46" s="72"/>
      <c r="AG46" s="72"/>
      <c r="AH46" s="71"/>
      <c r="AI46" s="71"/>
    </row>
    <row r="47" spans="4:35" ht="28.8" x14ac:dyDescent="0.3">
      <c r="D47" s="24">
        <v>7</v>
      </c>
      <c r="E47" s="26" t="s">
        <v>98</v>
      </c>
      <c r="F47" s="62" t="str">
        <f ca="1">IF(TaskTable[[#This Row],[WBS Level]]=2,TaskTable[[#This Row],[PHASE]],OFFSET(TaskTable[[#This Row],[MAIN PHASE]],-1,0))</f>
        <v>Configuration and Migration</v>
      </c>
      <c r="G47" s="26" t="str">
        <f ca="1">IF(TaskTable[[#This Row],[WBS Level]]=3,TaskTable[[#This Row],[PHASE]],IF(TaskTable[[#This Row],[WBS Level]]&lt;3,"NONE",OFFSET(TaskTable[[#This Row],[SP-1]],-1,0)))</f>
        <v>NONE</v>
      </c>
      <c r="H47" s="26" t="str">
        <f ca="1">IF(TaskTable[[#This Row],[WBS Level]]=4,TaskTable[[#This Row],[PHASE]],IF(TaskTable[[#This Row],[WBS Level]]&lt;4,"NONE",OFFSET(TaskTable[[#This Row],[SP-2]],-1,0)))</f>
        <v>NONE</v>
      </c>
      <c r="I47" s="26" t="str">
        <f ca="1">IF(TaskTable[[#This Row],[WBS Level]]=5,TaskTable[[#This Row],[PHASE]],IF(TaskTable[[#This Row],[WBS Level]]&lt;5,"NONE",OFFSET(TaskTable[[#This Row],[SP-3]],-1,0)))</f>
        <v>NONE</v>
      </c>
      <c r="J47" s="26" t="str">
        <f ca="1">IF(TaskTable[[#This Row],[WBS Level]]=6,TaskTable[[#This Row],[PHASE]],IF(TaskTable[[#This Row],[WBS Level]]&lt;6,"NONE",OFFSET(TaskTable[[#This Row],[SP-4]],-1,0)))</f>
        <v>NONE</v>
      </c>
      <c r="K47" s="20" t="s">
        <v>66</v>
      </c>
      <c r="M47" s="20">
        <f>LEN(TaskTable[WBS])-LEN(SUBSTITUTE(TaskTable[WBS],".",""))+2</f>
        <v>2</v>
      </c>
      <c r="N47" s="22">
        <v>43962</v>
      </c>
      <c r="O47" s="22">
        <v>43966</v>
      </c>
      <c r="P47" s="20">
        <v>5</v>
      </c>
      <c r="Q47" s="20" t="s">
        <v>12</v>
      </c>
      <c r="R47" s="59">
        <f>IF(TaskTable[[#This Row],[STATUS]]="COMPLETE",1,"")</f>
        <v>1</v>
      </c>
      <c r="S47" s="66">
        <v>1</v>
      </c>
      <c r="T47" s="20">
        <v>5</v>
      </c>
      <c r="V47" s="68"/>
      <c r="W47" s="69"/>
      <c r="X47" s="70"/>
      <c r="Y47" s="69"/>
      <c r="Z47" s="69"/>
      <c r="AA47" s="69"/>
      <c r="AB47" s="69"/>
      <c r="AC47" s="71"/>
      <c r="AD47" s="71"/>
      <c r="AE47" s="71"/>
      <c r="AF47" s="72"/>
      <c r="AG47" s="72"/>
      <c r="AH47" s="71"/>
      <c r="AI47" s="71"/>
    </row>
    <row r="48" spans="4:35" ht="28.8" x14ac:dyDescent="0.3">
      <c r="D48" s="25">
        <v>7.1</v>
      </c>
      <c r="E48" s="26" t="s">
        <v>99</v>
      </c>
      <c r="F48" s="62" t="str">
        <f ca="1">IF(TaskTable[[#This Row],[WBS Level]]=2,TaskTable[[#This Row],[PHASE]],OFFSET(TaskTable[[#This Row],[MAIN PHASE]],-1,0))</f>
        <v>Configuration and Migration</v>
      </c>
      <c r="G48" s="26" t="str">
        <f ca="1">IF(TaskTable[[#This Row],[WBS Level]]=3,TaskTable[[#This Row],[PHASE]],IF(TaskTable[[#This Row],[WBS Level]]&lt;3,"NONE",OFFSET(TaskTable[[#This Row],[SP-1]],-1,0)))</f>
        <v>Configure Business Settings</v>
      </c>
      <c r="H48" s="26" t="str">
        <f ca="1">IF(TaskTable[[#This Row],[WBS Level]]=4,TaskTable[[#This Row],[PHASE]],IF(TaskTable[[#This Row],[WBS Level]]&lt;4,"NONE",OFFSET(TaskTable[[#This Row],[SP-2]],-1,0)))</f>
        <v>NONE</v>
      </c>
      <c r="I48" s="26" t="str">
        <f ca="1">IF(TaskTable[[#This Row],[WBS Level]]=5,TaskTable[[#This Row],[PHASE]],IF(TaskTable[[#This Row],[WBS Level]]&lt;5,"NONE",OFFSET(TaskTable[[#This Row],[SP-3]],-1,0)))</f>
        <v>NONE</v>
      </c>
      <c r="J48" s="26" t="str">
        <f ca="1">IF(TaskTable[[#This Row],[WBS Level]]=6,TaskTable[[#This Row],[PHASE]],IF(TaskTable[[#This Row],[WBS Level]]&lt;6,"NONE",OFFSET(TaskTable[[#This Row],[SP-4]],-1,0)))</f>
        <v>NONE</v>
      </c>
      <c r="M48" s="20">
        <f>LEN(TaskTable[WBS])-LEN(SUBSTITUTE(TaskTable[WBS],".",""))+2</f>
        <v>3</v>
      </c>
      <c r="N48" s="22">
        <v>43962</v>
      </c>
      <c r="O48" s="22">
        <v>43966</v>
      </c>
      <c r="P48" s="20">
        <v>5</v>
      </c>
      <c r="Q48" s="20" t="s">
        <v>12</v>
      </c>
      <c r="R48" s="59">
        <f>IF(TaskTable[[#This Row],[STATUS]]="COMPLETE",1,"")</f>
        <v>1</v>
      </c>
      <c r="S48" s="66">
        <v>1</v>
      </c>
      <c r="T48" s="20">
        <v>5</v>
      </c>
      <c r="V48" s="68"/>
      <c r="W48" s="69"/>
      <c r="X48" s="70"/>
      <c r="Y48" s="69"/>
      <c r="Z48" s="69"/>
      <c r="AA48" s="69"/>
      <c r="AB48" s="69"/>
      <c r="AC48" s="71"/>
      <c r="AD48" s="71"/>
      <c r="AE48" s="71"/>
      <c r="AF48" s="72"/>
      <c r="AG48" s="72"/>
      <c r="AH48" s="71"/>
      <c r="AI48" s="71"/>
    </row>
    <row r="49" spans="4:35" ht="28.8" x14ac:dyDescent="0.3">
      <c r="D49" s="24" t="s">
        <v>186</v>
      </c>
      <c r="E49" s="26" t="s">
        <v>100</v>
      </c>
      <c r="F49" s="62" t="str">
        <f ca="1">IF(TaskTable[[#This Row],[WBS Level]]=2,TaskTable[[#This Row],[PHASE]],OFFSET(TaskTable[[#This Row],[MAIN PHASE]],-1,0))</f>
        <v>Configuration and Migration</v>
      </c>
      <c r="G49" s="26" t="str">
        <f ca="1">IF(TaskTable[[#This Row],[WBS Level]]=3,TaskTable[[#This Row],[PHASE]],IF(TaskTable[[#This Row],[WBS Level]]&lt;3,"NONE",OFFSET(TaskTable[[#This Row],[SP-1]],-1,0)))</f>
        <v>Configure Business Settings</v>
      </c>
      <c r="H49" s="26" t="str">
        <f ca="1">IF(TaskTable[[#This Row],[WBS Level]]=4,TaskTable[[#This Row],[PHASE]],IF(TaskTable[[#This Row],[WBS Level]]&lt;4,"NONE",OFFSET(TaskTable[[#This Row],[SP-2]],-1,0)))</f>
        <v>Company Configuration</v>
      </c>
      <c r="I49" s="26" t="str">
        <f ca="1">IF(TaskTable[[#This Row],[WBS Level]]=5,TaskTable[[#This Row],[PHASE]],IF(TaskTable[[#This Row],[WBS Level]]&lt;5,"NONE",OFFSET(TaskTable[[#This Row],[SP-3]],-1,0)))</f>
        <v>NONE</v>
      </c>
      <c r="J49" s="26" t="str">
        <f ca="1">IF(TaskTable[[#This Row],[WBS Level]]=6,TaskTable[[#This Row],[PHASE]],IF(TaskTable[[#This Row],[WBS Level]]&lt;6,"NONE",OFFSET(TaskTable[[#This Row],[SP-4]],-1,0)))</f>
        <v>NONE</v>
      </c>
      <c r="M49" s="20">
        <f>LEN(TaskTable[WBS])-LEN(SUBSTITUTE(TaskTable[WBS],".",""))+2</f>
        <v>4</v>
      </c>
      <c r="N49" s="22">
        <v>43962</v>
      </c>
      <c r="O49" s="22">
        <v>43966</v>
      </c>
      <c r="P49" s="20">
        <v>5</v>
      </c>
      <c r="Q49" s="20" t="s">
        <v>12</v>
      </c>
      <c r="R49" s="59">
        <f>IF(TaskTable[[#This Row],[STATUS]]="COMPLETE",1,"")</f>
        <v>1</v>
      </c>
      <c r="S49" s="66">
        <v>1</v>
      </c>
      <c r="T49" s="20">
        <v>5</v>
      </c>
      <c r="V49" s="68"/>
      <c r="W49" s="69"/>
      <c r="X49" s="70"/>
      <c r="Y49" s="69"/>
      <c r="Z49" s="69"/>
      <c r="AA49" s="69"/>
      <c r="AB49" s="69"/>
      <c r="AC49" s="71"/>
      <c r="AD49" s="71"/>
      <c r="AE49" s="71"/>
      <c r="AF49" s="72"/>
      <c r="AG49" s="72"/>
      <c r="AH49" s="71"/>
      <c r="AI49" s="71"/>
    </row>
    <row r="50" spans="4:35" ht="28.8" x14ac:dyDescent="0.3">
      <c r="D50" s="24" t="s">
        <v>187</v>
      </c>
      <c r="E50" s="26" t="s">
        <v>101</v>
      </c>
      <c r="F50" s="62" t="str">
        <f ca="1">IF(TaskTable[[#This Row],[WBS Level]]=2,TaskTable[[#This Row],[PHASE]],OFFSET(TaskTable[[#This Row],[MAIN PHASE]],-1,0))</f>
        <v>Configuration and Migration</v>
      </c>
      <c r="G50" s="26" t="str">
        <f ca="1">IF(TaskTable[[#This Row],[WBS Level]]=3,TaskTable[[#This Row],[PHASE]],IF(TaskTable[[#This Row],[WBS Level]]&lt;3,"NONE",OFFSET(TaskTable[[#This Row],[SP-1]],-1,0)))</f>
        <v>Configure Business Settings</v>
      </c>
      <c r="H50" s="26" t="str">
        <f ca="1">IF(TaskTable[[#This Row],[WBS Level]]=4,TaskTable[[#This Row],[PHASE]],IF(TaskTable[[#This Row],[WBS Level]]&lt;4,"NONE",OFFSET(TaskTable[[#This Row],[SP-2]],-1,0)))</f>
        <v>Service Level Agreement</v>
      </c>
      <c r="I50" s="26" t="str">
        <f ca="1">IF(TaskTable[[#This Row],[WBS Level]]=5,TaskTable[[#This Row],[PHASE]],IF(TaskTable[[#This Row],[WBS Level]]&lt;5,"NONE",OFFSET(TaskTable[[#This Row],[SP-3]],-1,0)))</f>
        <v>NONE</v>
      </c>
      <c r="J50" s="26" t="str">
        <f ca="1">IF(TaskTable[[#This Row],[WBS Level]]=6,TaskTable[[#This Row],[PHASE]],IF(TaskTable[[#This Row],[WBS Level]]&lt;6,"NONE",OFFSET(TaskTable[[#This Row],[SP-4]],-1,0)))</f>
        <v>NONE</v>
      </c>
      <c r="M50" s="20">
        <f>LEN(TaskTable[WBS])-LEN(SUBSTITUTE(TaskTable[WBS],".",""))+2</f>
        <v>4</v>
      </c>
      <c r="N50" s="22">
        <v>43962</v>
      </c>
      <c r="O50" s="22">
        <v>43966</v>
      </c>
      <c r="P50" s="20">
        <v>5</v>
      </c>
      <c r="Q50" s="20" t="s">
        <v>12</v>
      </c>
      <c r="R50" s="59">
        <f>IF(TaskTable[[#This Row],[STATUS]]="COMPLETE",1,"")</f>
        <v>1</v>
      </c>
      <c r="S50" s="66">
        <v>1</v>
      </c>
      <c r="T50" s="20">
        <v>5</v>
      </c>
    </row>
    <row r="51" spans="4:35" ht="28.8" x14ac:dyDescent="0.3">
      <c r="D51" s="24" t="s">
        <v>188</v>
      </c>
      <c r="E51" s="26" t="s">
        <v>102</v>
      </c>
      <c r="F51" s="62" t="str">
        <f ca="1">IF(TaskTable[[#This Row],[WBS Level]]=2,TaskTable[[#This Row],[PHASE]],OFFSET(TaskTable[[#This Row],[MAIN PHASE]],-1,0))</f>
        <v>Configuration and Migration</v>
      </c>
      <c r="G51" s="26" t="str">
        <f ca="1">IF(TaskTable[[#This Row],[WBS Level]]=3,TaskTable[[#This Row],[PHASE]],IF(TaskTable[[#This Row],[WBS Level]]&lt;3,"NONE",OFFSET(TaskTable[[#This Row],[SP-1]],-1,0)))</f>
        <v>Configure Business Settings</v>
      </c>
      <c r="H51" s="26" t="str">
        <f ca="1">IF(TaskTable[[#This Row],[WBS Level]]=4,TaskTable[[#This Row],[PHASE]],IF(TaskTable[[#This Row],[WBS Level]]&lt;4,"NONE",OFFSET(TaskTable[[#This Row],[SP-2]],-1,0)))</f>
        <v>Shipping Rates</v>
      </c>
      <c r="I51" s="26" t="str">
        <f ca="1">IF(TaskTable[[#This Row],[WBS Level]]=5,TaskTable[[#This Row],[PHASE]],IF(TaskTable[[#This Row],[WBS Level]]&lt;5,"NONE",OFFSET(TaskTable[[#This Row],[SP-3]],-1,0)))</f>
        <v>NONE</v>
      </c>
      <c r="J51" s="26" t="str">
        <f ca="1">IF(TaskTable[[#This Row],[WBS Level]]=6,TaskTable[[#This Row],[PHASE]],IF(TaskTable[[#This Row],[WBS Level]]&lt;6,"NONE",OFFSET(TaskTable[[#This Row],[SP-4]],-1,0)))</f>
        <v>NONE</v>
      </c>
      <c r="M51" s="20">
        <f>LEN(TaskTable[WBS])-LEN(SUBSTITUTE(TaskTable[WBS],".",""))+2</f>
        <v>4</v>
      </c>
      <c r="N51" s="22">
        <v>43962</v>
      </c>
      <c r="O51" s="22">
        <v>43966</v>
      </c>
      <c r="P51" s="20">
        <v>5</v>
      </c>
      <c r="Q51" s="20" t="s">
        <v>12</v>
      </c>
      <c r="R51" s="59">
        <f>IF(TaskTable[[#This Row],[STATUS]]="COMPLETE",1,"")</f>
        <v>1</v>
      </c>
      <c r="S51" s="66">
        <v>1</v>
      </c>
      <c r="T51" s="20">
        <v>5</v>
      </c>
    </row>
    <row r="52" spans="4:35" ht="28.8" x14ac:dyDescent="0.3">
      <c r="D52" s="24" t="s">
        <v>189</v>
      </c>
      <c r="E52" s="26" t="s">
        <v>103</v>
      </c>
      <c r="F52" s="62" t="str">
        <f ca="1">IF(TaskTable[[#This Row],[WBS Level]]=2,TaskTable[[#This Row],[PHASE]],OFFSET(TaskTable[[#This Row],[MAIN PHASE]],-1,0))</f>
        <v>Configuration and Migration</v>
      </c>
      <c r="G52" s="26" t="str">
        <f ca="1">IF(TaskTable[[#This Row],[WBS Level]]=3,TaskTable[[#This Row],[PHASE]],IF(TaskTable[[#This Row],[WBS Level]]&lt;3,"NONE",OFFSET(TaskTable[[#This Row],[SP-1]],-1,0)))</f>
        <v>Configure Business Settings</v>
      </c>
      <c r="H52" s="26" t="str">
        <f ca="1">IF(TaskTable[[#This Row],[WBS Level]]=4,TaskTable[[#This Row],[PHASE]],IF(TaskTable[[#This Row],[WBS Level]]&lt;4,"NONE",OFFSET(TaskTable[[#This Row],[SP-2]],-1,0)))</f>
        <v>Advanced Configuration</v>
      </c>
      <c r="I52" s="26" t="str">
        <f ca="1">IF(TaskTable[[#This Row],[WBS Level]]=5,TaskTable[[#This Row],[PHASE]],IF(TaskTable[[#This Row],[WBS Level]]&lt;5,"NONE",OFFSET(TaskTable[[#This Row],[SP-3]],-1,0)))</f>
        <v>NONE</v>
      </c>
      <c r="J52" s="26" t="str">
        <f ca="1">IF(TaskTable[[#This Row],[WBS Level]]=6,TaskTable[[#This Row],[PHASE]],IF(TaskTable[[#This Row],[WBS Level]]&lt;6,"NONE",OFFSET(TaskTable[[#This Row],[SP-4]],-1,0)))</f>
        <v>NONE</v>
      </c>
      <c r="M52" s="20">
        <f>LEN(TaskTable[WBS])-LEN(SUBSTITUTE(TaskTable[WBS],".",""))+2</f>
        <v>4</v>
      </c>
      <c r="N52" s="22">
        <v>43962</v>
      </c>
      <c r="O52" s="22">
        <v>43966</v>
      </c>
      <c r="P52" s="20">
        <v>5</v>
      </c>
      <c r="Q52" s="20" t="s">
        <v>12</v>
      </c>
      <c r="R52" s="59">
        <f>IF(TaskTable[[#This Row],[STATUS]]="COMPLETE",1,"")</f>
        <v>1</v>
      </c>
      <c r="S52" s="66">
        <v>1</v>
      </c>
      <c r="T52" s="20">
        <v>5</v>
      </c>
    </row>
    <row r="53" spans="4:35" ht="43.2" x14ac:dyDescent="0.3">
      <c r="D53" s="24" t="s">
        <v>190</v>
      </c>
      <c r="E53" s="26" t="s">
        <v>104</v>
      </c>
      <c r="F53" s="62" t="str">
        <f ca="1">IF(TaskTable[[#This Row],[WBS Level]]=2,TaskTable[[#This Row],[PHASE]],OFFSET(TaskTable[[#This Row],[MAIN PHASE]],-1,0))</f>
        <v>Configuration and Migration</v>
      </c>
      <c r="G53" s="26" t="str">
        <f ca="1">IF(TaskTable[[#This Row],[WBS Level]]=3,TaskTable[[#This Row],[PHASE]],IF(TaskTable[[#This Row],[WBS Level]]&lt;3,"NONE",OFFSET(TaskTable[[#This Row],[SP-1]],-1,0)))</f>
        <v>Configure Business Settings</v>
      </c>
      <c r="H53" s="26" t="str">
        <f ca="1">IF(TaskTable[[#This Row],[WBS Level]]=4,TaskTable[[#This Row],[PHASE]],IF(TaskTable[[#This Row],[WBS Level]]&lt;4,"NONE",OFFSET(TaskTable[[#This Row],[SP-2]],-1,0)))</f>
        <v>Configure User Accesss for Suki Hub</v>
      </c>
      <c r="I53" s="26" t="str">
        <f ca="1">IF(TaskTable[[#This Row],[WBS Level]]=5,TaskTable[[#This Row],[PHASE]],IF(TaskTable[[#This Row],[WBS Level]]&lt;5,"NONE",OFFSET(TaskTable[[#This Row],[SP-3]],-1,0)))</f>
        <v>NONE</v>
      </c>
      <c r="J53" s="26" t="str">
        <f ca="1">IF(TaskTable[[#This Row],[WBS Level]]=6,TaskTable[[#This Row],[PHASE]],IF(TaskTable[[#This Row],[WBS Level]]&lt;6,"NONE",OFFSET(TaskTable[[#This Row],[SP-4]],-1,0)))</f>
        <v>NONE</v>
      </c>
      <c r="M53" s="20">
        <f>LEN(TaskTable[WBS])-LEN(SUBSTITUTE(TaskTable[WBS],".",""))+2</f>
        <v>4</v>
      </c>
      <c r="N53" s="22">
        <v>43962</v>
      </c>
      <c r="O53" s="22">
        <v>43966</v>
      </c>
      <c r="P53" s="20">
        <v>5</v>
      </c>
      <c r="Q53" s="20" t="s">
        <v>12</v>
      </c>
      <c r="R53" s="59">
        <f>IF(TaskTable[[#This Row],[STATUS]]="COMPLETE",1,"")</f>
        <v>1</v>
      </c>
      <c r="S53" s="66">
        <v>1</v>
      </c>
      <c r="T53" s="20">
        <v>5</v>
      </c>
    </row>
    <row r="54" spans="4:35" ht="28.8" x14ac:dyDescent="0.3">
      <c r="D54" s="24" t="s">
        <v>191</v>
      </c>
      <c r="E54" s="26" t="s">
        <v>105</v>
      </c>
      <c r="F54" s="62" t="str">
        <f ca="1">IF(TaskTable[[#This Row],[WBS Level]]=2,TaskTable[[#This Row],[PHASE]],OFFSET(TaskTable[[#This Row],[MAIN PHASE]],-1,0))</f>
        <v>Configuration and Migration</v>
      </c>
      <c r="G54" s="26" t="str">
        <f ca="1">IF(TaskTable[[#This Row],[WBS Level]]=3,TaskTable[[#This Row],[PHASE]],IF(TaskTable[[#This Row],[WBS Level]]&lt;3,"NONE",OFFSET(TaskTable[[#This Row],[SP-1]],-1,0)))</f>
        <v>Configure Business Settings</v>
      </c>
      <c r="H54" s="26" t="str">
        <f ca="1">IF(TaskTable[[#This Row],[WBS Level]]=4,TaskTable[[#This Row],[PHASE]],IF(TaskTable[[#This Row],[WBS Level]]&lt;4,"NONE",OFFSET(TaskTable[[#This Row],[SP-2]],-1,0)))</f>
        <v>Provide complete list of Users</v>
      </c>
      <c r="I54" s="26" t="str">
        <f ca="1">IF(TaskTable[[#This Row],[WBS Level]]=5,TaskTable[[#This Row],[PHASE]],IF(TaskTable[[#This Row],[WBS Level]]&lt;5,"NONE",OFFSET(TaskTable[[#This Row],[SP-3]],-1,0)))</f>
        <v>NONE</v>
      </c>
      <c r="J54" s="26" t="str">
        <f ca="1">IF(TaskTable[[#This Row],[WBS Level]]=6,TaskTable[[#This Row],[PHASE]],IF(TaskTable[[#This Row],[WBS Level]]&lt;6,"NONE",OFFSET(TaskTable[[#This Row],[SP-4]],-1,0)))</f>
        <v>NONE</v>
      </c>
      <c r="M54" s="20">
        <f>LEN(TaskTable[WBS])-LEN(SUBSTITUTE(TaskTable[WBS],".",""))+2</f>
        <v>4</v>
      </c>
      <c r="N54" s="22">
        <v>43962</v>
      </c>
      <c r="O54" s="22">
        <v>43966</v>
      </c>
      <c r="P54" s="20">
        <v>5</v>
      </c>
      <c r="Q54" s="20" t="s">
        <v>12</v>
      </c>
      <c r="R54" s="59">
        <f>IF(TaskTable[[#This Row],[STATUS]]="COMPLETE",1,"")</f>
        <v>1</v>
      </c>
      <c r="S54" s="66">
        <v>1</v>
      </c>
      <c r="T54" s="20">
        <v>5</v>
      </c>
    </row>
    <row r="55" spans="4:35" ht="28.8" x14ac:dyDescent="0.3">
      <c r="D55" s="24" t="s">
        <v>192</v>
      </c>
      <c r="E55" s="26" t="s">
        <v>106</v>
      </c>
      <c r="F55" s="62" t="str">
        <f ca="1">IF(TaskTable[[#This Row],[WBS Level]]=2,TaskTable[[#This Row],[PHASE]],OFFSET(TaskTable[[#This Row],[MAIN PHASE]],-1,0))</f>
        <v>Configuration and Migration</v>
      </c>
      <c r="G55" s="26" t="str">
        <f ca="1">IF(TaskTable[[#This Row],[WBS Level]]=3,TaskTable[[#This Row],[PHASE]],IF(TaskTable[[#This Row],[WBS Level]]&lt;3,"NONE",OFFSET(TaskTable[[#This Row],[SP-1]],-1,0)))</f>
        <v>Configure Business Settings</v>
      </c>
      <c r="H55" s="26" t="str">
        <f ca="1">IF(TaskTable[[#This Row],[WBS Level]]=4,TaskTable[[#This Row],[PHASE]],IF(TaskTable[[#This Row],[WBS Level]]&lt;4,"NONE",OFFSET(TaskTable[[#This Row],[SP-2]],-1,0)))</f>
        <v>Configure Users</v>
      </c>
      <c r="I55" s="26" t="str">
        <f ca="1">IF(TaskTable[[#This Row],[WBS Level]]=5,TaskTable[[#This Row],[PHASE]],IF(TaskTable[[#This Row],[WBS Level]]&lt;5,"NONE",OFFSET(TaskTable[[#This Row],[SP-3]],-1,0)))</f>
        <v>NONE</v>
      </c>
      <c r="J55" s="26" t="str">
        <f ca="1">IF(TaskTable[[#This Row],[WBS Level]]=6,TaskTable[[#This Row],[PHASE]],IF(TaskTable[[#This Row],[WBS Level]]&lt;6,"NONE",OFFSET(TaskTable[[#This Row],[SP-4]],-1,0)))</f>
        <v>NONE</v>
      </c>
      <c r="M55" s="20">
        <f>LEN(TaskTable[WBS])-LEN(SUBSTITUTE(TaskTable[WBS],".",""))+2</f>
        <v>4</v>
      </c>
      <c r="N55" s="22">
        <v>43962</v>
      </c>
      <c r="O55" s="22">
        <v>43966</v>
      </c>
      <c r="P55" s="20">
        <v>5</v>
      </c>
      <c r="Q55" s="20" t="s">
        <v>12</v>
      </c>
      <c r="R55" s="59">
        <f>IF(TaskTable[[#This Row],[STATUS]]="COMPLETE",1,"")</f>
        <v>1</v>
      </c>
      <c r="S55" s="66">
        <v>1</v>
      </c>
      <c r="T55" s="20">
        <v>5</v>
      </c>
    </row>
    <row r="56" spans="4:35" x14ac:dyDescent="0.3">
      <c r="D56" s="24">
        <v>8</v>
      </c>
      <c r="E56" s="26" t="s">
        <v>107</v>
      </c>
      <c r="F56" s="62" t="str">
        <f ca="1">IF(TaskTable[[#This Row],[WBS Level]]=2,TaskTable[[#This Row],[PHASE]],OFFSET(TaskTable[[#This Row],[MAIN PHASE]],-1,0))</f>
        <v>Data Migration</v>
      </c>
      <c r="G56" s="26" t="str">
        <f ca="1">IF(TaskTable[[#This Row],[WBS Level]]=3,TaskTable[[#This Row],[PHASE]],IF(TaskTable[[#This Row],[WBS Level]]&lt;3,"NONE",OFFSET(TaskTable[[#This Row],[SP-1]],-1,0)))</f>
        <v>NONE</v>
      </c>
      <c r="H56" s="26" t="str">
        <f ca="1">IF(TaskTable[[#This Row],[WBS Level]]=4,TaskTable[[#This Row],[PHASE]],IF(TaskTable[[#This Row],[WBS Level]]&lt;4,"NONE",OFFSET(TaskTable[[#This Row],[SP-2]],-1,0)))</f>
        <v>NONE</v>
      </c>
      <c r="I56" s="26" t="str">
        <f ca="1">IF(TaskTable[[#This Row],[WBS Level]]=5,TaskTable[[#This Row],[PHASE]],IF(TaskTable[[#This Row],[WBS Level]]&lt;5,"NONE",OFFSET(TaskTable[[#This Row],[SP-3]],-1,0)))</f>
        <v>NONE</v>
      </c>
      <c r="J56" s="26" t="str">
        <f ca="1">IF(TaskTable[[#This Row],[WBS Level]]=6,TaskTable[[#This Row],[PHASE]],IF(TaskTable[[#This Row],[WBS Level]]&lt;6,"NONE",OFFSET(TaskTable[[#This Row],[SP-4]],-1,0)))</f>
        <v>NONE</v>
      </c>
      <c r="K56" s="20" t="s">
        <v>108</v>
      </c>
      <c r="M56" s="20">
        <f>LEN(TaskTable[WBS])-LEN(SUBSTITUTE(TaskTable[WBS],".",""))+2</f>
        <v>2</v>
      </c>
      <c r="N56" s="22">
        <v>43962</v>
      </c>
      <c r="O56" s="22">
        <v>43966</v>
      </c>
      <c r="P56" s="20">
        <v>5</v>
      </c>
      <c r="Q56" s="20" t="s">
        <v>12</v>
      </c>
      <c r="R56" s="59">
        <f>IF(TaskTable[[#This Row],[STATUS]]="COMPLETE",1,"")</f>
        <v>1</v>
      </c>
      <c r="S56" s="66">
        <v>1</v>
      </c>
      <c r="T56" s="20">
        <v>5</v>
      </c>
    </row>
    <row r="57" spans="4:35" x14ac:dyDescent="0.3">
      <c r="D57" s="25">
        <v>8.1</v>
      </c>
      <c r="E57" s="26" t="s">
        <v>109</v>
      </c>
      <c r="F57" s="62" t="str">
        <f ca="1">IF(TaskTable[[#This Row],[WBS Level]]=2,TaskTable[[#This Row],[PHASE]],OFFSET(TaskTable[[#This Row],[MAIN PHASE]],-1,0))</f>
        <v>Data Migration</v>
      </c>
      <c r="G57" s="26" t="str">
        <f ca="1">IF(TaskTable[[#This Row],[WBS Level]]=3,TaskTable[[#This Row],[PHASE]],IF(TaskTable[[#This Row],[WBS Level]]&lt;3,"NONE",OFFSET(TaskTable[[#This Row],[SP-1]],-1,0)))</f>
        <v>Master Products</v>
      </c>
      <c r="H57" s="26" t="str">
        <f ca="1">IF(TaskTable[[#This Row],[WBS Level]]=4,TaskTable[[#This Row],[PHASE]],IF(TaskTable[[#This Row],[WBS Level]]&lt;4,"NONE",OFFSET(TaskTable[[#This Row],[SP-2]],-1,0)))</f>
        <v>NONE</v>
      </c>
      <c r="I57" s="26" t="str">
        <f ca="1">IF(TaskTable[[#This Row],[WBS Level]]=5,TaskTable[[#This Row],[PHASE]],IF(TaskTable[[#This Row],[WBS Level]]&lt;5,"NONE",OFFSET(TaskTable[[#This Row],[SP-3]],-1,0)))</f>
        <v>NONE</v>
      </c>
      <c r="J57" s="26" t="str">
        <f ca="1">IF(TaskTable[[#This Row],[WBS Level]]=6,TaskTable[[#This Row],[PHASE]],IF(TaskTable[[#This Row],[WBS Level]]&lt;6,"NONE",OFFSET(TaskTable[[#This Row],[SP-4]],-1,0)))</f>
        <v>NONE</v>
      </c>
      <c r="M57" s="20">
        <f>LEN(TaskTable[WBS])-LEN(SUBSTITUTE(TaskTable[WBS],".",""))+2</f>
        <v>3</v>
      </c>
      <c r="N57" s="22">
        <v>43962</v>
      </c>
      <c r="O57" s="22">
        <v>43966</v>
      </c>
      <c r="P57" s="20">
        <v>5</v>
      </c>
      <c r="Q57" s="20" t="s">
        <v>12</v>
      </c>
      <c r="R57" s="59">
        <f>IF(TaskTable[[#This Row],[STATUS]]="COMPLETE",1,"")</f>
        <v>1</v>
      </c>
      <c r="S57" s="66">
        <v>1</v>
      </c>
      <c r="T57" s="20">
        <v>5</v>
      </c>
    </row>
    <row r="58" spans="4:35" x14ac:dyDescent="0.3">
      <c r="D58" s="24" t="s">
        <v>193</v>
      </c>
      <c r="E58" s="26" t="s">
        <v>110</v>
      </c>
      <c r="F58" s="62" t="str">
        <f ca="1">IF(TaskTable[[#This Row],[WBS Level]]=2,TaskTable[[#This Row],[PHASE]],OFFSET(TaskTable[[#This Row],[MAIN PHASE]],-1,0))</f>
        <v>Data Migration</v>
      </c>
      <c r="G58" s="26" t="str">
        <f ca="1">IF(TaskTable[[#This Row],[WBS Level]]=3,TaskTable[[#This Row],[PHASE]],IF(TaskTable[[#This Row],[WBS Level]]&lt;3,"NONE",OFFSET(TaskTable[[#This Row],[SP-1]],-1,0)))</f>
        <v>Master Products</v>
      </c>
      <c r="H58" s="26" t="str">
        <f ca="1">IF(TaskTable[[#This Row],[WBS Level]]=4,TaskTable[[#This Row],[PHASE]],IF(TaskTable[[#This Row],[WBS Level]]&lt;4,"NONE",OFFSET(TaskTable[[#This Row],[SP-2]],-1,0)))</f>
        <v>Popular Products</v>
      </c>
      <c r="I58" s="26" t="str">
        <f ca="1">IF(TaskTable[[#This Row],[WBS Level]]=5,TaskTable[[#This Row],[PHASE]],IF(TaskTable[[#This Row],[WBS Level]]&lt;5,"NONE",OFFSET(TaskTable[[#This Row],[SP-3]],-1,0)))</f>
        <v>NONE</v>
      </c>
      <c r="J58" s="26" t="str">
        <f ca="1">IF(TaskTable[[#This Row],[WBS Level]]=6,TaskTable[[#This Row],[PHASE]],IF(TaskTable[[#This Row],[WBS Level]]&lt;6,"NONE",OFFSET(TaskTable[[#This Row],[SP-4]],-1,0)))</f>
        <v>NONE</v>
      </c>
      <c r="M58" s="20">
        <f>LEN(TaskTable[WBS])-LEN(SUBSTITUTE(TaskTable[WBS],".",""))+2</f>
        <v>4</v>
      </c>
      <c r="N58" s="22">
        <v>43962</v>
      </c>
      <c r="O58" s="22">
        <v>43966</v>
      </c>
      <c r="P58" s="20">
        <v>5</v>
      </c>
      <c r="Q58" s="20" t="s">
        <v>12</v>
      </c>
      <c r="R58" s="59">
        <f>IF(TaskTable[[#This Row],[STATUS]]="COMPLETE",1,"")</f>
        <v>1</v>
      </c>
      <c r="S58" s="66">
        <v>1</v>
      </c>
      <c r="T58" s="20">
        <v>5</v>
      </c>
    </row>
    <row r="59" spans="4:35" x14ac:dyDescent="0.3">
      <c r="D59" s="24" t="s">
        <v>194</v>
      </c>
      <c r="E59" s="26" t="s">
        <v>111</v>
      </c>
      <c r="F59" s="62" t="str">
        <f ca="1">IF(TaskTable[[#This Row],[WBS Level]]=2,TaskTable[[#This Row],[PHASE]],OFFSET(TaskTable[[#This Row],[MAIN PHASE]],-1,0))</f>
        <v>Data Migration</v>
      </c>
      <c r="G59" s="26" t="str">
        <f ca="1">IF(TaskTable[[#This Row],[WBS Level]]=3,TaskTable[[#This Row],[PHASE]],IF(TaskTable[[#This Row],[WBS Level]]&lt;3,"NONE",OFFSET(TaskTable[[#This Row],[SP-1]],-1,0)))</f>
        <v>Master Products</v>
      </c>
      <c r="H59" s="26" t="str">
        <f ca="1">IF(TaskTable[[#This Row],[WBS Level]]=4,TaskTable[[#This Row],[PHASE]],IF(TaskTable[[#This Row],[WBS Level]]&lt;4,"NONE",OFFSET(TaskTable[[#This Row],[SP-2]],-1,0)))</f>
        <v>Membership Data</v>
      </c>
      <c r="I59" s="26" t="str">
        <f ca="1">IF(TaskTable[[#This Row],[WBS Level]]=5,TaskTable[[#This Row],[PHASE]],IF(TaskTable[[#This Row],[WBS Level]]&lt;5,"NONE",OFFSET(TaskTable[[#This Row],[SP-3]],-1,0)))</f>
        <v>NONE</v>
      </c>
      <c r="J59" s="26" t="str">
        <f ca="1">IF(TaskTable[[#This Row],[WBS Level]]=6,TaskTable[[#This Row],[PHASE]],IF(TaskTable[[#This Row],[WBS Level]]&lt;6,"NONE",OFFSET(TaskTable[[#This Row],[SP-4]],-1,0)))</f>
        <v>NONE</v>
      </c>
      <c r="M59" s="20">
        <f>LEN(TaskTable[WBS])-LEN(SUBSTITUTE(TaskTable[WBS],".",""))+2</f>
        <v>4</v>
      </c>
      <c r="N59" s="22">
        <v>43962</v>
      </c>
      <c r="O59" s="22">
        <v>43966</v>
      </c>
      <c r="P59" s="20">
        <v>5</v>
      </c>
      <c r="Q59" s="20" t="s">
        <v>12</v>
      </c>
      <c r="R59" s="59">
        <f>IF(TaskTable[[#This Row],[STATUS]]="COMPLETE",1,"")</f>
        <v>1</v>
      </c>
      <c r="S59" s="66">
        <v>1</v>
      </c>
      <c r="T59" s="20">
        <v>5</v>
      </c>
    </row>
    <row r="60" spans="4:35" x14ac:dyDescent="0.3">
      <c r="D60" s="24" t="s">
        <v>195</v>
      </c>
      <c r="E60" s="26" t="s">
        <v>112</v>
      </c>
      <c r="F60" s="62" t="str">
        <f ca="1">IF(TaskTable[[#This Row],[WBS Level]]=2,TaskTable[[#This Row],[PHASE]],OFFSET(TaskTable[[#This Row],[MAIN PHASE]],-1,0))</f>
        <v>Data Migration</v>
      </c>
      <c r="G60" s="26" t="str">
        <f ca="1">IF(TaskTable[[#This Row],[WBS Level]]=3,TaskTable[[#This Row],[PHASE]],IF(TaskTable[[#This Row],[WBS Level]]&lt;3,"NONE",OFFSET(TaskTable[[#This Row],[SP-1]],-1,0)))</f>
        <v>Master Products</v>
      </c>
      <c r="H60" s="26" t="str">
        <f ca="1">IF(TaskTable[[#This Row],[WBS Level]]=4,TaskTable[[#This Row],[PHASE]],IF(TaskTable[[#This Row],[WBS Level]]&lt;4,"NONE",OFFSET(TaskTable[[#This Row],[SP-2]],-1,0)))</f>
        <v>Inventory</v>
      </c>
      <c r="I60" s="26" t="str">
        <f ca="1">IF(TaskTable[[#This Row],[WBS Level]]=5,TaskTable[[#This Row],[PHASE]],IF(TaskTable[[#This Row],[WBS Level]]&lt;5,"NONE",OFFSET(TaskTable[[#This Row],[SP-3]],-1,0)))</f>
        <v>NONE</v>
      </c>
      <c r="J60" s="26" t="str">
        <f ca="1">IF(TaskTable[[#This Row],[WBS Level]]=6,TaskTable[[#This Row],[PHASE]],IF(TaskTable[[#This Row],[WBS Level]]&lt;6,"NONE",OFFSET(TaskTable[[#This Row],[SP-4]],-1,0)))</f>
        <v>NONE</v>
      </c>
      <c r="M60" s="20">
        <f>LEN(TaskTable[WBS])-LEN(SUBSTITUTE(TaskTable[WBS],".",""))+2</f>
        <v>4</v>
      </c>
      <c r="N60" s="22">
        <v>43962</v>
      </c>
      <c r="O60" s="22">
        <v>43966</v>
      </c>
      <c r="P60" s="20">
        <v>5</v>
      </c>
      <c r="Q60" s="20"/>
      <c r="R60" s="59" t="str">
        <f>IF(TaskTable[[#This Row],[STATUS]]="COMPLETE",1,"")</f>
        <v/>
      </c>
      <c r="S60" s="66">
        <v>1</v>
      </c>
      <c r="T60" s="20">
        <v>5</v>
      </c>
    </row>
    <row r="61" spans="4:35" x14ac:dyDescent="0.3">
      <c r="D61" s="24" t="s">
        <v>196</v>
      </c>
      <c r="E61" s="26" t="s">
        <v>113</v>
      </c>
      <c r="F61" s="62" t="str">
        <f ca="1">IF(TaskTable[[#This Row],[WBS Level]]=2,TaskTable[[#This Row],[PHASE]],OFFSET(TaskTable[[#This Row],[MAIN PHASE]],-1,0))</f>
        <v>Data Migration</v>
      </c>
      <c r="G61" s="26" t="str">
        <f ca="1">IF(TaskTable[[#This Row],[WBS Level]]=3,TaskTable[[#This Row],[PHASE]],IF(TaskTable[[#This Row],[WBS Level]]&lt;3,"NONE",OFFSET(TaskTable[[#This Row],[SP-1]],-1,0)))</f>
        <v>Master Products</v>
      </c>
      <c r="H61" s="26" t="str">
        <f ca="1">IF(TaskTable[[#This Row],[WBS Level]]=4,TaskTable[[#This Row],[PHASE]],IF(TaskTable[[#This Row],[WBS Level]]&lt;4,"NONE",OFFSET(TaskTable[[#This Row],[SP-2]],-1,0)))</f>
        <v>Images</v>
      </c>
      <c r="I61" s="26" t="str">
        <f ca="1">IF(TaskTable[[#This Row],[WBS Level]]=5,TaskTable[[#This Row],[PHASE]],IF(TaskTable[[#This Row],[WBS Level]]&lt;5,"NONE",OFFSET(TaskTable[[#This Row],[SP-3]],-1,0)))</f>
        <v>NONE</v>
      </c>
      <c r="J61" s="26" t="str">
        <f ca="1">IF(TaskTable[[#This Row],[WBS Level]]=6,TaskTable[[#This Row],[PHASE]],IF(TaskTable[[#This Row],[WBS Level]]&lt;6,"NONE",OFFSET(TaskTable[[#This Row],[SP-4]],-1,0)))</f>
        <v>NONE</v>
      </c>
      <c r="M61" s="20">
        <f>LEN(TaskTable[WBS])-LEN(SUBSTITUTE(TaskTable[WBS],".",""))+2</f>
        <v>4</v>
      </c>
      <c r="N61" s="22">
        <v>43962</v>
      </c>
      <c r="O61" s="22">
        <v>43966</v>
      </c>
      <c r="P61" s="20">
        <v>5</v>
      </c>
      <c r="Q61" s="20" t="s">
        <v>12</v>
      </c>
      <c r="R61" s="59">
        <f>IF(TaskTable[[#This Row],[STATUS]]="COMPLETE",1,"")</f>
        <v>1</v>
      </c>
      <c r="S61" s="66">
        <v>0.87</v>
      </c>
      <c r="T61" s="20">
        <v>5</v>
      </c>
    </row>
    <row r="62" spans="4:35" x14ac:dyDescent="0.3">
      <c r="D62" s="24">
        <v>9</v>
      </c>
      <c r="E62" s="26" t="s">
        <v>114</v>
      </c>
      <c r="F62" s="62" t="str">
        <f ca="1">IF(TaskTable[[#This Row],[WBS Level]]=2,TaskTable[[#This Row],[PHASE]],OFFSET(TaskTable[[#This Row],[MAIN PHASE]],-1,0))</f>
        <v>Infrastructure</v>
      </c>
      <c r="G62" s="26" t="str">
        <f ca="1">IF(TaskTable[[#This Row],[WBS Level]]=3,TaskTable[[#This Row],[PHASE]],IF(TaskTable[[#This Row],[WBS Level]]&lt;3,"NONE",OFFSET(TaskTable[[#This Row],[SP-1]],-1,0)))</f>
        <v>NONE</v>
      </c>
      <c r="H62" s="26" t="str">
        <f ca="1">IF(TaskTable[[#This Row],[WBS Level]]=4,TaskTable[[#This Row],[PHASE]],IF(TaskTable[[#This Row],[WBS Level]]&lt;4,"NONE",OFFSET(TaskTable[[#This Row],[SP-2]],-1,0)))</f>
        <v>NONE</v>
      </c>
      <c r="I62" s="26" t="str">
        <f ca="1">IF(TaskTable[[#This Row],[WBS Level]]=5,TaskTable[[#This Row],[PHASE]],IF(TaskTable[[#This Row],[WBS Level]]&lt;5,"NONE",OFFSET(TaskTable[[#This Row],[SP-3]],-1,0)))</f>
        <v>NONE</v>
      </c>
      <c r="J62" s="26" t="str">
        <f ca="1">IF(TaskTable[[#This Row],[WBS Level]]=6,TaskTable[[#This Row],[PHASE]],IF(TaskTable[[#This Row],[WBS Level]]&lt;6,"NONE",OFFSET(TaskTable[[#This Row],[SP-4]],-1,0)))</f>
        <v>NONE</v>
      </c>
      <c r="K62" s="20" t="s">
        <v>53</v>
      </c>
      <c r="M62" s="20">
        <f>LEN(TaskTable[WBS])-LEN(SUBSTITUTE(TaskTable[WBS],".",""))+2</f>
        <v>2</v>
      </c>
      <c r="N62" s="22">
        <v>43951</v>
      </c>
      <c r="O62" s="22">
        <v>43963</v>
      </c>
      <c r="P62" s="20">
        <v>9</v>
      </c>
      <c r="Q62" s="20" t="s">
        <v>12</v>
      </c>
      <c r="R62" s="59">
        <f>IF(TaskTable[[#This Row],[STATUS]]="COMPLETE",1,"")</f>
        <v>1</v>
      </c>
      <c r="S62" s="66">
        <v>1</v>
      </c>
      <c r="T62" s="20">
        <v>9</v>
      </c>
    </row>
    <row r="63" spans="4:35" ht="28.8" x14ac:dyDescent="0.3">
      <c r="D63" s="25">
        <v>9.1</v>
      </c>
      <c r="E63" s="26" t="s">
        <v>115</v>
      </c>
      <c r="F63" s="62" t="str">
        <f ca="1">IF(TaskTable[[#This Row],[WBS Level]]=2,TaskTable[[#This Row],[PHASE]],OFFSET(TaskTable[[#This Row],[MAIN PHASE]],-1,0))</f>
        <v>Infrastructure</v>
      </c>
      <c r="G63" s="26" t="str">
        <f ca="1">IF(TaskTable[[#This Row],[WBS Level]]=3,TaskTable[[#This Row],[PHASE]],IF(TaskTable[[#This Row],[WBS Level]]&lt;3,"NONE",OFFSET(TaskTable[[#This Row],[SP-1]],-1,0)))</f>
        <v>Stable Internet Connection</v>
      </c>
      <c r="H63" s="26" t="str">
        <f ca="1">IF(TaskTable[[#This Row],[WBS Level]]=4,TaskTable[[#This Row],[PHASE]],IF(TaskTable[[#This Row],[WBS Level]]&lt;4,"NONE",OFFSET(TaskTable[[#This Row],[SP-2]],-1,0)))</f>
        <v>NONE</v>
      </c>
      <c r="I63" s="26" t="str">
        <f ca="1">IF(TaskTable[[#This Row],[WBS Level]]=5,TaskTable[[#This Row],[PHASE]],IF(TaskTable[[#This Row],[WBS Level]]&lt;5,"NONE",OFFSET(TaskTable[[#This Row],[SP-3]],-1,0)))</f>
        <v>NONE</v>
      </c>
      <c r="J63" s="26" t="str">
        <f ca="1">IF(TaskTable[[#This Row],[WBS Level]]=6,TaskTable[[#This Row],[PHASE]],IF(TaskTable[[#This Row],[WBS Level]]&lt;6,"NONE",OFFSET(TaskTable[[#This Row],[SP-4]],-1,0)))</f>
        <v>NONE</v>
      </c>
      <c r="M63" s="20">
        <f>LEN(TaskTable[WBS])-LEN(SUBSTITUTE(TaskTable[WBS],".",""))+2</f>
        <v>3</v>
      </c>
      <c r="N63" s="22">
        <v>43951</v>
      </c>
      <c r="O63" s="22">
        <v>43951</v>
      </c>
      <c r="P63" s="20">
        <v>1</v>
      </c>
      <c r="Q63" s="20" t="s">
        <v>12</v>
      </c>
      <c r="R63" s="59">
        <f>IF(TaskTable[[#This Row],[STATUS]]="COMPLETE",1,"")</f>
        <v>1</v>
      </c>
      <c r="S63" s="66">
        <v>1</v>
      </c>
      <c r="T63" s="20">
        <v>1</v>
      </c>
    </row>
    <row r="64" spans="4:35" ht="28.8" x14ac:dyDescent="0.3">
      <c r="D64" s="24" t="s">
        <v>197</v>
      </c>
      <c r="E64" s="26" t="s">
        <v>116</v>
      </c>
      <c r="F64" s="62" t="str">
        <f ca="1">IF(TaskTable[[#This Row],[WBS Level]]=2,TaskTable[[#This Row],[PHASE]],OFFSET(TaskTable[[#This Row],[MAIN PHASE]],-1,0))</f>
        <v>Infrastructure</v>
      </c>
      <c r="G64" s="26" t="str">
        <f ca="1">IF(TaskTable[[#This Row],[WBS Level]]=3,TaskTable[[#This Row],[PHASE]],IF(TaskTable[[#This Row],[WBS Level]]&lt;3,"NONE",OFFSET(TaskTable[[#This Row],[SP-1]],-1,0)))</f>
        <v>Stable Internet Connection</v>
      </c>
      <c r="H64" s="26" t="str">
        <f ca="1">IF(TaskTable[[#This Row],[WBS Level]]=4,TaskTable[[#This Row],[PHASE]],IF(TaskTable[[#This Row],[WBS Level]]&lt;4,"NONE",OFFSET(TaskTable[[#This Row],[SP-2]],-1,0)))</f>
        <v>Wifi acess for entire Store</v>
      </c>
      <c r="I64" s="26" t="str">
        <f ca="1">IF(TaskTable[[#This Row],[WBS Level]]=5,TaskTable[[#This Row],[PHASE]],IF(TaskTable[[#This Row],[WBS Level]]&lt;5,"NONE",OFFSET(TaskTable[[#This Row],[SP-3]],-1,0)))</f>
        <v>NONE</v>
      </c>
      <c r="J64" s="26" t="str">
        <f ca="1">IF(TaskTable[[#This Row],[WBS Level]]=6,TaskTable[[#This Row],[PHASE]],IF(TaskTable[[#This Row],[WBS Level]]&lt;6,"NONE",OFFSET(TaskTable[[#This Row],[SP-4]],-1,0)))</f>
        <v>NONE</v>
      </c>
      <c r="M64" s="20">
        <f>LEN(TaskTable[WBS])-LEN(SUBSTITUTE(TaskTable[WBS],".",""))+2</f>
        <v>4</v>
      </c>
      <c r="N64" s="22">
        <v>43951</v>
      </c>
      <c r="O64" s="22">
        <v>43951</v>
      </c>
      <c r="P64" s="20">
        <v>1</v>
      </c>
      <c r="Q64" s="20" t="s">
        <v>12</v>
      </c>
      <c r="R64" s="59">
        <f>IF(TaskTable[[#This Row],[STATUS]]="COMPLETE",1,"")</f>
        <v>1</v>
      </c>
      <c r="S64" s="66">
        <v>1</v>
      </c>
      <c r="T64" s="20">
        <v>1</v>
      </c>
    </row>
    <row r="65" spans="4:20" ht="28.8" x14ac:dyDescent="0.3">
      <c r="D65" s="24" t="s">
        <v>198</v>
      </c>
      <c r="E65" s="26" t="s">
        <v>117</v>
      </c>
      <c r="F65" s="62" t="str">
        <f ca="1">IF(TaskTable[[#This Row],[WBS Level]]=2,TaskTable[[#This Row],[PHASE]],OFFSET(TaskTable[[#This Row],[MAIN PHASE]],-1,0))</f>
        <v>Infrastructure</v>
      </c>
      <c r="G65" s="26" t="str">
        <f ca="1">IF(TaskTable[[#This Row],[WBS Level]]=3,TaskTable[[#This Row],[PHASE]],IF(TaskTable[[#This Row],[WBS Level]]&lt;3,"NONE",OFFSET(TaskTable[[#This Row],[SP-1]],-1,0)))</f>
        <v>Stable Internet Connection</v>
      </c>
      <c r="H65" s="26" t="str">
        <f ca="1">IF(TaskTable[[#This Row],[WBS Level]]=4,TaskTable[[#This Row],[PHASE]],IF(TaskTable[[#This Row],[WBS Level]]&lt;4,"NONE",OFFSET(TaskTable[[#This Row],[SP-2]],-1,0)))</f>
        <v>Suki Hardware</v>
      </c>
      <c r="I65" s="26" t="str">
        <f ca="1">IF(TaskTable[[#This Row],[WBS Level]]=5,TaskTable[[#This Row],[PHASE]],IF(TaskTable[[#This Row],[WBS Level]]&lt;5,"NONE",OFFSET(TaskTable[[#This Row],[SP-3]],-1,0)))</f>
        <v>NONE</v>
      </c>
      <c r="J65" s="26" t="str">
        <f ca="1">IF(TaskTable[[#This Row],[WBS Level]]=6,TaskTable[[#This Row],[PHASE]],IF(TaskTable[[#This Row],[WBS Level]]&lt;6,"NONE",OFFSET(TaskTable[[#This Row],[SP-4]],-1,0)))</f>
        <v>NONE</v>
      </c>
      <c r="M65" s="20">
        <f>LEN(TaskTable[WBS])-LEN(SUBSTITUTE(TaskTable[WBS],".",""))+2</f>
        <v>4</v>
      </c>
      <c r="N65" s="22">
        <v>43962</v>
      </c>
      <c r="O65" s="22">
        <v>43963</v>
      </c>
      <c r="P65" s="20">
        <v>2</v>
      </c>
      <c r="Q65" s="20" t="s">
        <v>12</v>
      </c>
      <c r="R65" s="59">
        <f>IF(TaskTable[[#This Row],[STATUS]]="COMPLETE",1,"")</f>
        <v>1</v>
      </c>
      <c r="S65" s="66">
        <v>1</v>
      </c>
      <c r="T65" s="20">
        <v>2</v>
      </c>
    </row>
    <row r="66" spans="4:20" ht="28.8" x14ac:dyDescent="0.3">
      <c r="D66" s="24" t="s">
        <v>199</v>
      </c>
      <c r="E66" s="26" t="s">
        <v>118</v>
      </c>
      <c r="F66" s="62" t="str">
        <f ca="1">IF(TaskTable[[#This Row],[WBS Level]]=2,TaskTable[[#This Row],[PHASE]],OFFSET(TaskTable[[#This Row],[MAIN PHASE]],-1,0))</f>
        <v>Infrastructure</v>
      </c>
      <c r="G66" s="26" t="str">
        <f ca="1">IF(TaskTable[[#This Row],[WBS Level]]=3,TaskTable[[#This Row],[PHASE]],IF(TaskTable[[#This Row],[WBS Level]]&lt;3,"NONE",OFFSET(TaskTable[[#This Row],[SP-1]],-1,0)))</f>
        <v>Stable Internet Connection</v>
      </c>
      <c r="H66" s="26" t="str">
        <f ca="1">IF(TaskTable[[#This Row],[WBS Level]]=4,TaskTable[[#This Row],[PHASE]],IF(TaskTable[[#This Row],[WBS Level]]&lt;4,"NONE",OFFSET(TaskTable[[#This Row],[SP-2]],-1,0)))</f>
        <v>PDTs</v>
      </c>
      <c r="I66" s="26" t="str">
        <f ca="1">IF(TaskTable[[#This Row],[WBS Level]]=5,TaskTable[[#This Row],[PHASE]],IF(TaskTable[[#This Row],[WBS Level]]&lt;5,"NONE",OFFSET(TaskTable[[#This Row],[SP-3]],-1,0)))</f>
        <v>NONE</v>
      </c>
      <c r="J66" s="26" t="str">
        <f ca="1">IF(TaskTable[[#This Row],[WBS Level]]=6,TaskTable[[#This Row],[PHASE]],IF(TaskTable[[#This Row],[WBS Level]]&lt;6,"NONE",OFFSET(TaskTable[[#This Row],[SP-4]],-1,0)))</f>
        <v>NONE</v>
      </c>
      <c r="M66" s="20">
        <f>LEN(TaskTable[WBS])-LEN(SUBSTITUTE(TaskTable[WBS],".",""))+2</f>
        <v>4</v>
      </c>
      <c r="N66" s="22">
        <v>43963</v>
      </c>
      <c r="O66" s="22">
        <v>43963</v>
      </c>
      <c r="P66" s="20">
        <v>1</v>
      </c>
      <c r="Q66" s="20" t="s">
        <v>12</v>
      </c>
      <c r="R66" s="59">
        <f>IF(TaskTable[[#This Row],[STATUS]]="COMPLETE",1,"")</f>
        <v>1</v>
      </c>
      <c r="S66" s="66">
        <v>1</v>
      </c>
      <c r="T66" s="20">
        <v>1</v>
      </c>
    </row>
    <row r="67" spans="4:20" ht="28.8" x14ac:dyDescent="0.3">
      <c r="D67" s="24" t="s">
        <v>200</v>
      </c>
      <c r="E67" s="26" t="s">
        <v>119</v>
      </c>
      <c r="F67" s="62" t="str">
        <f ca="1">IF(TaskTable[[#This Row],[WBS Level]]=2,TaskTable[[#This Row],[PHASE]],OFFSET(TaskTable[[#This Row],[MAIN PHASE]],-1,0))</f>
        <v>Infrastructure</v>
      </c>
      <c r="G67" s="26" t="str">
        <f ca="1">IF(TaskTable[[#This Row],[WBS Level]]=3,TaskTable[[#This Row],[PHASE]],IF(TaskTable[[#This Row],[WBS Level]]&lt;3,"NONE",OFFSET(TaskTable[[#This Row],[SP-1]],-1,0)))</f>
        <v>Stable Internet Connection</v>
      </c>
      <c r="H67" s="26" t="str">
        <f ca="1">IF(TaskTable[[#This Row],[WBS Level]]=4,TaskTable[[#This Row],[PHASE]],IF(TaskTable[[#This Row],[WBS Level]]&lt;4,"NONE",OFFSET(TaskTable[[#This Row],[SP-2]],-1,0)))</f>
        <v>LAN Receipt Printer for Picker</v>
      </c>
      <c r="I67" s="26" t="str">
        <f ca="1">IF(TaskTable[[#This Row],[WBS Level]]=5,TaskTable[[#This Row],[PHASE]],IF(TaskTable[[#This Row],[WBS Level]]&lt;5,"NONE",OFFSET(TaskTable[[#This Row],[SP-3]],-1,0)))</f>
        <v>NONE</v>
      </c>
      <c r="J67" s="26" t="str">
        <f ca="1">IF(TaskTable[[#This Row],[WBS Level]]=6,TaskTable[[#This Row],[PHASE]],IF(TaskTable[[#This Row],[WBS Level]]&lt;6,"NONE",OFFSET(TaskTable[[#This Row],[SP-4]],-1,0)))</f>
        <v>NONE</v>
      </c>
      <c r="M67" s="20">
        <f>LEN(TaskTable[WBS])-LEN(SUBSTITUTE(TaskTable[WBS],".",""))+2</f>
        <v>4</v>
      </c>
      <c r="N67" s="22">
        <v>43962</v>
      </c>
      <c r="O67" s="22">
        <v>43963</v>
      </c>
      <c r="P67" s="20">
        <v>2</v>
      </c>
      <c r="Q67" s="20" t="s">
        <v>12</v>
      </c>
      <c r="R67" s="59">
        <f>IF(TaskTable[[#This Row],[STATUS]]="COMPLETE",1,"")</f>
        <v>1</v>
      </c>
      <c r="S67" s="66">
        <v>1</v>
      </c>
      <c r="T67" s="20">
        <v>2</v>
      </c>
    </row>
    <row r="68" spans="4:20" ht="28.8" x14ac:dyDescent="0.3">
      <c r="D68" s="24" t="s">
        <v>201</v>
      </c>
      <c r="E68" s="26" t="s">
        <v>120</v>
      </c>
      <c r="F68" s="62" t="str">
        <f ca="1">IF(TaskTable[[#This Row],[WBS Level]]=2,TaskTable[[#This Row],[PHASE]],OFFSET(TaskTable[[#This Row],[MAIN PHASE]],-1,0))</f>
        <v>Infrastructure</v>
      </c>
      <c r="G68" s="26" t="str">
        <f ca="1">IF(TaskTable[[#This Row],[WBS Level]]=3,TaskTable[[#This Row],[PHASE]],IF(TaskTable[[#This Row],[WBS Level]]&lt;3,"NONE",OFFSET(TaskTable[[#This Row],[SP-1]],-1,0)))</f>
        <v>Stable Internet Connection</v>
      </c>
      <c r="H68" s="26" t="str">
        <f ca="1">IF(TaskTable[[#This Row],[WBS Level]]=4,TaskTable[[#This Row],[PHASE]],IF(TaskTable[[#This Row],[WBS Level]]&lt;4,"NONE",OFFSET(TaskTable[[#This Row],[SP-2]],-1,0)))</f>
        <v>Dedicated Barter POS</v>
      </c>
      <c r="I68" s="26" t="str">
        <f ca="1">IF(TaskTable[[#This Row],[WBS Level]]=5,TaskTable[[#This Row],[PHASE]],IF(TaskTable[[#This Row],[WBS Level]]&lt;5,"NONE",OFFSET(TaskTable[[#This Row],[SP-3]],-1,0)))</f>
        <v>NONE</v>
      </c>
      <c r="J68" s="26" t="str">
        <f ca="1">IF(TaskTable[[#This Row],[WBS Level]]=6,TaskTable[[#This Row],[PHASE]],IF(TaskTable[[#This Row],[WBS Level]]&lt;6,"NONE",OFFSET(TaskTable[[#This Row],[SP-4]],-1,0)))</f>
        <v>NONE</v>
      </c>
      <c r="M68" s="20">
        <f>LEN(TaskTable[WBS])-LEN(SUBSTITUTE(TaskTable[WBS],".",""))+2</f>
        <v>4</v>
      </c>
      <c r="N68" s="22">
        <v>43962</v>
      </c>
      <c r="O68" s="22">
        <v>43963</v>
      </c>
      <c r="P68" s="20">
        <v>2</v>
      </c>
      <c r="Q68" s="20" t="s">
        <v>12</v>
      </c>
      <c r="R68" s="59">
        <f>IF(TaskTable[[#This Row],[STATUS]]="COMPLETE",1,"")</f>
        <v>1</v>
      </c>
      <c r="S68" s="66">
        <v>1</v>
      </c>
      <c r="T68" s="20">
        <v>2</v>
      </c>
    </row>
    <row r="69" spans="4:20" ht="28.8" x14ac:dyDescent="0.3">
      <c r="D69" s="24" t="s">
        <v>202</v>
      </c>
      <c r="E69" s="26" t="s">
        <v>121</v>
      </c>
      <c r="F69" s="62" t="str">
        <f ca="1">IF(TaskTable[[#This Row],[WBS Level]]=2,TaskTable[[#This Row],[PHASE]],OFFSET(TaskTable[[#This Row],[MAIN PHASE]],-1,0))</f>
        <v>Infrastructure</v>
      </c>
      <c r="G69" s="26" t="str">
        <f ca="1">IF(TaskTable[[#This Row],[WBS Level]]=3,TaskTable[[#This Row],[PHASE]],IF(TaskTable[[#This Row],[WBS Level]]&lt;3,"NONE",OFFSET(TaskTable[[#This Row],[SP-1]],-1,0)))</f>
        <v>Stable Internet Connection</v>
      </c>
      <c r="H69" s="26" t="str">
        <f ca="1">IF(TaskTable[[#This Row],[WBS Level]]=4,TaskTable[[#This Row],[PHASE]],IF(TaskTable[[#This Row],[WBS Level]]&lt;4,"NONE",OFFSET(TaskTable[[#This Row],[SP-2]],-1,0)))</f>
        <v>Barter POS Hardware</v>
      </c>
      <c r="I69" s="26" t="str">
        <f ca="1">IF(TaskTable[[#This Row],[WBS Level]]=5,TaskTable[[#This Row],[PHASE]],IF(TaskTable[[#This Row],[WBS Level]]&lt;5,"NONE",OFFSET(TaskTable[[#This Row],[SP-3]],-1,0)))</f>
        <v>NONE</v>
      </c>
      <c r="J69" s="26" t="str">
        <f ca="1">IF(TaskTable[[#This Row],[WBS Level]]=6,TaskTable[[#This Row],[PHASE]],IF(TaskTable[[#This Row],[WBS Level]]&lt;6,"NONE",OFFSET(TaskTable[[#This Row],[SP-4]],-1,0)))</f>
        <v>NONE</v>
      </c>
      <c r="M69" s="20">
        <f>LEN(TaskTable[WBS])-LEN(SUBSTITUTE(TaskTable[WBS],".",""))+2</f>
        <v>4</v>
      </c>
      <c r="N69" s="22">
        <v>43962</v>
      </c>
      <c r="O69" s="22">
        <v>43963</v>
      </c>
      <c r="P69" s="20">
        <v>2</v>
      </c>
      <c r="Q69" s="20" t="s">
        <v>12</v>
      </c>
      <c r="R69" s="59">
        <f>IF(TaskTable[[#This Row],[STATUS]]="COMPLETE",1,"")</f>
        <v>1</v>
      </c>
      <c r="S69" s="66">
        <v>1</v>
      </c>
      <c r="T69" s="20">
        <v>2</v>
      </c>
    </row>
    <row r="70" spans="4:20" ht="28.8" x14ac:dyDescent="0.3">
      <c r="D70" s="24">
        <v>10</v>
      </c>
      <c r="E70" s="26" t="s">
        <v>122</v>
      </c>
      <c r="F70" s="62" t="str">
        <f ca="1">IF(TaskTable[[#This Row],[WBS Level]]=2,TaskTable[[#This Row],[PHASE]],OFFSET(TaskTable[[#This Row],[MAIN PHASE]],-1,0))</f>
        <v>Pre Live Checklist/Preparation</v>
      </c>
      <c r="G70" s="26" t="str">
        <f ca="1">IF(TaskTable[[#This Row],[WBS Level]]=3,TaskTable[[#This Row],[PHASE]],IF(TaskTable[[#This Row],[WBS Level]]&lt;3,"NONE",OFFSET(TaskTable[[#This Row],[SP-1]],-1,0)))</f>
        <v>NONE</v>
      </c>
      <c r="H70" s="26" t="str">
        <f ca="1">IF(TaskTable[[#This Row],[WBS Level]]=4,TaskTable[[#This Row],[PHASE]],IF(TaskTable[[#This Row],[WBS Level]]&lt;4,"NONE",OFFSET(TaskTable[[#This Row],[SP-2]],-1,0)))</f>
        <v>NONE</v>
      </c>
      <c r="I70" s="26" t="str">
        <f ca="1">IF(TaskTable[[#This Row],[WBS Level]]=5,TaskTable[[#This Row],[PHASE]],IF(TaskTable[[#This Row],[WBS Level]]&lt;5,"NONE",OFFSET(TaskTable[[#This Row],[SP-3]],-1,0)))</f>
        <v>NONE</v>
      </c>
      <c r="J70" s="26" t="str">
        <f ca="1">IF(TaskTable[[#This Row],[WBS Level]]=6,TaskTable[[#This Row],[PHASE]],IF(TaskTable[[#This Row],[WBS Level]]&lt;6,"NONE",OFFSET(TaskTable[[#This Row],[SP-4]],-1,0)))</f>
        <v>NONE</v>
      </c>
      <c r="K70" s="20" t="s">
        <v>53</v>
      </c>
      <c r="M70" s="20">
        <f>LEN(TaskTable[WBS])-LEN(SUBSTITUTE(TaskTable[WBS],".",""))+2</f>
        <v>2</v>
      </c>
      <c r="N70" s="22">
        <v>43962</v>
      </c>
      <c r="O70" s="22">
        <v>43966</v>
      </c>
      <c r="P70" s="20">
        <v>5</v>
      </c>
      <c r="Q70" s="20" t="s">
        <v>12</v>
      </c>
      <c r="R70" s="59">
        <f>IF(TaskTable[[#This Row],[STATUS]]="COMPLETE",1,"")</f>
        <v>1</v>
      </c>
      <c r="S70" s="66">
        <v>1</v>
      </c>
      <c r="T70" s="20">
        <v>5</v>
      </c>
    </row>
    <row r="71" spans="4:20" ht="28.8" x14ac:dyDescent="0.3">
      <c r="D71" s="25">
        <v>10.1</v>
      </c>
      <c r="E71" s="26" t="s">
        <v>123</v>
      </c>
      <c r="F71" s="62" t="str">
        <f ca="1">IF(TaskTable[[#This Row],[WBS Level]]=2,TaskTable[[#This Row],[PHASE]],OFFSET(TaskTable[[#This Row],[MAIN PHASE]],-1,0))</f>
        <v>Pre Live Checklist/Preparation</v>
      </c>
      <c r="G71" s="26" t="str">
        <f ca="1">IF(TaskTable[[#This Row],[WBS Level]]=3,TaskTable[[#This Row],[PHASE]],IF(TaskTable[[#This Row],[WBS Level]]&lt;3,"NONE",OFFSET(TaskTable[[#This Row],[SP-1]],-1,0)))</f>
        <v>Install and configure all Hardwares</v>
      </c>
      <c r="H71" s="26" t="str">
        <f ca="1">IF(TaskTable[[#This Row],[WBS Level]]=4,TaskTable[[#This Row],[PHASE]],IF(TaskTable[[#This Row],[WBS Level]]&lt;4,"NONE",OFFSET(TaskTable[[#This Row],[SP-2]],-1,0)))</f>
        <v>NONE</v>
      </c>
      <c r="I71" s="26" t="str">
        <f ca="1">IF(TaskTable[[#This Row],[WBS Level]]=5,TaskTable[[#This Row],[PHASE]],IF(TaskTable[[#This Row],[WBS Level]]&lt;5,"NONE",OFFSET(TaskTable[[#This Row],[SP-3]],-1,0)))</f>
        <v>NONE</v>
      </c>
      <c r="J71" s="26" t="str">
        <f ca="1">IF(TaskTable[[#This Row],[WBS Level]]=6,TaskTable[[#This Row],[PHASE]],IF(TaskTable[[#This Row],[WBS Level]]&lt;6,"NONE",OFFSET(TaskTable[[#This Row],[SP-4]],-1,0)))</f>
        <v>NONE</v>
      </c>
      <c r="M71" s="20">
        <f>LEN(TaskTable[WBS])-LEN(SUBSTITUTE(TaskTable[WBS],".",""))+2</f>
        <v>3</v>
      </c>
      <c r="N71" s="22">
        <v>43962</v>
      </c>
      <c r="O71" s="22">
        <v>43966</v>
      </c>
      <c r="P71" s="20">
        <v>5</v>
      </c>
      <c r="Q71" s="20" t="s">
        <v>12</v>
      </c>
      <c r="R71" s="59">
        <f>IF(TaskTable[[#This Row],[STATUS]]="COMPLETE",1,"")</f>
        <v>1</v>
      </c>
      <c r="S71" s="66">
        <v>1</v>
      </c>
      <c r="T71" s="20">
        <v>5</v>
      </c>
    </row>
    <row r="72" spans="4:20" ht="28.8" x14ac:dyDescent="0.3">
      <c r="D72" s="24" t="s">
        <v>203</v>
      </c>
      <c r="E72" s="26" t="s">
        <v>118</v>
      </c>
      <c r="F72" s="62" t="str">
        <f ca="1">IF(TaskTable[[#This Row],[WBS Level]]=2,TaskTable[[#This Row],[PHASE]],OFFSET(TaskTable[[#This Row],[MAIN PHASE]],-1,0))</f>
        <v>Pre Live Checklist/Preparation</v>
      </c>
      <c r="G72" s="26" t="str">
        <f ca="1">IF(TaskTable[[#This Row],[WBS Level]]=3,TaskTable[[#This Row],[PHASE]],IF(TaskTable[[#This Row],[WBS Level]]&lt;3,"NONE",OFFSET(TaskTable[[#This Row],[SP-1]],-1,0)))</f>
        <v>Install and configure all Hardwares</v>
      </c>
      <c r="H72" s="26" t="str">
        <f ca="1">IF(TaskTable[[#This Row],[WBS Level]]=4,TaskTable[[#This Row],[PHASE]],IF(TaskTable[[#This Row],[WBS Level]]&lt;4,"NONE",OFFSET(TaskTable[[#This Row],[SP-2]],-1,0)))</f>
        <v>PDTs</v>
      </c>
      <c r="I72" s="26" t="str">
        <f ca="1">IF(TaskTable[[#This Row],[WBS Level]]=5,TaskTable[[#This Row],[PHASE]],IF(TaskTable[[#This Row],[WBS Level]]&lt;5,"NONE",OFFSET(TaskTable[[#This Row],[SP-3]],-1,0)))</f>
        <v>NONE</v>
      </c>
      <c r="J72" s="26" t="str">
        <f ca="1">IF(TaskTable[[#This Row],[WBS Level]]=6,TaskTable[[#This Row],[PHASE]],IF(TaskTable[[#This Row],[WBS Level]]&lt;6,"NONE",OFFSET(TaskTable[[#This Row],[SP-4]],-1,0)))</f>
        <v>NONE</v>
      </c>
      <c r="M72" s="20">
        <f>LEN(TaskTable[WBS])-LEN(SUBSTITUTE(TaskTable[WBS],".",""))+2</f>
        <v>4</v>
      </c>
      <c r="N72" s="22">
        <v>43962</v>
      </c>
      <c r="O72" s="22">
        <v>43966</v>
      </c>
      <c r="P72" s="20">
        <v>5</v>
      </c>
      <c r="Q72" s="20" t="s">
        <v>12</v>
      </c>
      <c r="R72" s="59">
        <f>IF(TaskTable[[#This Row],[STATUS]]="COMPLETE",1,"")</f>
        <v>1</v>
      </c>
      <c r="S72" s="66">
        <v>1</v>
      </c>
      <c r="T72" s="20">
        <v>5</v>
      </c>
    </row>
    <row r="73" spans="4:20" ht="28.8" x14ac:dyDescent="0.3">
      <c r="D73" s="24" t="s">
        <v>204</v>
      </c>
      <c r="E73" s="26" t="s">
        <v>119</v>
      </c>
      <c r="F73" s="62" t="str">
        <f ca="1">IF(TaskTable[[#This Row],[WBS Level]]=2,TaskTable[[#This Row],[PHASE]],OFFSET(TaskTable[[#This Row],[MAIN PHASE]],-1,0))</f>
        <v>Pre Live Checklist/Preparation</v>
      </c>
      <c r="G73" s="26" t="str">
        <f ca="1">IF(TaskTable[[#This Row],[WBS Level]]=3,TaskTable[[#This Row],[PHASE]],IF(TaskTable[[#This Row],[WBS Level]]&lt;3,"NONE",OFFSET(TaskTable[[#This Row],[SP-1]],-1,0)))</f>
        <v>Install and configure all Hardwares</v>
      </c>
      <c r="H73" s="26" t="str">
        <f ca="1">IF(TaskTable[[#This Row],[WBS Level]]=4,TaskTable[[#This Row],[PHASE]],IF(TaskTable[[#This Row],[WBS Level]]&lt;4,"NONE",OFFSET(TaskTable[[#This Row],[SP-2]],-1,0)))</f>
        <v>LAN Receipt Printer for Picker</v>
      </c>
      <c r="I73" s="26" t="str">
        <f ca="1">IF(TaskTable[[#This Row],[WBS Level]]=5,TaskTable[[#This Row],[PHASE]],IF(TaskTable[[#This Row],[WBS Level]]&lt;5,"NONE",OFFSET(TaskTable[[#This Row],[SP-3]],-1,0)))</f>
        <v>NONE</v>
      </c>
      <c r="J73" s="26" t="str">
        <f ca="1">IF(TaskTable[[#This Row],[WBS Level]]=6,TaskTable[[#This Row],[PHASE]],IF(TaskTable[[#This Row],[WBS Level]]&lt;6,"NONE",OFFSET(TaskTable[[#This Row],[SP-4]],-1,0)))</f>
        <v>NONE</v>
      </c>
      <c r="M73" s="20">
        <f>LEN(TaskTable[WBS])-LEN(SUBSTITUTE(TaskTable[WBS],".",""))+2</f>
        <v>4</v>
      </c>
      <c r="N73" s="22">
        <v>43962</v>
      </c>
      <c r="O73" s="22">
        <v>43966</v>
      </c>
      <c r="P73" s="20">
        <v>5</v>
      </c>
      <c r="Q73" s="20"/>
      <c r="R73" s="59" t="str">
        <f>IF(TaskTable[[#This Row],[STATUS]]="COMPLETE",1,"")</f>
        <v/>
      </c>
      <c r="S73" s="66">
        <v>1</v>
      </c>
      <c r="T73" s="20">
        <v>5</v>
      </c>
    </row>
    <row r="74" spans="4:20" ht="28.8" x14ac:dyDescent="0.3">
      <c r="D74" s="24" t="s">
        <v>205</v>
      </c>
      <c r="E74" s="26" t="s">
        <v>120</v>
      </c>
      <c r="F74" s="62" t="str">
        <f ca="1">IF(TaskTable[[#This Row],[WBS Level]]=2,TaskTable[[#This Row],[PHASE]],OFFSET(TaskTable[[#This Row],[MAIN PHASE]],-1,0))</f>
        <v>Pre Live Checklist/Preparation</v>
      </c>
      <c r="G74" s="26" t="str">
        <f ca="1">IF(TaskTable[[#This Row],[WBS Level]]=3,TaskTable[[#This Row],[PHASE]],IF(TaskTable[[#This Row],[WBS Level]]&lt;3,"NONE",OFFSET(TaskTable[[#This Row],[SP-1]],-1,0)))</f>
        <v>Install and configure all Hardwares</v>
      </c>
      <c r="H74" s="26" t="str">
        <f ca="1">IF(TaskTable[[#This Row],[WBS Level]]=4,TaskTable[[#This Row],[PHASE]],IF(TaskTable[[#This Row],[WBS Level]]&lt;4,"NONE",OFFSET(TaskTable[[#This Row],[SP-2]],-1,0)))</f>
        <v>Dedicated Barter POS</v>
      </c>
      <c r="I74" s="26" t="str">
        <f ca="1">IF(TaskTable[[#This Row],[WBS Level]]=5,TaskTable[[#This Row],[PHASE]],IF(TaskTable[[#This Row],[WBS Level]]&lt;5,"NONE",OFFSET(TaskTable[[#This Row],[SP-3]],-1,0)))</f>
        <v>NONE</v>
      </c>
      <c r="J74" s="26" t="str">
        <f ca="1">IF(TaskTable[[#This Row],[WBS Level]]=6,TaskTable[[#This Row],[PHASE]],IF(TaskTable[[#This Row],[WBS Level]]&lt;6,"NONE",OFFSET(TaskTable[[#This Row],[SP-4]],-1,0)))</f>
        <v>NONE</v>
      </c>
      <c r="M74" s="20">
        <f>LEN(TaskTable[WBS])-LEN(SUBSTITUTE(TaskTable[WBS],".",""))+2</f>
        <v>4</v>
      </c>
      <c r="N74" s="22">
        <v>43962</v>
      </c>
      <c r="O74" s="22">
        <v>43966</v>
      </c>
      <c r="P74" s="20">
        <v>5</v>
      </c>
      <c r="Q74" s="20" t="s">
        <v>12</v>
      </c>
      <c r="R74" s="59">
        <f>IF(TaskTable[[#This Row],[STATUS]]="COMPLETE",1,"")</f>
        <v>1</v>
      </c>
      <c r="S74" s="66">
        <v>1</v>
      </c>
      <c r="T74" s="20">
        <v>5</v>
      </c>
    </row>
    <row r="75" spans="4:20" ht="43.2" x14ac:dyDescent="0.3">
      <c r="D75" s="24" t="s">
        <v>206</v>
      </c>
      <c r="E75" s="26" t="s">
        <v>124</v>
      </c>
      <c r="F75" s="62" t="str">
        <f ca="1">IF(TaskTable[[#This Row],[WBS Level]]=2,TaskTable[[#This Row],[PHASE]],OFFSET(TaskTable[[#This Row],[MAIN PHASE]],-1,0))</f>
        <v>Pre Live Checklist/Preparation</v>
      </c>
      <c r="G75" s="26" t="str">
        <f ca="1">IF(TaskTable[[#This Row],[WBS Level]]=3,TaskTable[[#This Row],[PHASE]],IF(TaskTable[[#This Row],[WBS Level]]&lt;3,"NONE",OFFSET(TaskTable[[#This Row],[SP-1]],-1,0)))</f>
        <v>Install and configure all Hardwares</v>
      </c>
      <c r="H75" s="26" t="str">
        <f ca="1">IF(TaskTable[[#This Row],[WBS Level]]=4,TaskTable[[#This Row],[PHASE]],IF(TaskTable[[#This Row],[WBS Level]]&lt;4,"NONE",OFFSET(TaskTable[[#This Row],[SP-2]],-1,0)))</f>
        <v>Double check all Hardwares if working</v>
      </c>
      <c r="I75" s="26" t="str">
        <f ca="1">IF(TaskTable[[#This Row],[WBS Level]]=5,TaskTable[[#This Row],[PHASE]],IF(TaskTable[[#This Row],[WBS Level]]&lt;5,"NONE",OFFSET(TaskTable[[#This Row],[SP-3]],-1,0)))</f>
        <v>NONE</v>
      </c>
      <c r="J75" s="26" t="str">
        <f ca="1">IF(TaskTable[[#This Row],[WBS Level]]=6,TaskTable[[#This Row],[PHASE]],IF(TaskTable[[#This Row],[WBS Level]]&lt;6,"NONE",OFFSET(TaskTable[[#This Row],[SP-4]],-1,0)))</f>
        <v>NONE</v>
      </c>
      <c r="M75" s="20">
        <f>LEN(TaskTable[WBS])-LEN(SUBSTITUTE(TaskTable[WBS],".",""))+2</f>
        <v>4</v>
      </c>
      <c r="N75" s="22">
        <v>43962</v>
      </c>
      <c r="O75" s="22">
        <v>43966</v>
      </c>
      <c r="P75" s="20">
        <v>5</v>
      </c>
      <c r="Q75" s="20" t="s">
        <v>12</v>
      </c>
      <c r="R75" s="59">
        <f>IF(TaskTable[[#This Row],[STATUS]]="COMPLETE",1,"")</f>
        <v>1</v>
      </c>
      <c r="S75" s="66">
        <v>1</v>
      </c>
      <c r="T75" s="20">
        <v>5</v>
      </c>
    </row>
    <row r="76" spans="4:20" ht="43.2" x14ac:dyDescent="0.3">
      <c r="D76" s="24" t="s">
        <v>207</v>
      </c>
      <c r="E76" s="26" t="s">
        <v>125</v>
      </c>
      <c r="F76" s="62" t="str">
        <f ca="1">IF(TaskTable[[#This Row],[WBS Level]]=2,TaskTable[[#This Row],[PHASE]],OFFSET(TaskTable[[#This Row],[MAIN PHASE]],-1,0))</f>
        <v>Pre Live Checklist/Preparation</v>
      </c>
      <c r="G76" s="26" t="str">
        <f ca="1">IF(TaskTable[[#This Row],[WBS Level]]=3,TaskTable[[#This Row],[PHASE]],IF(TaskTable[[#This Row],[WBS Level]]&lt;3,"NONE",OFFSET(TaskTable[[#This Row],[SP-1]],-1,0)))</f>
        <v>Install and configure all Hardwares</v>
      </c>
      <c r="H76" s="26" t="str">
        <f ca="1">IF(TaskTable[[#This Row],[WBS Level]]=4,TaskTable[[#This Row],[PHASE]],IF(TaskTable[[#This Row],[WBS Level]]&lt;4,"NONE",OFFSET(TaskTable[[#This Row],[SP-2]],-1,0)))</f>
        <v>Check if all Hardwares if working</v>
      </c>
      <c r="I76" s="26" t="str">
        <f ca="1">IF(TaskTable[[#This Row],[WBS Level]]=5,TaskTable[[#This Row],[PHASE]],IF(TaskTable[[#This Row],[WBS Level]]&lt;5,"NONE",OFFSET(TaskTable[[#This Row],[SP-3]],-1,0)))</f>
        <v>NONE</v>
      </c>
      <c r="J76" s="26" t="str">
        <f ca="1">IF(TaskTable[[#This Row],[WBS Level]]=6,TaskTable[[#This Row],[PHASE]],IF(TaskTable[[#This Row],[WBS Level]]&lt;6,"NONE",OFFSET(TaskTable[[#This Row],[SP-4]],-1,0)))</f>
        <v>NONE</v>
      </c>
      <c r="M76" s="20">
        <f>LEN(TaskTable[WBS])-LEN(SUBSTITUTE(TaskTable[WBS],".",""))+2</f>
        <v>4</v>
      </c>
      <c r="N76" s="22">
        <v>43962</v>
      </c>
      <c r="O76" s="22">
        <v>43966</v>
      </c>
      <c r="P76" s="20">
        <v>5</v>
      </c>
      <c r="Q76" s="20" t="s">
        <v>12</v>
      </c>
      <c r="R76" s="59">
        <f>IF(TaskTable[[#This Row],[STATUS]]="COMPLETE",1,"")</f>
        <v>1</v>
      </c>
      <c r="S76" s="66">
        <v>1</v>
      </c>
      <c r="T76" s="20">
        <v>5</v>
      </c>
    </row>
    <row r="77" spans="4:20" ht="28.8" x14ac:dyDescent="0.3">
      <c r="D77" s="24" t="s">
        <v>208</v>
      </c>
      <c r="E77" s="26" t="s">
        <v>126</v>
      </c>
      <c r="F77" s="62" t="str">
        <f ca="1">IF(TaskTable[[#This Row],[WBS Level]]=2,TaskTable[[#This Row],[PHASE]],OFFSET(TaskTable[[#This Row],[MAIN PHASE]],-1,0))</f>
        <v>Pre Live Checklist/Preparation</v>
      </c>
      <c r="G77" s="26" t="str">
        <f ca="1">IF(TaskTable[[#This Row],[WBS Level]]=3,TaskTable[[#This Row],[PHASE]],IF(TaskTable[[#This Row],[WBS Level]]&lt;3,"NONE",OFFSET(TaskTable[[#This Row],[SP-1]],-1,0)))</f>
        <v>Install and configure all Hardwares</v>
      </c>
      <c r="H77" s="26" t="str">
        <f ca="1">IF(TaskTable[[#This Row],[WBS Level]]=4,TaskTable[[#This Row],[PHASE]],IF(TaskTable[[#This Row],[WBS Level]]&lt;4,"NONE",OFFSET(TaskTable[[#This Row],[SP-2]],-1,0)))</f>
        <v>PDTs and Printer</v>
      </c>
      <c r="I77" s="26" t="str">
        <f ca="1">IF(TaskTable[[#This Row],[WBS Level]]=5,TaskTable[[#This Row],[PHASE]],IF(TaskTable[[#This Row],[WBS Level]]&lt;5,"NONE",OFFSET(TaskTable[[#This Row],[SP-3]],-1,0)))</f>
        <v>NONE</v>
      </c>
      <c r="J77" s="26" t="str">
        <f ca="1">IF(TaskTable[[#This Row],[WBS Level]]=6,TaskTable[[#This Row],[PHASE]],IF(TaskTable[[#This Row],[WBS Level]]&lt;6,"NONE",OFFSET(TaskTable[[#This Row],[SP-4]],-1,0)))</f>
        <v>NONE</v>
      </c>
      <c r="M77" s="20">
        <f>LEN(TaskTable[WBS])-LEN(SUBSTITUTE(TaskTable[WBS],".",""))+2</f>
        <v>4</v>
      </c>
      <c r="N77" s="22">
        <v>43962</v>
      </c>
      <c r="O77" s="22">
        <v>43966</v>
      </c>
      <c r="P77" s="20">
        <v>5</v>
      </c>
      <c r="Q77" s="20" t="s">
        <v>12</v>
      </c>
      <c r="R77" s="59">
        <f>IF(TaskTable[[#This Row],[STATUS]]="COMPLETE",1,"")</f>
        <v>1</v>
      </c>
      <c r="S77" s="66">
        <v>1</v>
      </c>
      <c r="T77" s="20">
        <v>5</v>
      </c>
    </row>
    <row r="78" spans="4:20" ht="28.8" x14ac:dyDescent="0.3">
      <c r="D78" s="24" t="s">
        <v>209</v>
      </c>
      <c r="E78" s="26" t="s">
        <v>127</v>
      </c>
      <c r="F78" s="62" t="str">
        <f ca="1">IF(TaskTable[[#This Row],[WBS Level]]=2,TaskTable[[#This Row],[PHASE]],OFFSET(TaskTable[[#This Row],[MAIN PHASE]],-1,0))</f>
        <v>Pre Live Checklist/Preparation</v>
      </c>
      <c r="G78" s="26" t="str">
        <f ca="1">IF(TaskTable[[#This Row],[WBS Level]]=3,TaskTable[[#This Row],[PHASE]],IF(TaskTable[[#This Row],[WBS Level]]&lt;3,"NONE",OFFSET(TaskTable[[#This Row],[SP-1]],-1,0)))</f>
        <v>Install and configure all Hardwares</v>
      </c>
      <c r="H78" s="26" t="str">
        <f ca="1">IF(TaskTable[[#This Row],[WBS Level]]=4,TaskTable[[#This Row],[PHASE]],IF(TaskTable[[#This Row],[WBS Level]]&lt;4,"NONE",OFFSET(TaskTable[[#This Row],[SP-2]],-1,0)))</f>
        <v>POS</v>
      </c>
      <c r="I78" s="26" t="str">
        <f ca="1">IF(TaskTable[[#This Row],[WBS Level]]=5,TaskTable[[#This Row],[PHASE]],IF(TaskTable[[#This Row],[WBS Level]]&lt;5,"NONE",OFFSET(TaskTable[[#This Row],[SP-3]],-1,0)))</f>
        <v>NONE</v>
      </c>
      <c r="J78" s="26" t="str">
        <f ca="1">IF(TaskTable[[#This Row],[WBS Level]]=6,TaskTable[[#This Row],[PHASE]],IF(TaskTable[[#This Row],[WBS Level]]&lt;6,"NONE",OFFSET(TaskTable[[#This Row],[SP-4]],-1,0)))</f>
        <v>NONE</v>
      </c>
      <c r="M78" s="20">
        <f>LEN(TaskTable[WBS])-LEN(SUBSTITUTE(TaskTable[WBS],".",""))+2</f>
        <v>4</v>
      </c>
      <c r="N78" s="22">
        <v>43962</v>
      </c>
      <c r="O78" s="22">
        <v>43966</v>
      </c>
      <c r="P78" s="20">
        <v>5</v>
      </c>
      <c r="Q78" s="20" t="s">
        <v>12</v>
      </c>
      <c r="R78" s="59">
        <f>IF(TaskTable[[#This Row],[STATUS]]="COMPLETE",1,"")</f>
        <v>1</v>
      </c>
      <c r="S78" s="66">
        <v>1</v>
      </c>
      <c r="T78" s="20">
        <v>5</v>
      </c>
    </row>
    <row r="79" spans="4:20" ht="43.2" x14ac:dyDescent="0.3">
      <c r="D79" s="24" t="s">
        <v>210</v>
      </c>
      <c r="E79" s="26" t="s">
        <v>128</v>
      </c>
      <c r="F79" s="62" t="str">
        <f ca="1">IF(TaskTable[[#This Row],[WBS Level]]=2,TaskTable[[#This Row],[PHASE]],OFFSET(TaskTable[[#This Row],[MAIN PHASE]],-1,0))</f>
        <v>Pre Live Checklist/Preparation</v>
      </c>
      <c r="G79" s="26" t="str">
        <f ca="1">IF(TaskTable[[#This Row],[WBS Level]]=3,TaskTable[[#This Row],[PHASE]],IF(TaskTable[[#This Row],[WBS Level]]&lt;3,"NONE",OFFSET(TaskTable[[#This Row],[SP-1]],-1,0)))</f>
        <v>Install and configure all Hardwares</v>
      </c>
      <c r="H79" s="26" t="str">
        <f ca="1">IF(TaskTable[[#This Row],[WBS Level]]=4,TaskTable[[#This Row],[PHASE]],IF(TaskTable[[#This Row],[WBS Level]]&lt;4,"NONE",OFFSET(TaskTable[[#This Row],[SP-2]],-1,0)))</f>
        <v>Wifi speed and availability in entire Stores</v>
      </c>
      <c r="I79" s="26" t="str">
        <f ca="1">IF(TaskTable[[#This Row],[WBS Level]]=5,TaskTable[[#This Row],[PHASE]],IF(TaskTable[[#This Row],[WBS Level]]&lt;5,"NONE",OFFSET(TaskTable[[#This Row],[SP-3]],-1,0)))</f>
        <v>NONE</v>
      </c>
      <c r="J79" s="26" t="str">
        <f ca="1">IF(TaskTable[[#This Row],[WBS Level]]=6,TaskTable[[#This Row],[PHASE]],IF(TaskTable[[#This Row],[WBS Level]]&lt;6,"NONE",OFFSET(TaskTable[[#This Row],[SP-4]],-1,0)))</f>
        <v>NONE</v>
      </c>
      <c r="M79" s="20">
        <f>LEN(TaskTable[WBS])-LEN(SUBSTITUTE(TaskTable[WBS],".",""))+2</f>
        <v>4</v>
      </c>
      <c r="N79" s="22">
        <v>43962</v>
      </c>
      <c r="O79" s="22">
        <v>43966</v>
      </c>
      <c r="P79" s="20">
        <v>5</v>
      </c>
      <c r="Q79" s="20" t="s">
        <v>12</v>
      </c>
      <c r="R79" s="59">
        <f>IF(TaskTable[[#This Row],[STATUS]]="COMPLETE",1,"")</f>
        <v>1</v>
      </c>
      <c r="S79" s="66">
        <v>1</v>
      </c>
      <c r="T79" s="20">
        <v>5</v>
      </c>
    </row>
    <row r="80" spans="4:20" ht="43.2" x14ac:dyDescent="0.3">
      <c r="D80" s="24" t="s">
        <v>211</v>
      </c>
      <c r="E80" s="26" t="s">
        <v>129</v>
      </c>
      <c r="F80" s="62" t="str">
        <f ca="1">IF(TaskTable[[#This Row],[WBS Level]]=2,TaskTable[[#This Row],[PHASE]],OFFSET(TaskTable[[#This Row],[MAIN PHASE]],-1,0))</f>
        <v>Pre Live Checklist/Preparation</v>
      </c>
      <c r="G80" s="26" t="str">
        <f ca="1">IF(TaskTable[[#This Row],[WBS Level]]=3,TaskTable[[#This Row],[PHASE]],IF(TaskTable[[#This Row],[WBS Level]]&lt;3,"NONE",OFFSET(TaskTable[[#This Row],[SP-1]],-1,0)))</f>
        <v>Install and configure all Hardwares</v>
      </c>
      <c r="H80" s="26" t="str">
        <f ca="1">IF(TaskTable[[#This Row],[WBS Level]]=4,TaskTable[[#This Row],[PHASE]],IF(TaskTable[[#This Row],[WBS Level]]&lt;4,"NONE",OFFSET(TaskTable[[#This Row],[SP-2]],-1,0)))</f>
        <v>Double check and stress test Middleware</v>
      </c>
      <c r="I80" s="26" t="str">
        <f ca="1">IF(TaskTable[[#This Row],[WBS Level]]=5,TaskTable[[#This Row],[PHASE]],IF(TaskTable[[#This Row],[WBS Level]]&lt;5,"NONE",OFFSET(TaskTable[[#This Row],[SP-3]],-1,0)))</f>
        <v>NONE</v>
      </c>
      <c r="J80" s="26" t="str">
        <f ca="1">IF(TaskTable[[#This Row],[WBS Level]]=6,TaskTable[[#This Row],[PHASE]],IF(TaskTable[[#This Row],[WBS Level]]&lt;6,"NONE",OFFSET(TaskTable[[#This Row],[SP-4]],-1,0)))</f>
        <v>NONE</v>
      </c>
      <c r="M80" s="20">
        <f>LEN(TaskTable[WBS])-LEN(SUBSTITUTE(TaskTable[WBS],".",""))+2</f>
        <v>4</v>
      </c>
      <c r="N80" s="22">
        <v>43962</v>
      </c>
      <c r="O80" s="22">
        <v>43966</v>
      </c>
      <c r="P80" s="20">
        <v>5</v>
      </c>
      <c r="Q80" s="20" t="s">
        <v>12</v>
      </c>
      <c r="R80" s="59">
        <f>IF(TaskTable[[#This Row],[STATUS]]="COMPLETE",1,"")</f>
        <v>1</v>
      </c>
      <c r="S80" s="66">
        <v>1</v>
      </c>
      <c r="T80" s="20">
        <v>5</v>
      </c>
    </row>
    <row r="81" spans="4:20" ht="28.8" x14ac:dyDescent="0.3">
      <c r="D81" s="24" t="s">
        <v>212</v>
      </c>
      <c r="E81" s="26" t="s">
        <v>130</v>
      </c>
      <c r="F81" s="62" t="str">
        <f ca="1">IF(TaskTable[[#This Row],[WBS Level]]=2,TaskTable[[#This Row],[PHASE]],OFFSET(TaskTable[[#This Row],[MAIN PHASE]],-1,0))</f>
        <v>Pre Live Checklist/Preparation</v>
      </c>
      <c r="G81" s="26" t="str">
        <f ca="1">IF(TaskTable[[#This Row],[WBS Level]]=3,TaskTable[[#This Row],[PHASE]],IF(TaskTable[[#This Row],[WBS Level]]&lt;3,"NONE",OFFSET(TaskTable[[#This Row],[SP-1]],-1,0)))</f>
        <v>Install and configure all Hardwares</v>
      </c>
      <c r="H81" s="26" t="str">
        <f ca="1">IF(TaskTable[[#This Row],[WBS Level]]=4,TaskTable[[#This Row],[PHASE]],IF(TaskTable[[#This Row],[WBS Level]]&lt;4,"NONE",OFFSET(TaskTable[[#This Row],[SP-2]],-1,0)))</f>
        <v>Checklist</v>
      </c>
      <c r="I81" s="26" t="str">
        <f ca="1">IF(TaskTable[[#This Row],[WBS Level]]=5,TaskTable[[#This Row],[PHASE]],IF(TaskTable[[#This Row],[WBS Level]]&lt;5,"NONE",OFFSET(TaskTable[[#This Row],[SP-3]],-1,0)))</f>
        <v>NONE</v>
      </c>
      <c r="J81" s="26" t="str">
        <f ca="1">IF(TaskTable[[#This Row],[WBS Level]]=6,TaskTable[[#This Row],[PHASE]],IF(TaskTable[[#This Row],[WBS Level]]&lt;6,"NONE",OFFSET(TaskTable[[#This Row],[SP-4]],-1,0)))</f>
        <v>NONE</v>
      </c>
      <c r="M81" s="20">
        <f>LEN(TaskTable[WBS])-LEN(SUBSTITUTE(TaskTable[WBS],".",""))+2</f>
        <v>4</v>
      </c>
      <c r="N81" s="22">
        <v>43962</v>
      </c>
      <c r="O81" s="22">
        <v>43966</v>
      </c>
      <c r="P81" s="20">
        <v>5</v>
      </c>
      <c r="Q81" s="20" t="s">
        <v>12</v>
      </c>
      <c r="R81" s="59">
        <f>IF(TaskTable[[#This Row],[STATUS]]="COMPLETE",1,"")</f>
        <v>1</v>
      </c>
      <c r="S81" s="66">
        <v>1</v>
      </c>
      <c r="T81" s="20">
        <v>5</v>
      </c>
    </row>
    <row r="82" spans="4:20" ht="28.8" x14ac:dyDescent="0.3">
      <c r="D82" s="24" t="s">
        <v>213</v>
      </c>
      <c r="E82" s="26" t="s">
        <v>131</v>
      </c>
      <c r="F82" s="62" t="str">
        <f ca="1">IF(TaskTable[[#This Row],[WBS Level]]=2,TaskTable[[#This Row],[PHASE]],OFFSET(TaskTable[[#This Row],[MAIN PHASE]],-1,0))</f>
        <v>Pre Live Checklist/Preparation</v>
      </c>
      <c r="G82" s="26" t="str">
        <f ca="1">IF(TaskTable[[#This Row],[WBS Level]]=3,TaskTable[[#This Row],[PHASE]],IF(TaskTable[[#This Row],[WBS Level]]&lt;3,"NONE",OFFSET(TaskTable[[#This Row],[SP-1]],-1,0)))</f>
        <v>Install and configure all Hardwares</v>
      </c>
      <c r="H82" s="26" t="str">
        <f ca="1">IF(TaskTable[[#This Row],[WBS Level]]=4,TaskTable[[#This Row],[PHASE]],IF(TaskTable[[#This Row],[WBS Level]]&lt;4,"NONE",OFFSET(TaskTable[[#This Row],[SP-2]],-1,0)))</f>
        <v>Do we have Pickers?</v>
      </c>
      <c r="I82" s="26" t="str">
        <f ca="1">IF(TaskTable[[#This Row],[WBS Level]]=5,TaskTable[[#This Row],[PHASE]],IF(TaskTable[[#This Row],[WBS Level]]&lt;5,"NONE",OFFSET(TaskTable[[#This Row],[SP-3]],-1,0)))</f>
        <v>NONE</v>
      </c>
      <c r="J82" s="26" t="str">
        <f ca="1">IF(TaskTable[[#This Row],[WBS Level]]=6,TaskTable[[#This Row],[PHASE]],IF(TaskTable[[#This Row],[WBS Level]]&lt;6,"NONE",OFFSET(TaskTable[[#This Row],[SP-4]],-1,0)))</f>
        <v>NONE</v>
      </c>
      <c r="M82" s="20">
        <f>LEN(TaskTable[WBS])-LEN(SUBSTITUTE(TaskTable[WBS],".",""))+2</f>
        <v>4</v>
      </c>
      <c r="N82" s="22">
        <v>43962</v>
      </c>
      <c r="O82" s="22">
        <v>43966</v>
      </c>
      <c r="P82" s="20">
        <v>5</v>
      </c>
      <c r="Q82" s="20"/>
      <c r="R82" s="59" t="str">
        <f>IF(TaskTable[[#This Row],[STATUS]]="COMPLETE",1,"")</f>
        <v/>
      </c>
      <c r="S82" s="66">
        <v>1</v>
      </c>
      <c r="T82" s="20">
        <v>5</v>
      </c>
    </row>
    <row r="83" spans="4:20" ht="43.2" x14ac:dyDescent="0.3">
      <c r="D83" s="24" t="s">
        <v>214</v>
      </c>
      <c r="E83" s="26" t="s">
        <v>132</v>
      </c>
      <c r="F83" s="62" t="str">
        <f ca="1">IF(TaskTable[[#This Row],[WBS Level]]=2,TaskTable[[#This Row],[PHASE]],OFFSET(TaskTable[[#This Row],[MAIN PHASE]],-1,0))</f>
        <v>Pre Live Checklist/Preparation</v>
      </c>
      <c r="G83" s="26" t="str">
        <f ca="1">IF(TaskTable[[#This Row],[WBS Level]]=3,TaskTable[[#This Row],[PHASE]],IF(TaskTable[[#This Row],[WBS Level]]&lt;3,"NONE",OFFSET(TaskTable[[#This Row],[SP-1]],-1,0)))</f>
        <v>Install and configure all Hardwares</v>
      </c>
      <c r="H83" s="26" t="str">
        <f ca="1">IF(TaskTable[[#This Row],[WBS Level]]=4,TaskTable[[#This Row],[PHASE]],IF(TaskTable[[#This Row],[WBS Level]]&lt;4,"NONE",OFFSET(TaskTable[[#This Row],[SP-2]],-1,0)))</f>
        <v>Do we have central contact or lines?</v>
      </c>
      <c r="I83" s="26" t="str">
        <f ca="1">IF(TaskTable[[#This Row],[WBS Level]]=5,TaskTable[[#This Row],[PHASE]],IF(TaskTable[[#This Row],[WBS Level]]&lt;5,"NONE",OFFSET(TaskTable[[#This Row],[SP-3]],-1,0)))</f>
        <v>NONE</v>
      </c>
      <c r="J83" s="26" t="str">
        <f ca="1">IF(TaskTable[[#This Row],[WBS Level]]=6,TaskTable[[#This Row],[PHASE]],IF(TaskTable[[#This Row],[WBS Level]]&lt;6,"NONE",OFFSET(TaskTable[[#This Row],[SP-4]],-1,0)))</f>
        <v>NONE</v>
      </c>
      <c r="M83" s="20">
        <f>LEN(TaskTable[WBS])-LEN(SUBSTITUTE(TaskTable[WBS],".",""))+2</f>
        <v>4</v>
      </c>
      <c r="N83" s="22">
        <v>43962</v>
      </c>
      <c r="O83" s="22">
        <v>43966</v>
      </c>
      <c r="P83" s="20">
        <v>5</v>
      </c>
      <c r="Q83" s="20"/>
      <c r="R83" s="59" t="str">
        <f>IF(TaskTable[[#This Row],[STATUS]]="COMPLETE",1,"")</f>
        <v/>
      </c>
      <c r="S83" s="66">
        <v>1</v>
      </c>
      <c r="T83" s="20">
        <v>5</v>
      </c>
    </row>
    <row r="84" spans="4:20" ht="28.8" x14ac:dyDescent="0.3">
      <c r="D84" s="24" t="s">
        <v>215</v>
      </c>
      <c r="E84" s="26" t="s">
        <v>133</v>
      </c>
      <c r="F84" s="62" t="str">
        <f ca="1">IF(TaskTable[[#This Row],[WBS Level]]=2,TaskTable[[#This Row],[PHASE]],OFFSET(TaskTable[[#This Row],[MAIN PHASE]],-1,0))</f>
        <v>Pre Live Checklist/Preparation</v>
      </c>
      <c r="G84" s="26" t="str">
        <f ca="1">IF(TaskTable[[#This Row],[WBS Level]]=3,TaskTable[[#This Row],[PHASE]],IF(TaskTable[[#This Row],[WBS Level]]&lt;3,"NONE",OFFSET(TaskTable[[#This Row],[SP-1]],-1,0)))</f>
        <v>Install and configure all Hardwares</v>
      </c>
      <c r="H84" s="26" t="str">
        <f ca="1">IF(TaskTable[[#This Row],[WBS Level]]=4,TaskTable[[#This Row],[PHASE]],IF(TaskTable[[#This Row],[WBS Level]]&lt;4,"NONE",OFFSET(TaskTable[[#This Row],[SP-2]],-1,0)))</f>
        <v>Do we have Checker?</v>
      </c>
      <c r="I84" s="26" t="str">
        <f ca="1">IF(TaskTable[[#This Row],[WBS Level]]=5,TaskTable[[#This Row],[PHASE]],IF(TaskTable[[#This Row],[WBS Level]]&lt;5,"NONE",OFFSET(TaskTable[[#This Row],[SP-3]],-1,0)))</f>
        <v>NONE</v>
      </c>
      <c r="J84" s="26" t="str">
        <f ca="1">IF(TaskTable[[#This Row],[WBS Level]]=6,TaskTable[[#This Row],[PHASE]],IF(TaskTable[[#This Row],[WBS Level]]&lt;6,"NONE",OFFSET(TaskTable[[#This Row],[SP-4]],-1,0)))</f>
        <v>NONE</v>
      </c>
      <c r="M84" s="20">
        <f>LEN(TaskTable[WBS])-LEN(SUBSTITUTE(TaskTable[WBS],".",""))+2</f>
        <v>4</v>
      </c>
      <c r="N84" s="22">
        <v>43962</v>
      </c>
      <c r="O84" s="22">
        <v>43966</v>
      </c>
      <c r="P84" s="20">
        <v>5</v>
      </c>
      <c r="Q84" s="20"/>
      <c r="R84" s="59" t="str">
        <f>IF(TaskTable[[#This Row],[STATUS]]="COMPLETE",1,"")</f>
        <v/>
      </c>
      <c r="S84" s="66">
        <v>1</v>
      </c>
      <c r="T84" s="20">
        <v>5</v>
      </c>
    </row>
    <row r="85" spans="4:20" ht="43.2" x14ac:dyDescent="0.3">
      <c r="D85" s="24" t="s">
        <v>216</v>
      </c>
      <c r="E85" s="26" t="s">
        <v>134</v>
      </c>
      <c r="F85" s="62" t="str">
        <f ca="1">IF(TaskTable[[#This Row],[WBS Level]]=2,TaskTable[[#This Row],[PHASE]],OFFSET(TaskTable[[#This Row],[MAIN PHASE]],-1,0))</f>
        <v>Pre Live Checklist/Preparation</v>
      </c>
      <c r="G85" s="26" t="str">
        <f ca="1">IF(TaskTable[[#This Row],[WBS Level]]=3,TaskTable[[#This Row],[PHASE]],IF(TaskTable[[#This Row],[WBS Level]]&lt;3,"NONE",OFFSET(TaskTable[[#This Row],[SP-1]],-1,0)))</f>
        <v>Install and configure all Hardwares</v>
      </c>
      <c r="H85" s="26" t="str">
        <f ca="1">IF(TaskTable[[#This Row],[WBS Level]]=4,TaskTable[[#This Row],[PHASE]],IF(TaskTable[[#This Row],[WBS Level]]&lt;4,"NONE",OFFSET(TaskTable[[#This Row],[SP-2]],-1,0)))</f>
        <v>Do we have Delivery vehicle and driver?</v>
      </c>
      <c r="I85" s="26" t="str">
        <f ca="1">IF(TaskTable[[#This Row],[WBS Level]]=5,TaskTable[[#This Row],[PHASE]],IF(TaskTable[[#This Row],[WBS Level]]&lt;5,"NONE",OFFSET(TaskTable[[#This Row],[SP-3]],-1,0)))</f>
        <v>NONE</v>
      </c>
      <c r="J85" s="26" t="str">
        <f ca="1">IF(TaskTable[[#This Row],[WBS Level]]=6,TaskTable[[#This Row],[PHASE]],IF(TaskTable[[#This Row],[WBS Level]]&lt;6,"NONE",OFFSET(TaskTable[[#This Row],[SP-4]],-1,0)))</f>
        <v>NONE</v>
      </c>
      <c r="M85" s="20">
        <f>LEN(TaskTable[WBS])-LEN(SUBSTITUTE(TaskTable[WBS],".",""))+2</f>
        <v>4</v>
      </c>
      <c r="N85" s="22">
        <v>43962</v>
      </c>
      <c r="O85" s="22">
        <v>43966</v>
      </c>
      <c r="P85" s="20">
        <v>5</v>
      </c>
      <c r="Q85" s="20"/>
      <c r="R85" s="59" t="str">
        <f>IF(TaskTable[[#This Row],[STATUS]]="COMPLETE",1,"")</f>
        <v/>
      </c>
      <c r="S85" s="66">
        <v>1</v>
      </c>
      <c r="T85" s="20">
        <v>5</v>
      </c>
    </row>
    <row r="86" spans="4:20" ht="57.6" x14ac:dyDescent="0.3">
      <c r="D86" s="24" t="s">
        <v>217</v>
      </c>
      <c r="E86" s="26" t="s">
        <v>135</v>
      </c>
      <c r="F86" s="62" t="str">
        <f ca="1">IF(TaskTable[[#This Row],[WBS Level]]=2,TaskTable[[#This Row],[PHASE]],OFFSET(TaskTable[[#This Row],[MAIN PHASE]],-1,0))</f>
        <v>Pre Live Checklist/Preparation</v>
      </c>
      <c r="G86" s="26" t="str">
        <f ca="1">IF(TaskTable[[#This Row],[WBS Level]]=3,TaskTable[[#This Row],[PHASE]],IF(TaskTable[[#This Row],[WBS Level]]&lt;3,"NONE",OFFSET(TaskTable[[#This Row],[SP-1]],-1,0)))</f>
        <v>Install and configure all Hardwares</v>
      </c>
      <c r="H86" s="26" t="str">
        <f ca="1">IF(TaskTable[[#This Row],[WBS Level]]=4,TaskTable[[#This Row],[PHASE]],IF(TaskTable[[#This Row],[WBS Level]]&lt;4,"NONE",OFFSET(TaskTable[[#This Row],[SP-2]],-1,0)))</f>
        <v>Do we have dedicated lanes/section for Pickup?</v>
      </c>
      <c r="I86" s="26" t="str">
        <f ca="1">IF(TaskTable[[#This Row],[WBS Level]]=5,TaskTable[[#This Row],[PHASE]],IF(TaskTable[[#This Row],[WBS Level]]&lt;5,"NONE",OFFSET(TaskTable[[#This Row],[SP-3]],-1,0)))</f>
        <v>NONE</v>
      </c>
      <c r="J86" s="26" t="str">
        <f ca="1">IF(TaskTable[[#This Row],[WBS Level]]=6,TaskTable[[#This Row],[PHASE]],IF(TaskTable[[#This Row],[WBS Level]]&lt;6,"NONE",OFFSET(TaskTable[[#This Row],[SP-4]],-1,0)))</f>
        <v>NONE</v>
      </c>
      <c r="M86" s="20">
        <f>LEN(TaskTable[WBS])-LEN(SUBSTITUTE(TaskTable[WBS],".",""))+2</f>
        <v>4</v>
      </c>
      <c r="N86" s="22">
        <v>43962</v>
      </c>
      <c r="O86" s="22">
        <v>43966</v>
      </c>
      <c r="P86" s="20">
        <v>5</v>
      </c>
      <c r="Q86" s="20"/>
      <c r="R86" s="59" t="str">
        <f>IF(TaskTable[[#This Row],[STATUS]]="COMPLETE",1,"")</f>
        <v/>
      </c>
      <c r="S86" s="66">
        <v>1</v>
      </c>
      <c r="T86" s="20">
        <v>5</v>
      </c>
    </row>
    <row r="87" spans="4:20" ht="72" x14ac:dyDescent="0.3">
      <c r="D87" s="24" t="s">
        <v>218</v>
      </c>
      <c r="E87" s="26" t="s">
        <v>136</v>
      </c>
      <c r="F87" s="62" t="str">
        <f ca="1">IF(TaskTable[[#This Row],[WBS Level]]=2,TaskTable[[#This Row],[PHASE]],OFFSET(TaskTable[[#This Row],[MAIN PHASE]],-1,0))</f>
        <v>Pre Live Checklist/Preparation</v>
      </c>
      <c r="G87" s="26" t="str">
        <f ca="1">IF(TaskTable[[#This Row],[WBS Level]]=3,TaskTable[[#This Row],[PHASE]],IF(TaskTable[[#This Row],[WBS Level]]&lt;3,"NONE",OFFSET(TaskTable[[#This Row],[SP-1]],-1,0)))</f>
        <v>Install and configure all Hardwares</v>
      </c>
      <c r="H87" s="26" t="str">
        <f ca="1">IF(TaskTable[[#This Row],[WBS Level]]=4,TaskTable[[#This Row],[PHASE]],IF(TaskTable[[#This Row],[WBS Level]]&lt;4,"NONE",OFFSET(TaskTable[[#This Row],[SP-2]],-1,0)))</f>
        <v>Do we have dedicated resource for Money remittances?</v>
      </c>
      <c r="I87" s="26" t="str">
        <f ca="1">IF(TaskTable[[#This Row],[WBS Level]]=5,TaskTable[[#This Row],[PHASE]],IF(TaskTable[[#This Row],[WBS Level]]&lt;5,"NONE",OFFSET(TaskTable[[#This Row],[SP-3]],-1,0)))</f>
        <v>NONE</v>
      </c>
      <c r="J87" s="26" t="str">
        <f ca="1">IF(TaskTable[[#This Row],[WBS Level]]=6,TaskTable[[#This Row],[PHASE]],IF(TaskTable[[#This Row],[WBS Level]]&lt;6,"NONE",OFFSET(TaskTable[[#This Row],[SP-4]],-1,0)))</f>
        <v>NONE</v>
      </c>
      <c r="M87" s="20">
        <f>LEN(TaskTable[WBS])-LEN(SUBSTITUTE(TaskTable[WBS],".",""))+2</f>
        <v>4</v>
      </c>
      <c r="N87" s="22">
        <v>43962</v>
      </c>
      <c r="O87" s="22">
        <v>43966</v>
      </c>
      <c r="P87" s="20">
        <v>5</v>
      </c>
      <c r="Q87" s="20"/>
      <c r="R87" s="59" t="str">
        <f>IF(TaskTable[[#This Row],[STATUS]]="COMPLETE",1,"")</f>
        <v/>
      </c>
      <c r="S87" s="66">
        <v>1</v>
      </c>
      <c r="T87" s="20">
        <v>5</v>
      </c>
    </row>
    <row r="88" spans="4:20" x14ac:dyDescent="0.3">
      <c r="D88" s="24">
        <v>11</v>
      </c>
      <c r="E88" s="26" t="s">
        <v>137</v>
      </c>
      <c r="F88" s="62" t="str">
        <f ca="1">IF(TaskTable[[#This Row],[WBS Level]]=2,TaskTable[[#This Row],[PHASE]],OFFSET(TaskTable[[#This Row],[MAIN PHASE]],-1,0))</f>
        <v>Dry Run</v>
      </c>
      <c r="G88" s="26" t="str">
        <f ca="1">IF(TaskTable[[#This Row],[WBS Level]]=3,TaskTable[[#This Row],[PHASE]],IF(TaskTable[[#This Row],[WBS Level]]&lt;3,"NONE",OFFSET(TaskTable[[#This Row],[SP-1]],-1,0)))</f>
        <v>NONE</v>
      </c>
      <c r="H88" s="26" t="str">
        <f ca="1">IF(TaskTable[[#This Row],[WBS Level]]=4,TaskTable[[#This Row],[PHASE]],IF(TaskTable[[#This Row],[WBS Level]]&lt;4,"NONE",OFFSET(TaskTable[[#This Row],[SP-2]],-1,0)))</f>
        <v>NONE</v>
      </c>
      <c r="I88" s="26" t="str">
        <f ca="1">IF(TaskTable[[#This Row],[WBS Level]]=5,TaskTable[[#This Row],[PHASE]],IF(TaskTable[[#This Row],[WBS Level]]&lt;5,"NONE",OFFSET(TaskTable[[#This Row],[SP-3]],-1,0)))</f>
        <v>NONE</v>
      </c>
      <c r="J88" s="26" t="str">
        <f ca="1">IF(TaskTable[[#This Row],[WBS Level]]=6,TaskTable[[#This Row],[PHASE]],IF(TaskTable[[#This Row],[WBS Level]]&lt;6,"NONE",OFFSET(TaskTable[[#This Row],[SP-4]],-1,0)))</f>
        <v>NONE</v>
      </c>
      <c r="K88" s="20" t="s">
        <v>138</v>
      </c>
      <c r="M88" s="20">
        <f>LEN(TaskTable[WBS])-LEN(SUBSTITUTE(TaskTable[WBS],".",""))+2</f>
        <v>2</v>
      </c>
      <c r="N88" s="22">
        <v>43962</v>
      </c>
      <c r="O88" s="22">
        <v>43977</v>
      </c>
      <c r="P88" s="20">
        <v>12</v>
      </c>
      <c r="Q88" s="20" t="s">
        <v>12</v>
      </c>
      <c r="R88" s="59">
        <f>IF(TaskTable[[#This Row],[STATUS]]="COMPLETE",1,"")</f>
        <v>1</v>
      </c>
      <c r="S88" s="66">
        <v>1</v>
      </c>
      <c r="T88" s="20">
        <v>12</v>
      </c>
    </row>
    <row r="89" spans="4:20" ht="28.8" x14ac:dyDescent="0.3">
      <c r="D89" s="25">
        <v>11.1</v>
      </c>
      <c r="E89" s="26" t="s">
        <v>139</v>
      </c>
      <c r="F89" s="62" t="str">
        <f ca="1">IF(TaskTable[[#This Row],[WBS Level]]=2,TaskTable[[#This Row],[PHASE]],OFFSET(TaskTable[[#This Row],[MAIN PHASE]],-1,0))</f>
        <v>Dry Run</v>
      </c>
      <c r="G89" s="26" t="str">
        <f ca="1">IF(TaskTable[[#This Row],[WBS Level]]=3,TaskTable[[#This Row],[PHASE]],IF(TaskTable[[#This Row],[WBS Level]]&lt;3,"NONE",OFFSET(TaskTable[[#This Row],[SP-1]],-1,0)))</f>
        <v>Setup of Hardware and Connectivity</v>
      </c>
      <c r="H89" s="26" t="str">
        <f ca="1">IF(TaskTable[[#This Row],[WBS Level]]=4,TaskTable[[#This Row],[PHASE]],IF(TaskTable[[#This Row],[WBS Level]]&lt;4,"NONE",OFFSET(TaskTable[[#This Row],[SP-2]],-1,0)))</f>
        <v>NONE</v>
      </c>
      <c r="I89" s="26" t="str">
        <f ca="1">IF(TaskTable[[#This Row],[WBS Level]]=5,TaskTable[[#This Row],[PHASE]],IF(TaskTable[[#This Row],[WBS Level]]&lt;5,"NONE",OFFSET(TaskTable[[#This Row],[SP-3]],-1,0)))</f>
        <v>NONE</v>
      </c>
      <c r="J89" s="26" t="str">
        <f ca="1">IF(TaskTable[[#This Row],[WBS Level]]=6,TaskTable[[#This Row],[PHASE]],IF(TaskTable[[#This Row],[WBS Level]]&lt;6,"NONE",OFFSET(TaskTable[[#This Row],[SP-4]],-1,0)))</f>
        <v>NONE</v>
      </c>
      <c r="M89" s="20">
        <f>LEN(TaskTable[WBS])-LEN(SUBSTITUTE(TaskTable[WBS],".",""))+2</f>
        <v>3</v>
      </c>
      <c r="N89" s="22">
        <v>43962</v>
      </c>
      <c r="O89" s="22">
        <v>43966</v>
      </c>
      <c r="P89" s="20">
        <v>5</v>
      </c>
      <c r="Q89" s="20" t="s">
        <v>12</v>
      </c>
      <c r="R89" s="59">
        <f>IF(TaskTable[[#This Row],[STATUS]]="COMPLETE",1,"")</f>
        <v>1</v>
      </c>
      <c r="S89" s="66">
        <v>1</v>
      </c>
      <c r="T89" s="20">
        <v>5</v>
      </c>
    </row>
    <row r="90" spans="4:20" ht="28.8" x14ac:dyDescent="0.3">
      <c r="D90" s="24" t="s">
        <v>219</v>
      </c>
      <c r="E90" s="26" t="s">
        <v>140</v>
      </c>
      <c r="F90" s="62" t="str">
        <f ca="1">IF(TaskTable[[#This Row],[WBS Level]]=2,TaskTable[[#This Row],[PHASE]],OFFSET(TaskTable[[#This Row],[MAIN PHASE]],-1,0))</f>
        <v>Dry Run</v>
      </c>
      <c r="G90" s="26" t="str">
        <f ca="1">IF(TaskTable[[#This Row],[WBS Level]]=3,TaskTable[[#This Row],[PHASE]],IF(TaskTable[[#This Row],[WBS Level]]&lt;3,"NONE",OFFSET(TaskTable[[#This Row],[SP-1]],-1,0)))</f>
        <v>Setup of Hardware and Connectivity</v>
      </c>
      <c r="H90" s="26" t="str">
        <f ca="1">IF(TaskTable[[#This Row],[WBS Level]]=4,TaskTable[[#This Row],[PHASE]],IF(TaskTable[[#This Row],[WBS Level]]&lt;4,"NONE",OFFSET(TaskTable[[#This Row],[SP-2]],-1,0)))</f>
        <v>Setup of Barter Suki Integration</v>
      </c>
      <c r="I90" s="26" t="str">
        <f ca="1">IF(TaskTable[[#This Row],[WBS Level]]=5,TaskTable[[#This Row],[PHASE]],IF(TaskTable[[#This Row],[WBS Level]]&lt;5,"NONE",OFFSET(TaskTable[[#This Row],[SP-3]],-1,0)))</f>
        <v>NONE</v>
      </c>
      <c r="J90" s="26" t="str">
        <f ca="1">IF(TaskTable[[#This Row],[WBS Level]]=6,TaskTable[[#This Row],[PHASE]],IF(TaskTable[[#This Row],[WBS Level]]&lt;6,"NONE",OFFSET(TaskTable[[#This Row],[SP-4]],-1,0)))</f>
        <v>NONE</v>
      </c>
      <c r="M90" s="20">
        <f>LEN(TaskTable[WBS])-LEN(SUBSTITUTE(TaskTable[WBS],".",""))+2</f>
        <v>4</v>
      </c>
      <c r="N90" s="22">
        <v>43962</v>
      </c>
      <c r="O90" s="22">
        <v>43966</v>
      </c>
      <c r="P90" s="20">
        <v>5</v>
      </c>
      <c r="Q90" s="20" t="s">
        <v>12</v>
      </c>
      <c r="R90" s="59">
        <f>IF(TaskTable[[#This Row],[STATUS]]="COMPLETE",1,"")</f>
        <v>1</v>
      </c>
      <c r="S90" s="66">
        <v>1</v>
      </c>
      <c r="T90" s="20">
        <v>5</v>
      </c>
    </row>
    <row r="91" spans="4:20" ht="43.2" x14ac:dyDescent="0.3">
      <c r="D91" s="24" t="s">
        <v>220</v>
      </c>
      <c r="E91" s="26" t="s">
        <v>141</v>
      </c>
      <c r="F91" s="62" t="str">
        <f ca="1">IF(TaskTable[[#This Row],[WBS Level]]=2,TaskTable[[#This Row],[PHASE]],OFFSET(TaskTable[[#This Row],[MAIN PHASE]],-1,0))</f>
        <v>Dry Run</v>
      </c>
      <c r="G91" s="26" t="str">
        <f ca="1">IF(TaskTable[[#This Row],[WBS Level]]=3,TaskTable[[#This Row],[PHASE]],IF(TaskTable[[#This Row],[WBS Level]]&lt;3,"NONE",OFFSET(TaskTable[[#This Row],[SP-1]],-1,0)))</f>
        <v>Setup of Hardware and Connectivity</v>
      </c>
      <c r="H91" s="26" t="str">
        <f ca="1">IF(TaskTable[[#This Row],[WBS Level]]=4,TaskTable[[#This Row],[PHASE]],IF(TaskTable[[#This Row],[WBS Level]]&lt;4,"NONE",OFFSET(TaskTable[[#This Row],[SP-2]],-1,0)))</f>
        <v>Setup Picker-Checker-Driver Apps</v>
      </c>
      <c r="I91" s="26" t="str">
        <f ca="1">IF(TaskTable[[#This Row],[WBS Level]]=5,TaskTable[[#This Row],[PHASE]],IF(TaskTable[[#This Row],[WBS Level]]&lt;5,"NONE",OFFSET(TaskTable[[#This Row],[SP-3]],-1,0)))</f>
        <v>NONE</v>
      </c>
      <c r="J91" s="26" t="str">
        <f ca="1">IF(TaskTable[[#This Row],[WBS Level]]=6,TaskTable[[#This Row],[PHASE]],IF(TaskTable[[#This Row],[WBS Level]]&lt;6,"NONE",OFFSET(TaskTable[[#This Row],[SP-4]],-1,0)))</f>
        <v>NONE</v>
      </c>
      <c r="M91" s="20">
        <f>LEN(TaskTable[WBS])-LEN(SUBSTITUTE(TaskTable[WBS],".",""))+2</f>
        <v>4</v>
      </c>
      <c r="N91" s="22">
        <v>43962</v>
      </c>
      <c r="O91" s="22">
        <v>43966</v>
      </c>
      <c r="P91" s="20">
        <v>5</v>
      </c>
      <c r="Q91" s="20" t="s">
        <v>12</v>
      </c>
      <c r="R91" s="59">
        <f>IF(TaskTable[[#This Row],[STATUS]]="COMPLETE",1,"")</f>
        <v>1</v>
      </c>
      <c r="S91" s="66">
        <v>1</v>
      </c>
      <c r="T91" s="20">
        <v>5</v>
      </c>
    </row>
    <row r="92" spans="4:20" ht="57.6" x14ac:dyDescent="0.3">
      <c r="D92" s="24" t="s">
        <v>221</v>
      </c>
      <c r="E92" s="26" t="s">
        <v>142</v>
      </c>
      <c r="F92" s="62" t="str">
        <f ca="1">IF(TaskTable[[#This Row],[WBS Level]]=2,TaskTable[[#This Row],[PHASE]],OFFSET(TaskTable[[#This Row],[MAIN PHASE]],-1,0))</f>
        <v>Dry Run</v>
      </c>
      <c r="G92" s="26" t="str">
        <f ca="1">IF(TaskTable[[#This Row],[WBS Level]]=3,TaskTable[[#This Row],[PHASE]],IF(TaskTable[[#This Row],[WBS Level]]&lt;3,"NONE",OFFSET(TaskTable[[#This Row],[SP-1]],-1,0)))</f>
        <v>Setup of Hardware and Connectivity</v>
      </c>
      <c r="H92" s="26" t="str">
        <f ca="1">IF(TaskTable[[#This Row],[WBS Level]]=4,TaskTable[[#This Row],[PHASE]],IF(TaskTable[[#This Row],[WBS Level]]&lt;4,"NONE",OFFSET(TaskTable[[#This Row],[SP-2]],-1,0)))</f>
        <v>Onboard assigned resources for Picker-Checker-Driver</v>
      </c>
      <c r="I92" s="26" t="str">
        <f ca="1">IF(TaskTable[[#This Row],[WBS Level]]=5,TaskTable[[#This Row],[PHASE]],IF(TaskTable[[#This Row],[WBS Level]]&lt;5,"NONE",OFFSET(TaskTable[[#This Row],[SP-3]],-1,0)))</f>
        <v>NONE</v>
      </c>
      <c r="J92" s="26" t="str">
        <f ca="1">IF(TaskTable[[#This Row],[WBS Level]]=6,TaskTable[[#This Row],[PHASE]],IF(TaskTable[[#This Row],[WBS Level]]&lt;6,"NONE",OFFSET(TaskTable[[#This Row],[SP-4]],-1,0)))</f>
        <v>NONE</v>
      </c>
      <c r="M92" s="20">
        <f>LEN(TaskTable[WBS])-LEN(SUBSTITUTE(TaskTable[WBS],".",""))+2</f>
        <v>4</v>
      </c>
      <c r="N92" s="22">
        <v>43962</v>
      </c>
      <c r="O92" s="22">
        <v>43966</v>
      </c>
      <c r="P92" s="20">
        <v>5</v>
      </c>
      <c r="Q92" s="20" t="s">
        <v>12</v>
      </c>
      <c r="R92" s="59">
        <f>IF(TaskTable[[#This Row],[STATUS]]="COMPLETE",1,"")</f>
        <v>1</v>
      </c>
      <c r="S92" s="66">
        <v>1</v>
      </c>
      <c r="T92" s="20">
        <v>5</v>
      </c>
    </row>
    <row r="93" spans="4:20" ht="28.8" x14ac:dyDescent="0.3">
      <c r="D93" s="24" t="s">
        <v>222</v>
      </c>
      <c r="E93" s="26" t="s">
        <v>143</v>
      </c>
      <c r="F93" s="62" t="str">
        <f ca="1">IF(TaskTable[[#This Row],[WBS Level]]=2,TaskTable[[#This Row],[PHASE]],OFFSET(TaskTable[[#This Row],[MAIN PHASE]],-1,0))</f>
        <v>Dry Run</v>
      </c>
      <c r="G93" s="26" t="str">
        <f ca="1">IF(TaskTable[[#This Row],[WBS Level]]=3,TaskTable[[#This Row],[PHASE]],IF(TaskTable[[#This Row],[WBS Level]]&lt;3,"NONE",OFFSET(TaskTable[[#This Row],[SP-1]],-1,0)))</f>
        <v>Setup of Hardware and Connectivity</v>
      </c>
      <c r="H93" s="26" t="str">
        <f ca="1">IF(TaskTable[[#This Row],[WBS Level]]=4,TaskTable[[#This Row],[PHASE]],IF(TaskTable[[#This Row],[WBS Level]]&lt;4,"NONE",OFFSET(TaskTable[[#This Row],[SP-2]],-1,0)))</f>
        <v>Goods Fill Rate</v>
      </c>
      <c r="I93" s="26" t="str">
        <f ca="1">IF(TaskTable[[#This Row],[WBS Level]]=5,TaskTable[[#This Row],[PHASE]],IF(TaskTable[[#This Row],[WBS Level]]&lt;5,"NONE",OFFSET(TaskTable[[#This Row],[SP-3]],-1,0)))</f>
        <v>NONE</v>
      </c>
      <c r="J93" s="26" t="str">
        <f ca="1">IF(TaskTable[[#This Row],[WBS Level]]=6,TaskTable[[#This Row],[PHASE]],IF(TaskTable[[#This Row],[WBS Level]]&lt;6,"NONE",OFFSET(TaskTable[[#This Row],[SP-4]],-1,0)))</f>
        <v>NONE</v>
      </c>
      <c r="M93" s="20">
        <f>LEN(TaskTable[WBS])-LEN(SUBSTITUTE(TaskTable[WBS],".",""))+2</f>
        <v>4</v>
      </c>
      <c r="N93" s="22">
        <v>43962</v>
      </c>
      <c r="O93" s="22">
        <v>43966</v>
      </c>
      <c r="P93" s="20">
        <v>5</v>
      </c>
      <c r="Q93" s="20" t="s">
        <v>12</v>
      </c>
      <c r="R93" s="59">
        <f>IF(TaskTable[[#This Row],[STATUS]]="COMPLETE",1,"")</f>
        <v>1</v>
      </c>
      <c r="S93" s="66">
        <v>1</v>
      </c>
      <c r="T93" s="20">
        <v>5</v>
      </c>
    </row>
    <row r="94" spans="4:20" ht="28.8" x14ac:dyDescent="0.3">
      <c r="D94" s="24" t="s">
        <v>223</v>
      </c>
      <c r="E94" s="26" t="s">
        <v>144</v>
      </c>
      <c r="F94" s="62" t="str">
        <f ca="1">IF(TaskTable[[#This Row],[WBS Level]]=2,TaskTable[[#This Row],[PHASE]],OFFSET(TaskTable[[#This Row],[MAIN PHASE]],-1,0))</f>
        <v>Dry Run</v>
      </c>
      <c r="G94" s="26" t="str">
        <f ca="1">IF(TaskTable[[#This Row],[WBS Level]]=3,TaskTable[[#This Row],[PHASE]],IF(TaskTable[[#This Row],[WBS Level]]&lt;3,"NONE",OFFSET(TaskTable[[#This Row],[SP-1]],-1,0)))</f>
        <v>Setup of Hardware and Connectivity</v>
      </c>
      <c r="H94" s="26" t="str">
        <f ca="1">IF(TaskTable[[#This Row],[WBS Level]]=4,TaskTable[[#This Row],[PHASE]],IF(TaskTable[[#This Row],[WBS Level]]&lt;4,"NONE",OFFSET(TaskTable[[#This Row],[SP-2]],-1,0)))</f>
        <v>Data re-synching</v>
      </c>
      <c r="I94" s="26" t="str">
        <f ca="1">IF(TaskTable[[#This Row],[WBS Level]]=5,TaskTable[[#This Row],[PHASE]],IF(TaskTable[[#This Row],[WBS Level]]&lt;5,"NONE",OFFSET(TaskTable[[#This Row],[SP-3]],-1,0)))</f>
        <v>NONE</v>
      </c>
      <c r="J94" s="26" t="str">
        <f ca="1">IF(TaskTable[[#This Row],[WBS Level]]=6,TaskTable[[#This Row],[PHASE]],IF(TaskTable[[#This Row],[WBS Level]]&lt;6,"NONE",OFFSET(TaskTable[[#This Row],[SP-4]],-1,0)))</f>
        <v>NONE</v>
      </c>
      <c r="M94" s="20">
        <f>LEN(TaskTable[WBS])-LEN(SUBSTITUTE(TaskTable[WBS],".",""))+2</f>
        <v>4</v>
      </c>
      <c r="N94" s="22">
        <v>43962</v>
      </c>
      <c r="O94" s="22">
        <v>43966</v>
      </c>
      <c r="P94" s="20">
        <v>5</v>
      </c>
      <c r="Q94" s="20" t="s">
        <v>12</v>
      </c>
      <c r="R94" s="59">
        <f>IF(TaskTable[[#This Row],[STATUS]]="COMPLETE",1,"")</f>
        <v>1</v>
      </c>
      <c r="S94" s="66">
        <v>1</v>
      </c>
      <c r="T94" s="20">
        <v>5</v>
      </c>
    </row>
    <row r="95" spans="4:20" ht="43.2" x14ac:dyDescent="0.3">
      <c r="D95" s="24" t="s">
        <v>224</v>
      </c>
      <c r="E95" s="26" t="s">
        <v>145</v>
      </c>
      <c r="F95" s="62" t="str">
        <f ca="1">IF(TaskTable[[#This Row],[WBS Level]]=2,TaskTable[[#This Row],[PHASE]],OFFSET(TaskTable[[#This Row],[MAIN PHASE]],-1,0))</f>
        <v>Dry Run</v>
      </c>
      <c r="G95" s="26" t="str">
        <f ca="1">IF(TaskTable[[#This Row],[WBS Level]]=3,TaskTable[[#This Row],[PHASE]],IF(TaskTable[[#This Row],[WBS Level]]&lt;3,"NONE",OFFSET(TaskTable[[#This Row],[SP-1]],-1,0)))</f>
        <v>Setup of Hardware and Connectivity</v>
      </c>
      <c r="H95" s="26" t="str">
        <f ca="1">IF(TaskTable[[#This Row],[WBS Level]]=4,TaskTable[[#This Row],[PHASE]],IF(TaskTable[[#This Row],[WBS Level]]&lt;4,"NONE",OFFSET(TaskTable[[#This Row],[SP-2]],-1,0)))</f>
        <v>Trial Run (Targeted Customers)</v>
      </c>
      <c r="I95" s="26" t="str">
        <f ca="1">IF(TaskTable[[#This Row],[WBS Level]]=5,TaskTable[[#This Row],[PHASE]],IF(TaskTable[[#This Row],[WBS Level]]&lt;5,"NONE",OFFSET(TaskTable[[#This Row],[SP-3]],-1,0)))</f>
        <v>NONE</v>
      </c>
      <c r="J95" s="26" t="str">
        <f ca="1">IF(TaskTable[[#This Row],[WBS Level]]=6,TaskTable[[#This Row],[PHASE]],IF(TaskTable[[#This Row],[WBS Level]]&lt;6,"NONE",OFFSET(TaskTable[[#This Row],[SP-4]],-1,0)))</f>
        <v>NONE</v>
      </c>
      <c r="M95" s="20">
        <f>LEN(TaskTable[WBS])-LEN(SUBSTITUTE(TaskTable[WBS],".",""))+2</f>
        <v>4</v>
      </c>
      <c r="N95" s="22">
        <v>43976</v>
      </c>
      <c r="O95" s="22">
        <v>43977</v>
      </c>
      <c r="P95" s="20">
        <v>2</v>
      </c>
      <c r="Q95" s="20" t="s">
        <v>12</v>
      </c>
      <c r="R95" s="59">
        <f>IF(TaskTable[[#This Row],[STATUS]]="COMPLETE",1,"")</f>
        <v>1</v>
      </c>
      <c r="S95" s="66">
        <v>1</v>
      </c>
      <c r="T95" s="20">
        <v>2</v>
      </c>
    </row>
    <row r="96" spans="4:20" ht="28.8" x14ac:dyDescent="0.3">
      <c r="D96" s="24" t="s">
        <v>225</v>
      </c>
      <c r="E96" s="26" t="s">
        <v>146</v>
      </c>
      <c r="F96" s="62" t="str">
        <f ca="1">IF(TaskTable[[#This Row],[WBS Level]]=2,TaskTable[[#This Row],[PHASE]],OFFSET(TaskTable[[#This Row],[MAIN PHASE]],-1,0))</f>
        <v>Dry Run</v>
      </c>
      <c r="G96" s="26" t="str">
        <f ca="1">IF(TaskTable[[#This Row],[WBS Level]]=3,TaskTable[[#This Row],[PHASE]],IF(TaskTable[[#This Row],[WBS Level]]&lt;3,"NONE",OFFSET(TaskTable[[#This Row],[SP-1]],-1,0)))</f>
        <v>Setup of Hardware and Connectivity</v>
      </c>
      <c r="H96" s="26" t="str">
        <f ca="1">IF(TaskTable[[#This Row],[WBS Level]]=4,TaskTable[[#This Row],[PHASE]],IF(TaskTable[[#This Row],[WBS Level]]&lt;4,"NONE",OFFSET(TaskTable[[#This Row],[SP-2]],-1,0)))</f>
        <v>Hypercare</v>
      </c>
      <c r="I96" s="26" t="str">
        <f ca="1">IF(TaskTable[[#This Row],[WBS Level]]=5,TaskTable[[#This Row],[PHASE]],IF(TaskTable[[#This Row],[WBS Level]]&lt;5,"NONE",OFFSET(TaskTable[[#This Row],[SP-3]],-1,0)))</f>
        <v>NONE</v>
      </c>
      <c r="J96" s="26" t="str">
        <f ca="1">IF(TaskTable[[#This Row],[WBS Level]]=6,TaskTable[[#This Row],[PHASE]],IF(TaskTable[[#This Row],[WBS Level]]&lt;6,"NONE",OFFSET(TaskTable[[#This Row],[SP-4]],-1,0)))</f>
        <v>NONE</v>
      </c>
      <c r="M96" s="20">
        <f>LEN(TaskTable[WBS])-LEN(SUBSTITUTE(TaskTable[WBS],".",""))+2</f>
        <v>4</v>
      </c>
      <c r="N96" s="22">
        <v>43962</v>
      </c>
      <c r="O96" s="22">
        <v>43977</v>
      </c>
      <c r="P96" s="20">
        <v>16</v>
      </c>
      <c r="Q96" s="20" t="s">
        <v>12</v>
      </c>
      <c r="R96" s="59">
        <f>IF(TaskTable[[#This Row],[STATUS]]="COMPLETE",1,"")</f>
        <v>1</v>
      </c>
      <c r="S96" s="66">
        <v>1</v>
      </c>
      <c r="T96" s="20">
        <v>12</v>
      </c>
    </row>
    <row r="97" spans="4:20" ht="43.2" x14ac:dyDescent="0.3">
      <c r="D97" s="24">
        <v>12</v>
      </c>
      <c r="E97" s="26" t="s">
        <v>147</v>
      </c>
      <c r="F97" s="62" t="str">
        <f ca="1">IF(TaskTable[[#This Row],[WBS Level]]=2,TaskTable[[#This Row],[PHASE]],OFFSET(TaskTable[[#This Row],[MAIN PHASE]],-1,0))</f>
        <v>Marketing Advertisements/Promotions</v>
      </c>
      <c r="G97" s="26" t="str">
        <f ca="1">IF(TaskTable[[#This Row],[WBS Level]]=3,TaskTable[[#This Row],[PHASE]],IF(TaskTable[[#This Row],[WBS Level]]&lt;3,"NONE",OFFSET(TaskTable[[#This Row],[SP-1]],-1,0)))</f>
        <v>NONE</v>
      </c>
      <c r="H97" s="26" t="str">
        <f ca="1">IF(TaskTable[[#This Row],[WBS Level]]=4,TaskTable[[#This Row],[PHASE]],IF(TaskTable[[#This Row],[WBS Level]]&lt;4,"NONE",OFFSET(TaskTable[[#This Row],[SP-2]],-1,0)))</f>
        <v>NONE</v>
      </c>
      <c r="I97" s="26" t="str">
        <f ca="1">IF(TaskTable[[#This Row],[WBS Level]]=5,TaskTable[[#This Row],[PHASE]],IF(TaskTable[[#This Row],[WBS Level]]&lt;5,"NONE",OFFSET(TaskTable[[#This Row],[SP-3]],-1,0)))</f>
        <v>NONE</v>
      </c>
      <c r="J97" s="26" t="str">
        <f ca="1">IF(TaskTable[[#This Row],[WBS Level]]=6,TaskTable[[#This Row],[PHASE]],IF(TaskTable[[#This Row],[WBS Level]]&lt;6,"NONE",OFFSET(TaskTable[[#This Row],[SP-4]],-1,0)))</f>
        <v>NONE</v>
      </c>
      <c r="K97" s="20" t="s">
        <v>148</v>
      </c>
      <c r="M97" s="20">
        <f>LEN(TaskTable[WBS])-LEN(SUBSTITUTE(TaskTable[WBS],".",""))+2</f>
        <v>2</v>
      </c>
      <c r="N97" s="22">
        <v>43979</v>
      </c>
      <c r="O97" s="22">
        <v>43980</v>
      </c>
      <c r="P97" s="20">
        <v>2</v>
      </c>
      <c r="Q97" s="20" t="s">
        <v>12</v>
      </c>
      <c r="R97" s="59">
        <f>IF(TaskTable[[#This Row],[STATUS]]="COMPLETE",1,"")</f>
        <v>1</v>
      </c>
      <c r="S97" s="66">
        <v>1</v>
      </c>
      <c r="T97" s="20">
        <v>2</v>
      </c>
    </row>
    <row r="98" spans="4:20" ht="43.2" x14ac:dyDescent="0.3">
      <c r="D98" s="25">
        <v>12.1</v>
      </c>
      <c r="E98" s="26" t="s">
        <v>149</v>
      </c>
      <c r="F98" s="62" t="str">
        <f ca="1">IF(TaskTable[[#This Row],[WBS Level]]=2,TaskTable[[#This Row],[PHASE]],OFFSET(TaskTable[[#This Row],[MAIN PHASE]],-1,0))</f>
        <v>Marketing Advertisements/Promotions</v>
      </c>
      <c r="G98" s="26" t="str">
        <f ca="1">IF(TaskTable[[#This Row],[WBS Level]]=3,TaskTable[[#This Row],[PHASE]],IF(TaskTable[[#This Row],[WBS Level]]&lt;3,"NONE",OFFSET(TaskTable[[#This Row],[SP-1]],-1,0)))</f>
        <v>Flyers</v>
      </c>
      <c r="H98" s="26" t="str">
        <f ca="1">IF(TaskTable[[#This Row],[WBS Level]]=4,TaskTable[[#This Row],[PHASE]],IF(TaskTable[[#This Row],[WBS Level]]&lt;4,"NONE",OFFSET(TaskTable[[#This Row],[SP-2]],-1,0)))</f>
        <v>NONE</v>
      </c>
      <c r="I98" s="26" t="str">
        <f ca="1">IF(TaskTable[[#This Row],[WBS Level]]=5,TaskTable[[#This Row],[PHASE]],IF(TaskTable[[#This Row],[WBS Level]]&lt;5,"NONE",OFFSET(TaskTable[[#This Row],[SP-3]],-1,0)))</f>
        <v>NONE</v>
      </c>
      <c r="J98" s="26" t="str">
        <f ca="1">IF(TaskTable[[#This Row],[WBS Level]]=6,TaskTable[[#This Row],[PHASE]],IF(TaskTable[[#This Row],[WBS Level]]&lt;6,"NONE",OFFSET(TaskTable[[#This Row],[SP-4]],-1,0)))</f>
        <v>NONE</v>
      </c>
      <c r="M98" s="20">
        <f>LEN(TaskTable[WBS])-LEN(SUBSTITUTE(TaskTable[WBS],".",""))+2</f>
        <v>3</v>
      </c>
      <c r="N98" s="22">
        <v>43979</v>
      </c>
      <c r="O98" s="22">
        <v>43980</v>
      </c>
      <c r="P98" s="20">
        <v>2</v>
      </c>
      <c r="Q98" s="20" t="s">
        <v>12</v>
      </c>
      <c r="R98" s="59">
        <f>IF(TaskTable[[#This Row],[STATUS]]="COMPLETE",1,"")</f>
        <v>1</v>
      </c>
      <c r="S98" s="66">
        <v>1</v>
      </c>
      <c r="T98" s="20">
        <v>2</v>
      </c>
    </row>
    <row r="99" spans="4:20" ht="43.2" x14ac:dyDescent="0.3">
      <c r="D99" s="24" t="s">
        <v>226</v>
      </c>
      <c r="E99" s="26" t="s">
        <v>150</v>
      </c>
      <c r="F99" s="62" t="str">
        <f ca="1">IF(TaskTable[[#This Row],[WBS Level]]=2,TaskTable[[#This Row],[PHASE]],OFFSET(TaskTable[[#This Row],[MAIN PHASE]],-1,0))</f>
        <v>Marketing Advertisements/Promotions</v>
      </c>
      <c r="G99" s="26" t="str">
        <f ca="1">IF(TaskTable[[#This Row],[WBS Level]]=3,TaskTable[[#This Row],[PHASE]],IF(TaskTable[[#This Row],[WBS Level]]&lt;3,"NONE",OFFSET(TaskTable[[#This Row],[SP-1]],-1,0)))</f>
        <v>Flyers</v>
      </c>
      <c r="H99" s="26" t="str">
        <f ca="1">IF(TaskTable[[#This Row],[WBS Level]]=4,TaskTable[[#This Row],[PHASE]],IF(TaskTable[[#This Row],[WBS Level]]&lt;4,"NONE",OFFSET(TaskTable[[#This Row],[SP-2]],-1,0)))</f>
        <v>Social Sites (Organique)</v>
      </c>
      <c r="I99" s="26" t="str">
        <f ca="1">IF(TaskTable[[#This Row],[WBS Level]]=5,TaskTable[[#This Row],[PHASE]],IF(TaskTable[[#This Row],[WBS Level]]&lt;5,"NONE",OFFSET(TaskTable[[#This Row],[SP-3]],-1,0)))</f>
        <v>NONE</v>
      </c>
      <c r="J99" s="26" t="str">
        <f ca="1">IF(TaskTable[[#This Row],[WBS Level]]=6,TaskTable[[#This Row],[PHASE]],IF(TaskTable[[#This Row],[WBS Level]]&lt;6,"NONE",OFFSET(TaskTable[[#This Row],[SP-4]],-1,0)))</f>
        <v>NONE</v>
      </c>
      <c r="M99" s="20">
        <f>LEN(TaskTable[WBS])-LEN(SUBSTITUTE(TaskTable[WBS],".",""))+2</f>
        <v>4</v>
      </c>
      <c r="N99" s="22">
        <v>43979</v>
      </c>
      <c r="O99" s="22">
        <v>43980</v>
      </c>
      <c r="P99" s="20">
        <v>2</v>
      </c>
      <c r="Q99" s="20" t="s">
        <v>12</v>
      </c>
      <c r="R99" s="59">
        <f>IF(TaskTable[[#This Row],[STATUS]]="COMPLETE",1,"")</f>
        <v>1</v>
      </c>
      <c r="S99" s="66">
        <v>1</v>
      </c>
      <c r="T99" s="20">
        <v>2</v>
      </c>
    </row>
    <row r="100" spans="4:20" ht="43.2" x14ac:dyDescent="0.3">
      <c r="D100" s="24" t="s">
        <v>227</v>
      </c>
      <c r="E100" s="26" t="s">
        <v>151</v>
      </c>
      <c r="F100" s="62" t="str">
        <f ca="1">IF(TaskTable[[#This Row],[WBS Level]]=2,TaskTable[[#This Row],[PHASE]],OFFSET(TaskTable[[#This Row],[MAIN PHASE]],-1,0))</f>
        <v>Marketing Advertisements/Promotions</v>
      </c>
      <c r="G100" s="26" t="str">
        <f ca="1">IF(TaskTable[[#This Row],[WBS Level]]=3,TaskTable[[#This Row],[PHASE]],IF(TaskTable[[#This Row],[WBS Level]]&lt;3,"NONE",OFFSET(TaskTable[[#This Row],[SP-1]],-1,0)))</f>
        <v>Flyers</v>
      </c>
      <c r="H100" s="26" t="str">
        <f ca="1">IF(TaskTable[[#This Row],[WBS Level]]=4,TaskTable[[#This Row],[PHASE]],IF(TaskTable[[#This Row],[WBS Level]]&lt;4,"NONE",OFFSET(TaskTable[[#This Row],[SP-2]],-1,0)))</f>
        <v>Freebies/GCs</v>
      </c>
      <c r="I100" s="26" t="str">
        <f ca="1">IF(TaskTable[[#This Row],[WBS Level]]=5,TaskTable[[#This Row],[PHASE]],IF(TaskTable[[#This Row],[WBS Level]]&lt;5,"NONE",OFFSET(TaskTable[[#This Row],[SP-3]],-1,0)))</f>
        <v>NONE</v>
      </c>
      <c r="J100" s="26" t="str">
        <f ca="1">IF(TaskTable[[#This Row],[WBS Level]]=6,TaskTable[[#This Row],[PHASE]],IF(TaskTable[[#This Row],[WBS Level]]&lt;6,"NONE",OFFSET(TaskTable[[#This Row],[SP-4]],-1,0)))</f>
        <v>NONE</v>
      </c>
      <c r="M100" s="20">
        <f>LEN(TaskTable[WBS])-LEN(SUBSTITUTE(TaskTable[WBS],".",""))+2</f>
        <v>4</v>
      </c>
      <c r="N100" s="22">
        <v>43979</v>
      </c>
      <c r="O100" s="22">
        <v>43980</v>
      </c>
      <c r="P100" s="20">
        <v>2</v>
      </c>
      <c r="Q100" s="20" t="s">
        <v>12</v>
      </c>
      <c r="R100" s="59">
        <f>IF(TaskTable[[#This Row],[STATUS]]="COMPLETE",1,"")</f>
        <v>1</v>
      </c>
      <c r="S100" s="66">
        <v>1</v>
      </c>
      <c r="T100" s="20">
        <v>2</v>
      </c>
    </row>
    <row r="101" spans="4:20" x14ac:dyDescent="0.3">
      <c r="D101" s="24">
        <v>13</v>
      </c>
      <c r="E101" s="26" t="s">
        <v>152</v>
      </c>
      <c r="F101" s="62" t="str">
        <f ca="1">IF(TaskTable[[#This Row],[WBS Level]]=2,TaskTable[[#This Row],[PHASE]],OFFSET(TaskTable[[#This Row],[MAIN PHASE]],-1,0))</f>
        <v xml:space="preserve">Go Live </v>
      </c>
      <c r="G101" s="26" t="str">
        <f ca="1">IF(TaskTable[[#This Row],[WBS Level]]=3,TaskTable[[#This Row],[PHASE]],IF(TaskTable[[#This Row],[WBS Level]]&lt;3,"NONE",OFFSET(TaskTable[[#This Row],[SP-1]],-1,0)))</f>
        <v>NONE</v>
      </c>
      <c r="H101" s="26" t="str">
        <f ca="1">IF(TaskTable[[#This Row],[WBS Level]]=4,TaskTable[[#This Row],[PHASE]],IF(TaskTable[[#This Row],[WBS Level]]&lt;4,"NONE",OFFSET(TaskTable[[#This Row],[SP-2]],-1,0)))</f>
        <v>NONE</v>
      </c>
      <c r="I101" s="26" t="str">
        <f ca="1">IF(TaskTable[[#This Row],[WBS Level]]=5,TaskTable[[#This Row],[PHASE]],IF(TaskTable[[#This Row],[WBS Level]]&lt;5,"NONE",OFFSET(TaskTable[[#This Row],[SP-3]],-1,0)))</f>
        <v>NONE</v>
      </c>
      <c r="J101" s="26" t="str">
        <f ca="1">IF(TaskTable[[#This Row],[WBS Level]]=6,TaskTable[[#This Row],[PHASE]],IF(TaskTable[[#This Row],[WBS Level]]&lt;6,"NONE",OFFSET(TaskTable[[#This Row],[SP-4]],-1,0)))</f>
        <v>NONE</v>
      </c>
      <c r="K101" s="20" t="s">
        <v>153</v>
      </c>
      <c r="M101" s="20">
        <f>LEN(TaskTable[WBS])-LEN(SUBSTITUTE(TaskTable[WBS],".",""))+2</f>
        <v>2</v>
      </c>
      <c r="N101" s="22">
        <v>43966</v>
      </c>
      <c r="O101" s="22">
        <v>44172</v>
      </c>
      <c r="P101" s="20">
        <v>147</v>
      </c>
      <c r="Q101" s="20"/>
      <c r="R101" s="59" t="str">
        <f>IF(TaskTable[[#This Row],[STATUS]]="COMPLETE",1,"")</f>
        <v/>
      </c>
      <c r="S101" s="66">
        <v>1</v>
      </c>
      <c r="T101" s="20">
        <v>147</v>
      </c>
    </row>
    <row r="102" spans="4:20" x14ac:dyDescent="0.3">
      <c r="D102" s="24">
        <v>13.1</v>
      </c>
      <c r="F102" s="62" t="str">
        <f ca="1">IF(TaskTable[[#This Row],[WBS Level]]=2,TaskTable[[#This Row],[PHASE]],OFFSET(TaskTable[[#This Row],[MAIN PHASE]],-1,0))</f>
        <v xml:space="preserve">Go Live </v>
      </c>
      <c r="G102" s="26">
        <f ca="1">IF(TaskTable[[#This Row],[WBS Level]]=3,TaskTable[[#This Row],[PHASE]],IF(TaskTable[[#This Row],[WBS Level]]&lt;3,"NONE",OFFSET(TaskTable[[#This Row],[SP-1]],-1,0)))</f>
        <v>0</v>
      </c>
      <c r="H102" s="26" t="str">
        <f ca="1">IF(TaskTable[[#This Row],[WBS Level]]=4,TaskTable[[#This Row],[PHASE]],IF(TaskTable[[#This Row],[WBS Level]]&lt;4,"NONE",OFFSET(TaskTable[[#This Row],[SP-2]],-1,0)))</f>
        <v>NONE</v>
      </c>
      <c r="I102" s="26" t="str">
        <f ca="1">IF(TaskTable[[#This Row],[WBS Level]]=5,TaskTable[[#This Row],[PHASE]],IF(TaskTable[[#This Row],[WBS Level]]&lt;5,"NONE",OFFSET(TaskTable[[#This Row],[SP-3]],-1,0)))</f>
        <v>NONE</v>
      </c>
      <c r="J102" s="26" t="str">
        <f ca="1">IF(TaskTable[[#This Row],[WBS Level]]=6,TaskTable[[#This Row],[PHASE]],IF(TaskTable[[#This Row],[WBS Level]]&lt;6,"NONE",OFFSET(TaskTable[[#This Row],[SP-4]],-1,0)))</f>
        <v>NONE</v>
      </c>
      <c r="M102" s="20">
        <f>LEN(TaskTable[WBS])-LEN(SUBSTITUTE(TaskTable[WBS],".",""))+2</f>
        <v>3</v>
      </c>
      <c r="N102" s="22"/>
      <c r="O102" s="22"/>
      <c r="P102" s="20"/>
      <c r="Q102" s="20"/>
      <c r="R102" s="59" t="str">
        <f>IF(TaskTable[[#This Row],[STATUS]]="COMPLETE",1,"")</f>
        <v/>
      </c>
      <c r="S102" s="66"/>
      <c r="T102" s="20"/>
    </row>
    <row r="103" spans="4:20" x14ac:dyDescent="0.3">
      <c r="D103" s="24">
        <v>13.2</v>
      </c>
      <c r="F103" s="62" t="str">
        <f ca="1">IF(TaskTable[[#This Row],[WBS Level]]=2,TaskTable[[#This Row],[PHASE]],OFFSET(TaskTable[[#This Row],[MAIN PHASE]],-1,0))</f>
        <v xml:space="preserve">Go Live </v>
      </c>
      <c r="G103" s="128">
        <f ca="1">IF(TaskTable[[#This Row],[WBS Level]]=3,TaskTable[[#This Row],[PHASE]],IF(TaskTable[[#This Row],[WBS Level]]&lt;3,"NONE",OFFSET(TaskTable[[#This Row],[SP-1]],-1,0)))</f>
        <v>0</v>
      </c>
      <c r="H103" s="128" t="str">
        <f ca="1">IF(TaskTable[[#This Row],[WBS Level]]=4,TaskTable[[#This Row],[PHASE]],IF(TaskTable[[#This Row],[WBS Level]]&lt;4,"NONE",OFFSET(TaskTable[[#This Row],[SP-2]],-1,0)))</f>
        <v>NONE</v>
      </c>
      <c r="I103" s="128" t="str">
        <f ca="1">IF(TaskTable[[#This Row],[WBS Level]]=5,TaskTable[[#This Row],[PHASE]],IF(TaskTable[[#This Row],[WBS Level]]&lt;5,"NONE",OFFSET(TaskTable[[#This Row],[SP-3]],-1,0)))</f>
        <v>NONE</v>
      </c>
      <c r="J103" s="128" t="str">
        <f ca="1">IF(TaskTable[[#This Row],[WBS Level]]=6,TaskTable[[#This Row],[PHASE]],IF(TaskTable[[#This Row],[WBS Level]]&lt;6,"NONE",OFFSET(TaskTable[[#This Row],[SP-4]],-1,0)))</f>
        <v>NONE</v>
      </c>
      <c r="M103" s="129">
        <f>LEN(TaskTable[WBS])-LEN(SUBSTITUTE(TaskTable[WBS],".",""))+2</f>
        <v>3</v>
      </c>
      <c r="N103" s="22"/>
      <c r="O103" s="22"/>
      <c r="P103" s="20"/>
      <c r="Q103" s="20"/>
      <c r="R103" s="59" t="str">
        <f>IF(TaskTable[[#This Row],[STATUS]]="COMPLETE",1,"")</f>
        <v/>
      </c>
      <c r="S103" s="66"/>
      <c r="T103" s="20"/>
    </row>
  </sheetData>
  <mergeCells count="8">
    <mergeCell ref="V1:X1"/>
    <mergeCell ref="Z1:AB1"/>
    <mergeCell ref="AD1:AH1"/>
    <mergeCell ref="AP2:AP3"/>
    <mergeCell ref="AL2:AL3"/>
    <mergeCell ref="AM2:AM3"/>
    <mergeCell ref="AN2:AN3"/>
    <mergeCell ref="AO2:AO3"/>
  </mergeCells>
  <phoneticPr fontId="29" type="noConversion"/>
  <pageMargins left="0.7" right="0.7" top="0.75" bottom="0.75" header="0.3" footer="0.3"/>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95519-E262-49A0-A55C-15D426FE74E2}">
  <sheetPr codeName="Sheet5"/>
  <dimension ref="B1:O31"/>
  <sheetViews>
    <sheetView zoomScale="70" zoomScaleNormal="70" workbookViewId="0">
      <selection activeCell="I27" sqref="I27"/>
    </sheetView>
  </sheetViews>
  <sheetFormatPr defaultColWidth="9.109375" defaultRowHeight="14.4" x14ac:dyDescent="0.3"/>
  <cols>
    <col min="1" max="1" width="9.109375" style="20"/>
    <col min="2" max="2" width="23.33203125" style="26" customWidth="1"/>
    <col min="3" max="3" width="14" style="20" customWidth="1"/>
    <col min="4" max="4" width="34.44140625" style="26" customWidth="1"/>
    <col min="5" max="5" width="0.88671875" style="20" customWidth="1"/>
    <col min="6" max="7" width="53.33203125" style="126" customWidth="1"/>
    <col min="8" max="8" width="14" style="20" bestFit="1" customWidth="1"/>
    <col min="9" max="9" width="57.5546875" style="126" customWidth="1"/>
    <col min="10" max="10" width="20" style="20" customWidth="1"/>
    <col min="11" max="11" width="21" style="20" customWidth="1"/>
    <col min="12" max="13" width="15.44140625" style="20" customWidth="1"/>
    <col min="14" max="14" width="10.44140625" style="20" customWidth="1"/>
    <col min="15" max="15" width="30.44140625" style="20" customWidth="1"/>
    <col min="16" max="16" width="23.33203125" style="20" customWidth="1"/>
    <col min="17" max="16384" width="9.109375" style="20"/>
  </cols>
  <sheetData>
    <row r="1" spans="2:15" ht="25.8" customHeight="1" x14ac:dyDescent="0.3"/>
    <row r="2" spans="2:15" x14ac:dyDescent="0.3">
      <c r="B2" s="277" t="s">
        <v>286</v>
      </c>
      <c r="C2" s="274" t="s">
        <v>287</v>
      </c>
      <c r="D2" s="277" t="s">
        <v>288</v>
      </c>
      <c r="F2" s="277" t="s">
        <v>289</v>
      </c>
      <c r="G2" s="277" t="s">
        <v>290</v>
      </c>
      <c r="H2" s="274" t="s">
        <v>291</v>
      </c>
      <c r="I2" s="277" t="s">
        <v>292</v>
      </c>
      <c r="J2" s="277" t="s">
        <v>293</v>
      </c>
      <c r="K2" s="274" t="s">
        <v>294</v>
      </c>
      <c r="L2" s="274" t="s">
        <v>295</v>
      </c>
      <c r="M2" s="274" t="s">
        <v>296</v>
      </c>
      <c r="N2" s="274" t="s">
        <v>269</v>
      </c>
      <c r="O2" s="280" t="s">
        <v>297</v>
      </c>
    </row>
    <row r="3" spans="2:15" x14ac:dyDescent="0.3">
      <c r="B3" s="278"/>
      <c r="C3" s="275"/>
      <c r="D3" s="278"/>
      <c r="F3" s="278"/>
      <c r="G3" s="278"/>
      <c r="H3" s="275"/>
      <c r="I3" s="278"/>
      <c r="J3" s="275"/>
      <c r="K3" s="275"/>
      <c r="L3" s="275"/>
      <c r="M3" s="275"/>
      <c r="N3" s="275"/>
      <c r="O3" s="281"/>
    </row>
    <row r="4" spans="2:15" x14ac:dyDescent="0.3">
      <c r="B4" s="279"/>
      <c r="C4" s="276"/>
      <c r="D4" s="279"/>
      <c r="F4" s="279"/>
      <c r="G4" s="279"/>
      <c r="H4" s="276"/>
      <c r="I4" s="279"/>
      <c r="J4" s="276"/>
      <c r="K4" s="276"/>
      <c r="L4" s="276"/>
      <c r="M4" s="276"/>
      <c r="N4" s="276"/>
      <c r="O4" s="281"/>
    </row>
    <row r="27" spans="6:9" x14ac:dyDescent="0.3">
      <c r="I27" s="168"/>
    </row>
    <row r="31" spans="6:9" x14ac:dyDescent="0.3">
      <c r="F31" s="168"/>
      <c r="G31" s="168"/>
    </row>
  </sheetData>
  <mergeCells count="13">
    <mergeCell ref="O2:O4"/>
    <mergeCell ref="I2:I4"/>
    <mergeCell ref="J2:J4"/>
    <mergeCell ref="K2:K4"/>
    <mergeCell ref="L2:L4"/>
    <mergeCell ref="M2:M4"/>
    <mergeCell ref="N2:N4"/>
    <mergeCell ref="H2:H4"/>
    <mergeCell ref="B2:B4"/>
    <mergeCell ref="C2:C4"/>
    <mergeCell ref="D2:D4"/>
    <mergeCell ref="F2:F4"/>
    <mergeCell ref="G2:G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90DDB-EDD8-4521-95DD-0D23E4FDDBD0}">
  <sheetPr codeName="Sheet7"/>
  <dimension ref="A1:K155"/>
  <sheetViews>
    <sheetView workbookViewId="0">
      <selection activeCell="L1" sqref="L1:XFD1048576"/>
    </sheetView>
  </sheetViews>
  <sheetFormatPr defaultColWidth="0" defaultRowHeight="14.4" x14ac:dyDescent="0.3"/>
  <cols>
    <col min="1" max="1" width="4.77734375" customWidth="1"/>
    <col min="2" max="2" width="22" style="120" customWidth="1"/>
    <col min="3" max="3" width="24.5546875" bestFit="1" customWidth="1"/>
    <col min="4" max="4" width="17.33203125" style="20" bestFit="1" customWidth="1"/>
    <col min="5" max="5" width="17.33203125" bestFit="1" customWidth="1"/>
    <col min="6" max="6" width="8.6640625" bestFit="1" customWidth="1"/>
    <col min="7" max="7" width="8.88671875" style="20" bestFit="1" customWidth="1"/>
    <col min="8" max="8" width="11.88671875" bestFit="1" customWidth="1"/>
    <col min="9" max="9" width="20.44140625" bestFit="1" customWidth="1"/>
    <col min="10" max="10" width="16.109375" bestFit="1" customWidth="1"/>
    <col min="11" max="11" width="4.21875" customWidth="1"/>
    <col min="12" max="16384" width="9.109375" hidden="1"/>
  </cols>
  <sheetData>
    <row r="1" spans="2:10" ht="22.2" customHeight="1" x14ac:dyDescent="0.3"/>
    <row r="2" spans="2:10" x14ac:dyDescent="0.3">
      <c r="B2" s="282" t="s">
        <v>264</v>
      </c>
      <c r="C2" s="274" t="s">
        <v>265</v>
      </c>
      <c r="D2" s="274" t="s">
        <v>266</v>
      </c>
      <c r="E2" s="274" t="s">
        <v>267</v>
      </c>
      <c r="F2" s="274" t="s">
        <v>268</v>
      </c>
      <c r="G2" s="274" t="s">
        <v>269</v>
      </c>
      <c r="H2" s="274" t="s">
        <v>270</v>
      </c>
      <c r="I2" s="274" t="s">
        <v>271</v>
      </c>
      <c r="J2" s="274" t="s">
        <v>272</v>
      </c>
    </row>
    <row r="3" spans="2:10" x14ac:dyDescent="0.3">
      <c r="B3" s="283"/>
      <c r="C3" s="275"/>
      <c r="D3" s="275"/>
      <c r="E3" s="275"/>
      <c r="F3" s="275"/>
      <c r="G3" s="275"/>
      <c r="H3" s="275"/>
      <c r="I3" s="275"/>
      <c r="J3" s="275"/>
    </row>
    <row r="4" spans="2:10" x14ac:dyDescent="0.3">
      <c r="B4" s="284"/>
      <c r="C4" s="276"/>
      <c r="D4" s="276"/>
      <c r="E4" s="276"/>
      <c r="F4" s="276"/>
      <c r="G4" s="276"/>
      <c r="H4" s="276"/>
      <c r="I4" s="276"/>
      <c r="J4" s="276"/>
    </row>
    <row r="5" spans="2:10" x14ac:dyDescent="0.3">
      <c r="B5" s="115"/>
      <c r="C5" s="116"/>
      <c r="D5" s="117"/>
      <c r="E5" s="117"/>
      <c r="F5" s="115"/>
      <c r="G5" s="118"/>
      <c r="H5" s="115"/>
      <c r="I5" s="119"/>
      <c r="J5" s="115"/>
    </row>
    <row r="6" spans="2:10" x14ac:dyDescent="0.3">
      <c r="B6" s="119"/>
      <c r="C6" s="116"/>
      <c r="D6" s="117"/>
      <c r="E6" s="117"/>
      <c r="F6" s="115"/>
      <c r="G6" s="118"/>
      <c r="H6" s="115"/>
      <c r="I6" s="119"/>
      <c r="J6" s="119"/>
    </row>
    <row r="7" spans="2:10" x14ac:dyDescent="0.3">
      <c r="B7" s="119"/>
      <c r="C7" s="116"/>
      <c r="D7" s="117"/>
      <c r="E7" s="117"/>
      <c r="F7" s="115"/>
      <c r="G7" s="118"/>
      <c r="H7" s="115"/>
      <c r="I7" s="119"/>
      <c r="J7" s="119"/>
    </row>
    <row r="8" spans="2:10" x14ac:dyDescent="0.3">
      <c r="B8" s="119"/>
      <c r="C8" s="116"/>
      <c r="D8" s="117"/>
      <c r="E8" s="117"/>
      <c r="F8" s="115"/>
      <c r="G8" s="118"/>
      <c r="H8" s="115"/>
      <c r="I8" s="119"/>
      <c r="J8" s="119"/>
    </row>
    <row r="9" spans="2:10" x14ac:dyDescent="0.3">
      <c r="B9" s="115"/>
      <c r="C9" s="116"/>
      <c r="D9" s="117"/>
      <c r="E9" s="117"/>
      <c r="F9" s="115"/>
      <c r="G9" s="118"/>
      <c r="H9" s="115"/>
      <c r="I9" s="115"/>
      <c r="J9" s="115"/>
    </row>
    <row r="10" spans="2:10" x14ac:dyDescent="0.3">
      <c r="B10" s="115"/>
      <c r="C10" s="116"/>
      <c r="D10" s="117"/>
      <c r="E10" s="117"/>
      <c r="F10" s="115"/>
      <c r="G10" s="118"/>
      <c r="H10" s="115"/>
      <c r="I10" s="115"/>
      <c r="J10" s="115"/>
    </row>
    <row r="11" spans="2:10" x14ac:dyDescent="0.3">
      <c r="B11" s="115"/>
      <c r="C11" s="116"/>
      <c r="D11" s="117"/>
      <c r="E11" s="117"/>
      <c r="F11" s="115"/>
      <c r="G11" s="118"/>
      <c r="H11" s="115"/>
      <c r="I11" s="115"/>
      <c r="J11" s="115"/>
    </row>
    <row r="12" spans="2:10" x14ac:dyDescent="0.3">
      <c r="B12" s="115"/>
      <c r="C12" s="116"/>
      <c r="D12" s="117"/>
      <c r="E12" s="117"/>
      <c r="F12" s="115"/>
      <c r="G12" s="118"/>
      <c r="H12" s="115"/>
      <c r="I12" s="115"/>
      <c r="J12" s="115"/>
    </row>
    <row r="13" spans="2:10" x14ac:dyDescent="0.3">
      <c r="B13" s="115"/>
      <c r="C13" s="116"/>
      <c r="D13" s="117"/>
      <c r="E13" s="117"/>
      <c r="F13" s="115"/>
      <c r="G13" s="118"/>
      <c r="H13" s="115"/>
      <c r="I13" s="115"/>
      <c r="J13" s="115"/>
    </row>
    <row r="14" spans="2:10" x14ac:dyDescent="0.3">
      <c r="B14" s="115"/>
      <c r="C14" s="116"/>
      <c r="D14" s="117"/>
      <c r="E14" s="117"/>
      <c r="F14" s="115"/>
      <c r="G14" s="118"/>
      <c r="H14" s="115"/>
      <c r="I14" s="115"/>
      <c r="J14" s="115"/>
    </row>
    <row r="15" spans="2:10" x14ac:dyDescent="0.3">
      <c r="B15" s="115"/>
      <c r="C15" s="116"/>
      <c r="D15" s="117"/>
      <c r="E15" s="117"/>
      <c r="F15" s="115"/>
      <c r="G15" s="118"/>
      <c r="H15" s="115"/>
      <c r="I15" s="115"/>
      <c r="J15" s="115"/>
    </row>
    <row r="16" spans="2:10" x14ac:dyDescent="0.3">
      <c r="B16" s="115"/>
      <c r="C16" s="116"/>
      <c r="D16" s="117"/>
      <c r="E16" s="117"/>
      <c r="F16" s="115"/>
      <c r="G16" s="118"/>
      <c r="H16" s="115"/>
      <c r="I16" s="115"/>
      <c r="J16" s="115"/>
    </row>
    <row r="17" spans="2:10" x14ac:dyDescent="0.3">
      <c r="B17" s="115"/>
      <c r="C17" s="116"/>
      <c r="D17" s="117"/>
      <c r="E17" s="117"/>
      <c r="F17" s="115"/>
      <c r="G17" s="118"/>
      <c r="H17" s="115"/>
      <c r="I17" s="115"/>
      <c r="J17" s="115"/>
    </row>
    <row r="18" spans="2:10" x14ac:dyDescent="0.3">
      <c r="B18" s="115"/>
      <c r="C18" s="116"/>
      <c r="D18" s="117"/>
      <c r="E18" s="117"/>
      <c r="F18" s="115"/>
      <c r="G18" s="118"/>
      <c r="H18" s="115"/>
      <c r="I18" s="115"/>
      <c r="J18" s="115"/>
    </row>
    <row r="19" spans="2:10" x14ac:dyDescent="0.3">
      <c r="B19" s="115"/>
      <c r="C19" s="116"/>
      <c r="D19" s="117"/>
      <c r="E19" s="117"/>
      <c r="F19" s="115"/>
      <c r="G19" s="118"/>
      <c r="H19" s="115"/>
      <c r="I19" s="115"/>
      <c r="J19" s="115"/>
    </row>
    <row r="20" spans="2:10" x14ac:dyDescent="0.3">
      <c r="B20" s="115"/>
      <c r="C20" s="116"/>
      <c r="D20" s="117"/>
      <c r="E20" s="117"/>
      <c r="F20" s="115"/>
      <c r="G20" s="118"/>
      <c r="H20" s="115"/>
      <c r="I20" s="115"/>
      <c r="J20" s="115"/>
    </row>
    <row r="21" spans="2:10" x14ac:dyDescent="0.3">
      <c r="B21" s="115"/>
      <c r="C21" s="116"/>
      <c r="D21" s="117"/>
      <c r="E21" s="117"/>
      <c r="F21" s="115"/>
      <c r="G21" s="118"/>
      <c r="H21" s="115"/>
      <c r="I21" s="115"/>
      <c r="J21" s="115"/>
    </row>
    <row r="22" spans="2:10" x14ac:dyDescent="0.3">
      <c r="B22" s="115"/>
      <c r="C22" s="116"/>
      <c r="D22" s="117"/>
      <c r="E22" s="117"/>
      <c r="F22" s="115"/>
      <c r="G22" s="118"/>
      <c r="H22" s="115"/>
      <c r="I22" s="115"/>
      <c r="J22" s="115"/>
    </row>
    <row r="23" spans="2:10" x14ac:dyDescent="0.3">
      <c r="B23" s="115"/>
      <c r="C23" s="116"/>
      <c r="D23" s="117"/>
      <c r="E23" s="117"/>
      <c r="F23" s="115"/>
      <c r="G23" s="118"/>
      <c r="H23" s="115"/>
      <c r="I23" s="115"/>
      <c r="J23" s="115"/>
    </row>
    <row r="24" spans="2:10" x14ac:dyDescent="0.3">
      <c r="B24" s="115"/>
      <c r="C24" s="116"/>
      <c r="D24" s="117"/>
      <c r="E24" s="117"/>
      <c r="F24" s="115"/>
      <c r="G24" s="118"/>
      <c r="H24" s="115"/>
      <c r="I24" s="115"/>
      <c r="J24" s="115"/>
    </row>
    <row r="25" spans="2:10" x14ac:dyDescent="0.3">
      <c r="B25" s="115"/>
      <c r="C25" s="116"/>
      <c r="D25" s="117"/>
      <c r="E25" s="117"/>
      <c r="F25" s="115"/>
      <c r="G25" s="118"/>
      <c r="H25" s="115"/>
      <c r="I25" s="115"/>
      <c r="J25" s="115"/>
    </row>
    <row r="26" spans="2:10" x14ac:dyDescent="0.3">
      <c r="B26" s="115"/>
      <c r="C26" s="116"/>
      <c r="D26" s="117"/>
      <c r="E26" s="117"/>
      <c r="F26" s="115"/>
      <c r="G26" s="118"/>
      <c r="H26" s="115"/>
      <c r="I26" s="115"/>
      <c r="J26" s="115"/>
    </row>
    <row r="27" spans="2:10" x14ac:dyDescent="0.3">
      <c r="B27" s="115"/>
      <c r="C27" s="116"/>
      <c r="D27" s="117"/>
      <c r="E27" s="117"/>
      <c r="F27" s="115"/>
      <c r="G27" s="118"/>
      <c r="H27" s="115"/>
      <c r="I27" s="115"/>
      <c r="J27" s="115"/>
    </row>
    <row r="28" spans="2:10" x14ac:dyDescent="0.3">
      <c r="B28" s="115"/>
      <c r="C28" s="116"/>
      <c r="D28" s="117"/>
      <c r="E28" s="117"/>
      <c r="F28" s="115"/>
      <c r="G28" s="118"/>
      <c r="H28" s="115"/>
      <c r="I28" s="115"/>
      <c r="J28" s="115"/>
    </row>
    <row r="29" spans="2:10" x14ac:dyDescent="0.3">
      <c r="B29" s="115"/>
      <c r="C29" s="116"/>
      <c r="D29" s="117"/>
      <c r="E29" s="117"/>
      <c r="F29" s="115"/>
      <c r="G29" s="118"/>
      <c r="H29" s="115"/>
      <c r="I29" s="115"/>
      <c r="J29" s="115"/>
    </row>
    <row r="30" spans="2:10" x14ac:dyDescent="0.3">
      <c r="B30" s="115"/>
      <c r="C30" s="116"/>
      <c r="D30" s="117"/>
      <c r="E30" s="117"/>
      <c r="F30" s="115"/>
      <c r="G30" s="118"/>
      <c r="H30" s="115"/>
      <c r="I30" s="115"/>
      <c r="J30" s="115"/>
    </row>
    <row r="31" spans="2:10" x14ac:dyDescent="0.3">
      <c r="B31" s="115"/>
      <c r="C31" s="116"/>
      <c r="D31" s="117"/>
      <c r="E31" s="117"/>
      <c r="F31" s="115"/>
      <c r="G31" s="118"/>
      <c r="H31" s="115"/>
      <c r="I31" s="115"/>
      <c r="J31" s="115"/>
    </row>
    <row r="32" spans="2:10" x14ac:dyDescent="0.3">
      <c r="B32" s="115"/>
      <c r="C32" s="116"/>
      <c r="D32" s="117"/>
      <c r="E32" s="117"/>
      <c r="F32" s="115"/>
      <c r="G32" s="118"/>
      <c r="H32" s="115"/>
      <c r="I32" s="115"/>
      <c r="J32" s="115"/>
    </row>
    <row r="33" spans="2:10" x14ac:dyDescent="0.3">
      <c r="B33" s="115"/>
      <c r="C33" s="116"/>
      <c r="D33" s="117"/>
      <c r="E33" s="117"/>
      <c r="F33" s="115"/>
      <c r="G33" s="118"/>
      <c r="H33" s="115"/>
      <c r="I33" s="115"/>
      <c r="J33" s="115"/>
    </row>
    <row r="34" spans="2:10" x14ac:dyDescent="0.3">
      <c r="B34" s="115"/>
      <c r="C34" s="116"/>
      <c r="D34" s="117"/>
      <c r="E34" s="117"/>
      <c r="F34" s="115"/>
      <c r="G34" s="118"/>
      <c r="H34" s="115"/>
      <c r="I34" s="115"/>
      <c r="J34" s="115"/>
    </row>
    <row r="35" spans="2:10" x14ac:dyDescent="0.3">
      <c r="B35" s="115"/>
      <c r="C35" s="116"/>
      <c r="D35" s="117"/>
      <c r="E35" s="117"/>
      <c r="F35" s="115"/>
      <c r="G35" s="118"/>
      <c r="H35" s="115"/>
      <c r="I35" s="115"/>
      <c r="J35" s="115"/>
    </row>
    <row r="36" spans="2:10" x14ac:dyDescent="0.3">
      <c r="B36" s="115"/>
      <c r="C36" s="116"/>
      <c r="D36" s="117"/>
      <c r="E36" s="117"/>
      <c r="F36" s="115"/>
      <c r="G36" s="118"/>
      <c r="H36" s="115"/>
      <c r="I36" s="115"/>
      <c r="J36" s="115"/>
    </row>
    <row r="37" spans="2:10" x14ac:dyDescent="0.3">
      <c r="B37" s="115"/>
      <c r="C37" s="116"/>
      <c r="D37" s="117"/>
      <c r="E37" s="117"/>
      <c r="F37" s="115"/>
      <c r="G37" s="118"/>
      <c r="H37" s="115"/>
      <c r="I37" s="115"/>
      <c r="J37" s="115"/>
    </row>
    <row r="38" spans="2:10" x14ac:dyDescent="0.3">
      <c r="B38" s="115"/>
      <c r="C38" s="116"/>
      <c r="D38" s="117"/>
      <c r="E38" s="117"/>
      <c r="F38" s="115"/>
      <c r="G38" s="118"/>
      <c r="H38" s="115"/>
      <c r="I38" s="115"/>
      <c r="J38" s="115"/>
    </row>
    <row r="39" spans="2:10" x14ac:dyDescent="0.3">
      <c r="B39" s="115"/>
      <c r="C39" s="116"/>
      <c r="D39" s="117"/>
      <c r="E39" s="117"/>
      <c r="F39" s="115"/>
      <c r="G39" s="118"/>
      <c r="H39" s="115"/>
      <c r="I39" s="115"/>
      <c r="J39" s="115"/>
    </row>
    <row r="40" spans="2:10" x14ac:dyDescent="0.3">
      <c r="B40" s="115"/>
      <c r="C40" s="116"/>
      <c r="D40" s="117"/>
      <c r="E40" s="117"/>
      <c r="F40" s="115"/>
      <c r="G40" s="118"/>
      <c r="H40" s="115"/>
      <c r="I40" s="115"/>
      <c r="J40" s="115"/>
    </row>
    <row r="41" spans="2:10" x14ac:dyDescent="0.3">
      <c r="B41" s="115"/>
      <c r="C41" s="116"/>
      <c r="D41" s="117"/>
      <c r="E41" s="117"/>
      <c r="F41" s="115"/>
      <c r="G41" s="118"/>
      <c r="H41" s="115"/>
      <c r="I41" s="115"/>
      <c r="J41" s="115"/>
    </row>
    <row r="42" spans="2:10" x14ac:dyDescent="0.3">
      <c r="B42" s="115"/>
      <c r="C42" s="116"/>
      <c r="D42" s="117"/>
      <c r="E42" s="117"/>
      <c r="F42" s="115"/>
      <c r="G42" s="118"/>
      <c r="H42" s="115"/>
      <c r="I42" s="115"/>
      <c r="J42" s="115"/>
    </row>
    <row r="43" spans="2:10" x14ac:dyDescent="0.3">
      <c r="B43" s="115"/>
      <c r="C43" s="116"/>
      <c r="D43" s="117"/>
      <c r="E43" s="117"/>
      <c r="F43" s="115"/>
      <c r="G43" s="118"/>
      <c r="H43" s="115"/>
      <c r="I43" s="115"/>
      <c r="J43" s="115"/>
    </row>
    <row r="44" spans="2:10" x14ac:dyDescent="0.3">
      <c r="B44" s="115"/>
      <c r="C44" s="116"/>
      <c r="D44" s="117"/>
      <c r="E44" s="117"/>
      <c r="F44" s="115"/>
      <c r="G44" s="118"/>
      <c r="H44" s="115"/>
      <c r="I44" s="115"/>
      <c r="J44" s="115"/>
    </row>
    <row r="45" spans="2:10" x14ac:dyDescent="0.3">
      <c r="B45" s="115"/>
      <c r="C45" s="116"/>
      <c r="D45" s="117"/>
      <c r="E45" s="117"/>
      <c r="F45" s="115"/>
      <c r="G45" s="118"/>
      <c r="H45" s="115"/>
      <c r="I45" s="115"/>
      <c r="J45" s="115"/>
    </row>
    <row r="46" spans="2:10" x14ac:dyDescent="0.3">
      <c r="B46" s="115"/>
      <c r="C46" s="116"/>
      <c r="D46" s="117"/>
      <c r="E46" s="117"/>
      <c r="F46" s="115"/>
      <c r="G46" s="118"/>
      <c r="H46" s="115"/>
      <c r="I46" s="115"/>
      <c r="J46" s="115"/>
    </row>
    <row r="47" spans="2:10" x14ac:dyDescent="0.3">
      <c r="B47" s="115"/>
      <c r="C47" s="116"/>
      <c r="D47" s="117"/>
      <c r="E47" s="117"/>
      <c r="F47" s="115"/>
      <c r="G47" s="118"/>
      <c r="H47" s="115"/>
      <c r="I47" s="115"/>
      <c r="J47" s="115"/>
    </row>
    <row r="48" spans="2:10" x14ac:dyDescent="0.3">
      <c r="B48" s="115"/>
      <c r="C48" s="116"/>
      <c r="D48" s="117"/>
      <c r="E48" s="117"/>
      <c r="F48" s="115"/>
      <c r="G48" s="118"/>
      <c r="H48" s="115"/>
      <c r="I48" s="115"/>
      <c r="J48" s="115"/>
    </row>
    <row r="49" spans="2:10" x14ac:dyDescent="0.3">
      <c r="B49" s="115"/>
      <c r="C49" s="116"/>
      <c r="D49" s="117"/>
      <c r="E49" s="117"/>
      <c r="F49" s="115"/>
      <c r="G49" s="118"/>
      <c r="H49" s="115"/>
      <c r="I49" s="115"/>
      <c r="J49" s="115"/>
    </row>
    <row r="50" spans="2:10" x14ac:dyDescent="0.3">
      <c r="B50" s="115"/>
      <c r="C50" s="116"/>
      <c r="D50" s="117"/>
      <c r="E50" s="117"/>
      <c r="F50" s="115"/>
      <c r="G50" s="118"/>
      <c r="H50" s="115"/>
      <c r="I50" s="115"/>
      <c r="J50" s="115"/>
    </row>
    <row r="51" spans="2:10" x14ac:dyDescent="0.3">
      <c r="B51" s="115"/>
      <c r="C51" s="116"/>
      <c r="D51" s="117"/>
      <c r="E51" s="117"/>
      <c r="F51" s="115"/>
      <c r="G51" s="118"/>
      <c r="H51" s="115"/>
      <c r="I51" s="115"/>
      <c r="J51" s="115"/>
    </row>
    <row r="52" spans="2:10" x14ac:dyDescent="0.3">
      <c r="B52" s="115"/>
      <c r="C52" s="116"/>
      <c r="D52" s="117"/>
      <c r="E52" s="117"/>
      <c r="F52" s="115"/>
      <c r="G52" s="118"/>
      <c r="H52" s="115"/>
      <c r="I52" s="115"/>
      <c r="J52" s="115"/>
    </row>
    <row r="53" spans="2:10" x14ac:dyDescent="0.3">
      <c r="B53" s="115"/>
      <c r="C53" s="116"/>
      <c r="D53" s="117"/>
      <c r="E53" s="117"/>
      <c r="F53" s="115"/>
      <c r="G53" s="118"/>
      <c r="H53" s="115"/>
      <c r="I53" s="115"/>
      <c r="J53" s="115"/>
    </row>
    <row r="54" spans="2:10" x14ac:dyDescent="0.3">
      <c r="B54" s="115"/>
      <c r="C54" s="116"/>
      <c r="D54" s="117"/>
      <c r="E54" s="117"/>
      <c r="F54" s="115"/>
      <c r="G54" s="118"/>
      <c r="H54" s="115"/>
      <c r="I54" s="115"/>
      <c r="J54" s="115"/>
    </row>
    <row r="55" spans="2:10" x14ac:dyDescent="0.3">
      <c r="B55" s="115"/>
      <c r="C55" s="116"/>
      <c r="D55" s="117"/>
      <c r="E55" s="117"/>
      <c r="F55" s="115"/>
      <c r="G55" s="118"/>
      <c r="H55" s="115"/>
      <c r="I55" s="115"/>
      <c r="J55" s="115"/>
    </row>
    <row r="56" spans="2:10" x14ac:dyDescent="0.3">
      <c r="B56" s="115"/>
      <c r="C56" s="116"/>
      <c r="D56" s="117"/>
      <c r="E56" s="117"/>
      <c r="F56" s="115"/>
      <c r="G56" s="118"/>
      <c r="H56" s="115"/>
      <c r="I56" s="115"/>
      <c r="J56" s="115"/>
    </row>
    <row r="57" spans="2:10" x14ac:dyDescent="0.3">
      <c r="B57" s="115"/>
      <c r="C57" s="116"/>
      <c r="D57" s="117"/>
      <c r="E57" s="117"/>
      <c r="F57" s="115"/>
      <c r="G57" s="118"/>
      <c r="H57" s="115"/>
      <c r="I57" s="115"/>
      <c r="J57" s="115"/>
    </row>
    <row r="58" spans="2:10" x14ac:dyDescent="0.3">
      <c r="B58" s="115"/>
      <c r="C58" s="116"/>
      <c r="D58" s="117"/>
      <c r="E58" s="117"/>
      <c r="F58" s="115"/>
      <c r="G58" s="118"/>
      <c r="H58" s="115"/>
      <c r="I58" s="115"/>
      <c r="J58" s="115"/>
    </row>
    <row r="59" spans="2:10" x14ac:dyDescent="0.3">
      <c r="B59" s="115"/>
      <c r="C59" s="116"/>
      <c r="D59" s="117"/>
      <c r="E59" s="117"/>
      <c r="F59" s="115"/>
      <c r="G59" s="118"/>
      <c r="H59" s="115"/>
      <c r="I59" s="115"/>
      <c r="J59" s="115"/>
    </row>
    <row r="60" spans="2:10" x14ac:dyDescent="0.3">
      <c r="B60" s="115"/>
      <c r="C60" s="116"/>
      <c r="D60" s="117"/>
      <c r="E60" s="117"/>
      <c r="F60" s="115"/>
      <c r="G60" s="118"/>
      <c r="H60" s="115"/>
      <c r="I60" s="115"/>
      <c r="J60" s="115"/>
    </row>
    <row r="61" spans="2:10" x14ac:dyDescent="0.3">
      <c r="B61" s="115"/>
      <c r="C61" s="116"/>
      <c r="D61" s="117"/>
      <c r="E61" s="117"/>
      <c r="F61" s="115"/>
      <c r="G61" s="118"/>
      <c r="H61" s="115"/>
      <c r="I61" s="115"/>
      <c r="J61" s="115"/>
    </row>
    <row r="62" spans="2:10" x14ac:dyDescent="0.3">
      <c r="B62" s="115"/>
      <c r="C62" s="116"/>
      <c r="D62" s="117"/>
      <c r="E62" s="117"/>
      <c r="F62" s="115"/>
      <c r="G62" s="118"/>
      <c r="H62" s="115"/>
      <c r="I62" s="115"/>
      <c r="J62" s="115"/>
    </row>
    <row r="63" spans="2:10" x14ac:dyDescent="0.3">
      <c r="B63" s="115"/>
      <c r="C63" s="116"/>
      <c r="D63" s="117"/>
      <c r="E63" s="117"/>
      <c r="F63" s="115"/>
      <c r="G63" s="118"/>
      <c r="H63" s="115"/>
      <c r="I63" s="115"/>
      <c r="J63" s="115"/>
    </row>
    <row r="64" spans="2:10" x14ac:dyDescent="0.3">
      <c r="B64" s="115"/>
      <c r="C64" s="116"/>
      <c r="D64" s="117"/>
      <c r="E64" s="117"/>
      <c r="F64" s="115"/>
      <c r="G64" s="118"/>
      <c r="H64" s="115"/>
      <c r="I64" s="115"/>
      <c r="J64" s="115"/>
    </row>
    <row r="65" spans="2:10" x14ac:dyDescent="0.3">
      <c r="B65" s="115"/>
      <c r="C65" s="116"/>
      <c r="D65" s="117"/>
      <c r="E65" s="117"/>
      <c r="F65" s="115"/>
      <c r="G65" s="118"/>
      <c r="H65" s="115"/>
      <c r="I65" s="115"/>
      <c r="J65" s="115"/>
    </row>
    <row r="66" spans="2:10" x14ac:dyDescent="0.3">
      <c r="B66" s="115"/>
      <c r="C66" s="116"/>
      <c r="D66" s="117"/>
      <c r="E66" s="117"/>
      <c r="F66" s="115"/>
      <c r="G66" s="118"/>
      <c r="H66" s="115"/>
      <c r="I66" s="115"/>
      <c r="J66" s="115"/>
    </row>
    <row r="67" spans="2:10" x14ac:dyDescent="0.3">
      <c r="B67" s="115"/>
      <c r="C67" s="116"/>
      <c r="D67" s="117"/>
      <c r="E67" s="117"/>
      <c r="F67" s="115"/>
      <c r="G67" s="118"/>
      <c r="H67" s="115"/>
      <c r="I67" s="115"/>
      <c r="J67" s="115"/>
    </row>
    <row r="68" spans="2:10" x14ac:dyDescent="0.3">
      <c r="B68" s="115"/>
      <c r="C68" s="116"/>
      <c r="D68" s="117"/>
      <c r="E68" s="117"/>
      <c r="F68" s="115"/>
      <c r="G68" s="118"/>
      <c r="H68" s="115"/>
      <c r="I68" s="115"/>
      <c r="J68" s="115"/>
    </row>
    <row r="69" spans="2:10" x14ac:dyDescent="0.3">
      <c r="B69" s="115"/>
      <c r="C69" s="116"/>
      <c r="D69" s="117"/>
      <c r="E69" s="117"/>
      <c r="F69" s="115"/>
      <c r="G69" s="118"/>
      <c r="H69" s="115"/>
      <c r="I69" s="115"/>
      <c r="J69" s="115"/>
    </row>
    <row r="70" spans="2:10" x14ac:dyDescent="0.3">
      <c r="B70" s="115"/>
      <c r="C70" s="116"/>
      <c r="D70" s="117"/>
      <c r="E70" s="117"/>
      <c r="F70" s="115"/>
      <c r="G70" s="118"/>
      <c r="H70" s="115"/>
      <c r="I70" s="115"/>
      <c r="J70" s="115"/>
    </row>
    <row r="71" spans="2:10" x14ac:dyDescent="0.3">
      <c r="B71" s="115"/>
      <c r="C71" s="116"/>
      <c r="D71" s="117"/>
      <c r="E71" s="117"/>
      <c r="F71" s="115"/>
      <c r="G71" s="118"/>
      <c r="H71" s="115"/>
      <c r="I71" s="115"/>
      <c r="J71" s="115"/>
    </row>
    <row r="72" spans="2:10" x14ac:dyDescent="0.3">
      <c r="B72" s="115"/>
      <c r="C72" s="116"/>
      <c r="D72" s="117"/>
      <c r="E72" s="117"/>
      <c r="F72" s="115"/>
      <c r="G72" s="118"/>
      <c r="H72" s="115"/>
      <c r="I72" s="115"/>
      <c r="J72" s="115"/>
    </row>
    <row r="73" spans="2:10" x14ac:dyDescent="0.3">
      <c r="B73" s="115"/>
      <c r="C73" s="116"/>
      <c r="D73" s="117"/>
      <c r="E73" s="117"/>
      <c r="F73" s="115"/>
      <c r="G73" s="118"/>
      <c r="H73" s="115"/>
      <c r="I73" s="115"/>
      <c r="J73" s="115"/>
    </row>
    <row r="74" spans="2:10" x14ac:dyDescent="0.3">
      <c r="B74" s="115"/>
      <c r="C74" s="116"/>
      <c r="D74" s="117"/>
      <c r="E74" s="117"/>
      <c r="F74" s="115"/>
      <c r="G74" s="118"/>
      <c r="H74" s="115"/>
      <c r="I74" s="115"/>
      <c r="J74" s="115"/>
    </row>
    <row r="75" spans="2:10" x14ac:dyDescent="0.3">
      <c r="B75" s="115"/>
      <c r="C75" s="116"/>
      <c r="D75" s="117"/>
      <c r="E75" s="117"/>
      <c r="F75" s="115"/>
      <c r="G75" s="118"/>
      <c r="H75" s="115"/>
      <c r="I75" s="115"/>
      <c r="J75" s="115"/>
    </row>
    <row r="76" spans="2:10" x14ac:dyDescent="0.3">
      <c r="B76" s="115"/>
      <c r="C76" s="116"/>
      <c r="D76" s="117"/>
      <c r="E76" s="117"/>
      <c r="F76" s="115"/>
      <c r="G76" s="118"/>
      <c r="H76" s="115"/>
      <c r="I76" s="115"/>
      <c r="J76" s="115"/>
    </row>
    <row r="77" spans="2:10" x14ac:dyDescent="0.3">
      <c r="B77" s="115"/>
      <c r="C77" s="116"/>
      <c r="D77" s="117"/>
      <c r="E77" s="117"/>
      <c r="F77" s="115"/>
      <c r="G77" s="118"/>
      <c r="H77" s="115"/>
      <c r="I77" s="115"/>
      <c r="J77" s="115"/>
    </row>
    <row r="78" spans="2:10" x14ac:dyDescent="0.3">
      <c r="B78" s="115"/>
      <c r="C78" s="116"/>
      <c r="D78" s="117"/>
      <c r="E78" s="117"/>
      <c r="F78" s="115"/>
      <c r="G78" s="118"/>
      <c r="H78" s="115"/>
      <c r="I78" s="115"/>
      <c r="J78" s="115"/>
    </row>
    <row r="79" spans="2:10" x14ac:dyDescent="0.3">
      <c r="B79" s="115"/>
      <c r="C79" s="116"/>
      <c r="D79" s="117"/>
      <c r="E79" s="117"/>
      <c r="F79" s="115"/>
      <c r="G79" s="118"/>
      <c r="H79" s="115"/>
      <c r="I79" s="115"/>
      <c r="J79" s="115"/>
    </row>
    <row r="80" spans="2:10" x14ac:dyDescent="0.3">
      <c r="B80" s="115"/>
      <c r="C80" s="116"/>
      <c r="D80" s="117"/>
      <c r="E80" s="117"/>
      <c r="F80" s="115"/>
      <c r="G80" s="118"/>
      <c r="H80" s="115"/>
      <c r="I80" s="115"/>
      <c r="J80" s="115"/>
    </row>
    <row r="81" spans="2:10" x14ac:dyDescent="0.3">
      <c r="B81" s="115"/>
      <c r="C81" s="116"/>
      <c r="D81" s="117"/>
      <c r="E81" s="117"/>
      <c r="F81" s="115"/>
      <c r="G81" s="118"/>
      <c r="H81" s="115"/>
      <c r="I81" s="115"/>
      <c r="J81" s="115"/>
    </row>
    <row r="82" spans="2:10" x14ac:dyDescent="0.3">
      <c r="B82" s="115"/>
      <c r="C82" s="116"/>
      <c r="D82" s="117"/>
      <c r="E82" s="117"/>
      <c r="F82" s="115"/>
      <c r="G82" s="118"/>
      <c r="H82" s="115"/>
      <c r="I82" s="115"/>
      <c r="J82" s="115"/>
    </row>
    <row r="83" spans="2:10" x14ac:dyDescent="0.3">
      <c r="B83" s="115"/>
      <c r="C83" s="116"/>
      <c r="D83" s="117"/>
      <c r="E83" s="117"/>
      <c r="F83" s="115"/>
      <c r="G83" s="118"/>
      <c r="H83" s="115"/>
      <c r="I83" s="115"/>
      <c r="J83" s="115"/>
    </row>
    <row r="84" spans="2:10" x14ac:dyDescent="0.3">
      <c r="B84" s="115"/>
      <c r="C84" s="116"/>
      <c r="D84" s="117"/>
      <c r="E84" s="117"/>
      <c r="F84" s="115"/>
      <c r="G84" s="118"/>
      <c r="H84" s="115"/>
      <c r="I84" s="115"/>
      <c r="J84" s="115"/>
    </row>
    <row r="85" spans="2:10" x14ac:dyDescent="0.3">
      <c r="B85" s="115"/>
      <c r="C85" s="116"/>
      <c r="D85" s="117"/>
      <c r="E85" s="117"/>
      <c r="F85" s="115"/>
      <c r="G85" s="118"/>
      <c r="H85" s="115"/>
      <c r="I85" s="115"/>
      <c r="J85" s="115"/>
    </row>
    <row r="86" spans="2:10" x14ac:dyDescent="0.3">
      <c r="B86" s="115"/>
      <c r="C86" s="116"/>
      <c r="D86" s="117"/>
      <c r="E86" s="117"/>
      <c r="F86" s="115"/>
      <c r="G86" s="118"/>
      <c r="H86" s="115"/>
      <c r="I86" s="115"/>
      <c r="J86" s="115"/>
    </row>
    <row r="87" spans="2:10" x14ac:dyDescent="0.3">
      <c r="B87" s="115"/>
      <c r="C87" s="116"/>
      <c r="D87" s="117"/>
      <c r="E87" s="117"/>
      <c r="F87" s="115"/>
      <c r="G87" s="118"/>
      <c r="H87" s="115"/>
      <c r="I87" s="115"/>
      <c r="J87" s="115"/>
    </row>
    <row r="88" spans="2:10" x14ac:dyDescent="0.3">
      <c r="B88" s="115"/>
      <c r="C88" s="116"/>
      <c r="D88" s="117"/>
      <c r="E88" s="117"/>
      <c r="F88" s="115"/>
      <c r="G88" s="118"/>
      <c r="H88" s="115"/>
      <c r="I88" s="115"/>
      <c r="J88" s="115"/>
    </row>
    <row r="89" spans="2:10" x14ac:dyDescent="0.3">
      <c r="B89" s="115"/>
      <c r="C89" s="116"/>
      <c r="D89" s="117"/>
      <c r="E89" s="117"/>
      <c r="F89" s="115"/>
      <c r="G89" s="118"/>
      <c r="H89" s="115"/>
      <c r="I89" s="115"/>
      <c r="J89" s="115"/>
    </row>
    <row r="90" spans="2:10" x14ac:dyDescent="0.3">
      <c r="B90" s="115"/>
      <c r="C90" s="116"/>
      <c r="D90" s="117"/>
      <c r="E90" s="117"/>
      <c r="F90" s="115"/>
      <c r="G90" s="118"/>
      <c r="H90" s="115"/>
      <c r="I90" s="115"/>
      <c r="J90" s="115"/>
    </row>
    <row r="91" spans="2:10" x14ac:dyDescent="0.3">
      <c r="B91" s="115"/>
      <c r="C91" s="116"/>
      <c r="D91" s="117"/>
      <c r="E91" s="117"/>
      <c r="F91" s="115"/>
      <c r="G91" s="118"/>
      <c r="H91" s="115"/>
      <c r="I91" s="115"/>
      <c r="J91" s="115"/>
    </row>
    <row r="92" spans="2:10" x14ac:dyDescent="0.3">
      <c r="B92" s="115"/>
      <c r="C92" s="116"/>
      <c r="D92" s="117"/>
      <c r="E92" s="117"/>
      <c r="F92" s="115"/>
      <c r="G92" s="118"/>
      <c r="H92" s="115"/>
      <c r="I92" s="115"/>
      <c r="J92" s="115"/>
    </row>
    <row r="93" spans="2:10" x14ac:dyDescent="0.3">
      <c r="B93" s="115"/>
      <c r="C93" s="116"/>
      <c r="D93" s="117"/>
      <c r="E93" s="117"/>
      <c r="F93" s="115"/>
      <c r="G93" s="118"/>
      <c r="H93" s="115"/>
      <c r="I93" s="115"/>
      <c r="J93" s="115"/>
    </row>
    <row r="94" spans="2:10" x14ac:dyDescent="0.3">
      <c r="B94" s="115"/>
      <c r="C94" s="116"/>
      <c r="D94" s="117"/>
      <c r="E94" s="117"/>
      <c r="F94" s="115"/>
      <c r="G94" s="118"/>
      <c r="H94" s="115"/>
      <c r="I94" s="115"/>
      <c r="J94" s="115"/>
    </row>
    <row r="95" spans="2:10" x14ac:dyDescent="0.3">
      <c r="B95" s="115"/>
      <c r="C95" s="116"/>
      <c r="D95" s="117"/>
      <c r="E95" s="117"/>
      <c r="F95" s="115"/>
      <c r="G95" s="118"/>
      <c r="H95" s="115"/>
      <c r="I95" s="115"/>
      <c r="J95" s="115"/>
    </row>
    <row r="96" spans="2:10" x14ac:dyDescent="0.3">
      <c r="B96" s="115"/>
      <c r="C96" s="116"/>
      <c r="D96" s="117"/>
      <c r="E96" s="117"/>
      <c r="F96" s="115"/>
      <c r="G96" s="118"/>
      <c r="H96" s="115"/>
      <c r="I96" s="115"/>
      <c r="J96" s="115"/>
    </row>
    <row r="97" spans="2:10" x14ac:dyDescent="0.3">
      <c r="B97" s="115"/>
      <c r="C97" s="116"/>
      <c r="D97" s="117"/>
      <c r="E97" s="117"/>
      <c r="F97" s="115"/>
      <c r="G97" s="118"/>
      <c r="H97" s="115"/>
      <c r="I97" s="115"/>
      <c r="J97" s="115"/>
    </row>
    <row r="98" spans="2:10" x14ac:dyDescent="0.3">
      <c r="B98" s="115"/>
      <c r="C98" s="116"/>
      <c r="D98" s="117"/>
      <c r="E98" s="117"/>
      <c r="F98" s="115"/>
      <c r="G98" s="118"/>
      <c r="H98" s="115"/>
      <c r="I98" s="115"/>
      <c r="J98" s="115"/>
    </row>
    <row r="99" spans="2:10" x14ac:dyDescent="0.3">
      <c r="B99" s="115"/>
      <c r="C99" s="116"/>
      <c r="D99" s="117"/>
      <c r="E99" s="117"/>
      <c r="F99" s="115"/>
      <c r="G99" s="118"/>
      <c r="H99" s="115"/>
      <c r="I99" s="115"/>
      <c r="J99" s="115"/>
    </row>
    <row r="100" spans="2:10" x14ac:dyDescent="0.3">
      <c r="B100" s="115"/>
      <c r="C100" s="116"/>
      <c r="D100" s="117"/>
      <c r="E100" s="117"/>
      <c r="F100" s="115"/>
      <c r="G100" s="118"/>
      <c r="H100" s="115"/>
      <c r="I100" s="115"/>
      <c r="J100" s="115"/>
    </row>
    <row r="101" spans="2:10" x14ac:dyDescent="0.3">
      <c r="B101" s="115"/>
      <c r="C101" s="116"/>
      <c r="D101" s="117"/>
      <c r="E101" s="117"/>
      <c r="F101" s="115"/>
      <c r="G101" s="118"/>
      <c r="H101" s="115"/>
      <c r="I101" s="115"/>
      <c r="J101" s="115"/>
    </row>
    <row r="102" spans="2:10" x14ac:dyDescent="0.3">
      <c r="B102" s="115"/>
      <c r="C102" s="116"/>
      <c r="D102" s="117"/>
      <c r="E102" s="117"/>
      <c r="F102" s="115"/>
      <c r="G102" s="118"/>
      <c r="H102" s="115"/>
      <c r="I102" s="115"/>
      <c r="J102" s="115"/>
    </row>
    <row r="103" spans="2:10" x14ac:dyDescent="0.3">
      <c r="B103" s="115"/>
      <c r="C103" s="116"/>
      <c r="D103" s="117"/>
      <c r="E103" s="117"/>
      <c r="F103" s="115"/>
      <c r="G103" s="118"/>
      <c r="H103" s="115"/>
      <c r="I103" s="115"/>
      <c r="J103" s="115"/>
    </row>
    <row r="104" spans="2:10" x14ac:dyDescent="0.3">
      <c r="B104" s="115"/>
      <c r="C104" s="116"/>
      <c r="D104" s="117"/>
      <c r="E104" s="117"/>
      <c r="F104" s="115"/>
      <c r="G104" s="118"/>
      <c r="H104" s="115"/>
      <c r="I104" s="115"/>
      <c r="J104" s="115"/>
    </row>
    <row r="105" spans="2:10" x14ac:dyDescent="0.3">
      <c r="B105" s="115"/>
      <c r="C105" s="116"/>
      <c r="D105" s="117"/>
      <c r="E105" s="117"/>
      <c r="F105" s="115"/>
      <c r="G105" s="118"/>
      <c r="H105" s="115"/>
      <c r="I105" s="115"/>
      <c r="J105" s="115"/>
    </row>
    <row r="106" spans="2:10" x14ac:dyDescent="0.3">
      <c r="B106" s="115"/>
      <c r="C106" s="116"/>
      <c r="D106" s="117"/>
      <c r="E106" s="117"/>
      <c r="F106" s="115"/>
      <c r="G106" s="118"/>
      <c r="H106" s="115"/>
      <c r="I106" s="115"/>
      <c r="J106" s="115"/>
    </row>
    <row r="107" spans="2:10" x14ac:dyDescent="0.3">
      <c r="B107" s="115"/>
      <c r="C107" s="116"/>
      <c r="D107" s="117"/>
      <c r="E107" s="117"/>
      <c r="F107" s="115"/>
      <c r="G107" s="118"/>
      <c r="H107" s="115"/>
      <c r="I107" s="115"/>
      <c r="J107" s="115"/>
    </row>
    <row r="108" spans="2:10" x14ac:dyDescent="0.3">
      <c r="B108" s="115"/>
      <c r="C108" s="116"/>
      <c r="D108" s="117"/>
      <c r="E108" s="117"/>
      <c r="F108" s="115"/>
      <c r="G108" s="118"/>
      <c r="H108" s="115"/>
      <c r="I108" s="115"/>
      <c r="J108" s="115"/>
    </row>
    <row r="109" spans="2:10" x14ac:dyDescent="0.3">
      <c r="B109" s="115"/>
      <c r="C109" s="116"/>
      <c r="D109" s="117"/>
      <c r="E109" s="117"/>
      <c r="F109" s="115"/>
      <c r="G109" s="118"/>
      <c r="H109" s="115"/>
      <c r="I109" s="115"/>
      <c r="J109" s="115"/>
    </row>
    <row r="110" spans="2:10" x14ac:dyDescent="0.3">
      <c r="B110" s="115"/>
      <c r="C110" s="116"/>
      <c r="D110" s="117"/>
      <c r="E110" s="117"/>
      <c r="F110" s="115"/>
      <c r="G110" s="118"/>
      <c r="H110" s="115"/>
      <c r="I110" s="115"/>
      <c r="J110" s="115"/>
    </row>
    <row r="111" spans="2:10" x14ac:dyDescent="0.3">
      <c r="B111" s="115"/>
      <c r="C111" s="116"/>
      <c r="D111" s="117"/>
      <c r="E111" s="117"/>
      <c r="F111" s="115"/>
      <c r="G111" s="118"/>
      <c r="H111" s="115"/>
      <c r="I111" s="115"/>
      <c r="J111" s="115"/>
    </row>
    <row r="112" spans="2:10" x14ac:dyDescent="0.3">
      <c r="B112" s="115"/>
      <c r="C112" s="116"/>
      <c r="D112" s="117"/>
      <c r="E112" s="117"/>
      <c r="F112" s="115"/>
      <c r="G112" s="118"/>
      <c r="H112" s="115"/>
      <c r="I112" s="115"/>
      <c r="J112" s="115"/>
    </row>
    <row r="113" spans="2:10" x14ac:dyDescent="0.3">
      <c r="B113" s="115"/>
      <c r="C113" s="116"/>
      <c r="D113" s="117"/>
      <c r="E113" s="117"/>
      <c r="F113" s="115"/>
      <c r="G113" s="118"/>
      <c r="H113" s="115"/>
      <c r="I113" s="115"/>
      <c r="J113" s="115"/>
    </row>
    <row r="114" spans="2:10" x14ac:dyDescent="0.3">
      <c r="B114" s="115"/>
      <c r="C114" s="116"/>
      <c r="D114" s="117"/>
      <c r="E114" s="117"/>
      <c r="F114" s="115"/>
      <c r="G114" s="118"/>
      <c r="H114" s="115"/>
      <c r="I114" s="115"/>
      <c r="J114" s="115"/>
    </row>
    <row r="115" spans="2:10" x14ac:dyDescent="0.3">
      <c r="B115" s="115"/>
      <c r="C115" s="116"/>
      <c r="D115" s="117"/>
      <c r="E115" s="117"/>
      <c r="F115" s="115"/>
      <c r="G115" s="118"/>
      <c r="H115" s="115"/>
      <c r="I115" s="115"/>
      <c r="J115" s="115"/>
    </row>
    <row r="116" spans="2:10" x14ac:dyDescent="0.3">
      <c r="B116" s="115"/>
      <c r="C116" s="116"/>
      <c r="D116" s="117"/>
      <c r="E116" s="117"/>
      <c r="F116" s="115"/>
      <c r="G116" s="118"/>
      <c r="H116" s="115"/>
      <c r="I116" s="115"/>
      <c r="J116" s="115"/>
    </row>
    <row r="117" spans="2:10" x14ac:dyDescent="0.3">
      <c r="B117" s="115"/>
      <c r="C117" s="116"/>
      <c r="D117" s="117"/>
      <c r="E117" s="117"/>
      <c r="F117" s="115"/>
      <c r="G117" s="118"/>
      <c r="H117" s="115"/>
      <c r="I117" s="115"/>
      <c r="J117" s="115"/>
    </row>
    <row r="118" spans="2:10" x14ac:dyDescent="0.3">
      <c r="B118" s="115"/>
      <c r="C118" s="116"/>
      <c r="D118" s="117"/>
      <c r="E118" s="117"/>
      <c r="F118" s="115"/>
      <c r="G118" s="118"/>
      <c r="H118" s="115"/>
      <c r="I118" s="115"/>
      <c r="J118" s="115"/>
    </row>
    <row r="119" spans="2:10" x14ac:dyDescent="0.3">
      <c r="B119" s="115"/>
      <c r="C119" s="116"/>
      <c r="D119" s="117"/>
      <c r="E119" s="117"/>
      <c r="F119" s="115"/>
      <c r="G119" s="118"/>
      <c r="H119" s="115"/>
      <c r="I119" s="115"/>
      <c r="J119" s="115"/>
    </row>
    <row r="120" spans="2:10" x14ac:dyDescent="0.3">
      <c r="B120" s="115"/>
      <c r="C120" s="116"/>
      <c r="D120" s="117"/>
      <c r="E120" s="117"/>
      <c r="F120" s="115"/>
      <c r="G120" s="118"/>
      <c r="H120" s="115"/>
      <c r="I120" s="115"/>
      <c r="J120" s="115"/>
    </row>
    <row r="121" spans="2:10" x14ac:dyDescent="0.3">
      <c r="B121" s="115"/>
      <c r="C121" s="116"/>
      <c r="D121" s="117"/>
      <c r="E121" s="117"/>
      <c r="F121" s="115"/>
      <c r="G121" s="118"/>
      <c r="H121" s="115"/>
      <c r="I121" s="115"/>
      <c r="J121" s="115"/>
    </row>
    <row r="122" spans="2:10" x14ac:dyDescent="0.3">
      <c r="B122" s="115"/>
      <c r="C122" s="116"/>
      <c r="D122" s="117"/>
      <c r="E122" s="117"/>
      <c r="F122" s="115"/>
      <c r="G122" s="118"/>
      <c r="H122" s="115"/>
      <c r="I122" s="115"/>
      <c r="J122" s="115"/>
    </row>
    <row r="123" spans="2:10" x14ac:dyDescent="0.3">
      <c r="B123" s="115"/>
      <c r="C123" s="116"/>
      <c r="D123" s="117"/>
      <c r="E123" s="117"/>
      <c r="F123" s="115"/>
      <c r="G123" s="118"/>
      <c r="H123" s="115"/>
      <c r="I123" s="115"/>
      <c r="J123" s="115"/>
    </row>
    <row r="124" spans="2:10" x14ac:dyDescent="0.3">
      <c r="B124" s="115"/>
      <c r="C124" s="116"/>
      <c r="D124" s="117"/>
      <c r="E124" s="117"/>
      <c r="F124" s="115"/>
      <c r="G124" s="118"/>
      <c r="H124" s="115"/>
      <c r="I124" s="115"/>
      <c r="J124" s="115"/>
    </row>
    <row r="125" spans="2:10" x14ac:dyDescent="0.3">
      <c r="B125" s="115"/>
      <c r="C125" s="116"/>
      <c r="D125" s="117"/>
      <c r="E125" s="117"/>
      <c r="F125" s="115"/>
      <c r="G125" s="118"/>
      <c r="H125" s="115"/>
      <c r="I125" s="115"/>
      <c r="J125" s="115"/>
    </row>
    <row r="126" spans="2:10" x14ac:dyDescent="0.3">
      <c r="B126" s="115"/>
      <c r="C126" s="116"/>
      <c r="D126" s="117"/>
      <c r="E126" s="117"/>
      <c r="F126" s="115"/>
      <c r="G126" s="118"/>
      <c r="H126" s="115"/>
      <c r="I126" s="115"/>
      <c r="J126" s="115"/>
    </row>
    <row r="127" spans="2:10" x14ac:dyDescent="0.3">
      <c r="B127" s="115"/>
      <c r="C127" s="116"/>
      <c r="D127" s="117"/>
      <c r="E127" s="117"/>
      <c r="F127" s="115"/>
      <c r="G127" s="118"/>
      <c r="H127" s="115"/>
      <c r="I127" s="115"/>
      <c r="J127" s="115"/>
    </row>
    <row r="128" spans="2:10" x14ac:dyDescent="0.3">
      <c r="B128" s="115"/>
      <c r="C128" s="116"/>
      <c r="D128" s="117"/>
      <c r="E128" s="117"/>
      <c r="F128" s="115"/>
      <c r="G128" s="118"/>
      <c r="H128" s="115"/>
      <c r="I128" s="115"/>
      <c r="J128" s="115"/>
    </row>
    <row r="129" spans="2:10" x14ac:dyDescent="0.3">
      <c r="B129" s="115"/>
      <c r="C129" s="116"/>
      <c r="D129" s="117"/>
      <c r="E129" s="117"/>
      <c r="F129" s="115"/>
      <c r="G129" s="118"/>
      <c r="H129" s="115"/>
      <c r="I129" s="115"/>
      <c r="J129" s="115"/>
    </row>
    <row r="130" spans="2:10" x14ac:dyDescent="0.3">
      <c r="B130" s="115"/>
      <c r="C130" s="116"/>
      <c r="D130" s="117"/>
      <c r="E130" s="117"/>
      <c r="F130" s="115"/>
      <c r="G130" s="118"/>
      <c r="H130" s="115"/>
      <c r="I130" s="115"/>
      <c r="J130" s="115"/>
    </row>
    <row r="131" spans="2:10" x14ac:dyDescent="0.3">
      <c r="B131" s="115"/>
      <c r="C131" s="116"/>
      <c r="D131" s="117"/>
      <c r="E131" s="117"/>
      <c r="F131" s="115"/>
      <c r="G131" s="118"/>
      <c r="H131" s="115"/>
      <c r="I131" s="115"/>
      <c r="J131" s="115"/>
    </row>
    <row r="132" spans="2:10" x14ac:dyDescent="0.3">
      <c r="B132" s="115"/>
      <c r="C132" s="116"/>
      <c r="D132" s="117"/>
      <c r="E132" s="117"/>
      <c r="F132" s="115"/>
      <c r="G132" s="118"/>
      <c r="H132" s="115"/>
      <c r="I132" s="115"/>
      <c r="J132" s="115"/>
    </row>
    <row r="133" spans="2:10" x14ac:dyDescent="0.3">
      <c r="B133" s="115"/>
      <c r="C133" s="116"/>
      <c r="D133" s="117"/>
      <c r="E133" s="117"/>
      <c r="F133" s="115"/>
      <c r="G133" s="118"/>
      <c r="H133" s="115"/>
      <c r="I133" s="115"/>
      <c r="J133" s="115"/>
    </row>
    <row r="134" spans="2:10" x14ac:dyDescent="0.3">
      <c r="B134" s="115"/>
      <c r="C134" s="116"/>
      <c r="D134" s="117"/>
      <c r="E134" s="117"/>
      <c r="F134" s="115"/>
      <c r="G134" s="118"/>
      <c r="H134" s="115"/>
      <c r="I134" s="115"/>
      <c r="J134" s="115"/>
    </row>
    <row r="135" spans="2:10" x14ac:dyDescent="0.3">
      <c r="B135" s="115"/>
      <c r="C135" s="116"/>
      <c r="D135" s="117"/>
      <c r="E135" s="117"/>
      <c r="F135" s="115"/>
      <c r="G135" s="118"/>
      <c r="H135" s="115"/>
      <c r="I135" s="115"/>
      <c r="J135" s="115"/>
    </row>
    <row r="136" spans="2:10" x14ac:dyDescent="0.3">
      <c r="B136" s="115"/>
      <c r="C136" s="116"/>
      <c r="D136" s="117"/>
      <c r="E136" s="117"/>
      <c r="F136" s="115"/>
      <c r="G136" s="118"/>
      <c r="H136" s="115"/>
      <c r="I136" s="115"/>
      <c r="J136" s="115"/>
    </row>
    <row r="137" spans="2:10" x14ac:dyDescent="0.3">
      <c r="B137" s="115"/>
      <c r="C137" s="116"/>
      <c r="D137" s="117"/>
      <c r="E137" s="117"/>
      <c r="F137" s="115"/>
      <c r="G137" s="118"/>
      <c r="H137" s="115"/>
      <c r="I137" s="115"/>
      <c r="J137" s="115"/>
    </row>
    <row r="138" spans="2:10" x14ac:dyDescent="0.3">
      <c r="B138" s="115"/>
      <c r="C138" s="116"/>
      <c r="D138" s="117"/>
      <c r="E138" s="117"/>
      <c r="F138" s="115"/>
      <c r="G138" s="118"/>
      <c r="H138" s="115"/>
      <c r="I138" s="115"/>
      <c r="J138" s="115"/>
    </row>
    <row r="139" spans="2:10" x14ac:dyDescent="0.3">
      <c r="B139" s="115"/>
      <c r="C139" s="116"/>
      <c r="D139" s="117"/>
      <c r="E139" s="117"/>
      <c r="F139" s="115"/>
      <c r="G139" s="118"/>
      <c r="H139" s="115"/>
      <c r="I139" s="115"/>
      <c r="J139" s="115"/>
    </row>
    <row r="140" spans="2:10" x14ac:dyDescent="0.3">
      <c r="B140" s="115"/>
      <c r="C140" s="116"/>
      <c r="D140" s="117"/>
      <c r="E140" s="117"/>
      <c r="F140" s="115"/>
      <c r="G140" s="118"/>
      <c r="H140" s="115"/>
      <c r="I140" s="115"/>
      <c r="J140" s="115"/>
    </row>
    <row r="141" spans="2:10" x14ac:dyDescent="0.3">
      <c r="B141" s="115"/>
      <c r="C141" s="116"/>
      <c r="D141" s="117"/>
      <c r="E141" s="117"/>
      <c r="F141" s="115"/>
      <c r="G141" s="118"/>
      <c r="H141" s="115"/>
      <c r="I141" s="115"/>
      <c r="J141" s="115"/>
    </row>
    <row r="142" spans="2:10" x14ac:dyDescent="0.3">
      <c r="B142" s="115"/>
      <c r="C142" s="116"/>
      <c r="D142" s="117"/>
      <c r="E142" s="117"/>
      <c r="F142" s="115"/>
      <c r="G142" s="118"/>
      <c r="H142" s="115"/>
      <c r="I142" s="115"/>
      <c r="J142" s="115"/>
    </row>
    <row r="143" spans="2:10" x14ac:dyDescent="0.3">
      <c r="B143" s="115"/>
      <c r="C143" s="116"/>
      <c r="D143" s="117"/>
      <c r="E143" s="117"/>
      <c r="F143" s="115"/>
      <c r="G143" s="118"/>
      <c r="H143" s="115"/>
      <c r="I143" s="115"/>
      <c r="J143" s="115"/>
    </row>
    <row r="144" spans="2:10" x14ac:dyDescent="0.3">
      <c r="B144" s="115"/>
      <c r="C144" s="116"/>
      <c r="D144" s="117"/>
      <c r="E144" s="117"/>
      <c r="F144" s="115"/>
      <c r="G144" s="118"/>
      <c r="H144" s="115"/>
      <c r="I144" s="115"/>
      <c r="J144" s="115"/>
    </row>
    <row r="145" spans="2:10" x14ac:dyDescent="0.3">
      <c r="B145" s="115"/>
      <c r="C145" s="116"/>
      <c r="D145" s="117"/>
      <c r="E145" s="117"/>
      <c r="F145" s="115"/>
      <c r="G145" s="118"/>
      <c r="H145" s="115"/>
      <c r="I145" s="115"/>
      <c r="J145" s="115"/>
    </row>
    <row r="146" spans="2:10" x14ac:dyDescent="0.3">
      <c r="B146" s="115"/>
      <c r="C146" s="116"/>
      <c r="D146" s="117"/>
      <c r="E146" s="117"/>
      <c r="F146" s="115"/>
      <c r="G146" s="118"/>
      <c r="H146" s="115"/>
      <c r="I146" s="115"/>
      <c r="J146" s="115"/>
    </row>
    <row r="147" spans="2:10" x14ac:dyDescent="0.3">
      <c r="B147" s="115"/>
      <c r="C147" s="116"/>
      <c r="D147" s="117"/>
      <c r="E147" s="117"/>
      <c r="F147" s="115"/>
      <c r="G147" s="118"/>
      <c r="H147" s="115"/>
      <c r="I147" s="115"/>
      <c r="J147" s="115"/>
    </row>
    <row r="148" spans="2:10" x14ac:dyDescent="0.3">
      <c r="B148" s="115"/>
      <c r="C148" s="116"/>
      <c r="D148" s="117"/>
      <c r="E148" s="117"/>
      <c r="F148" s="115"/>
      <c r="G148" s="118"/>
      <c r="H148" s="115"/>
      <c r="I148" s="115"/>
      <c r="J148" s="115"/>
    </row>
    <row r="149" spans="2:10" x14ac:dyDescent="0.3">
      <c r="B149" s="115"/>
      <c r="C149" s="116"/>
      <c r="D149" s="117"/>
      <c r="E149" s="117"/>
      <c r="F149" s="115"/>
      <c r="G149" s="118"/>
      <c r="H149" s="115"/>
      <c r="I149" s="115"/>
      <c r="J149" s="115"/>
    </row>
    <row r="150" spans="2:10" x14ac:dyDescent="0.3">
      <c r="B150" s="115"/>
      <c r="C150" s="116"/>
      <c r="D150" s="117"/>
      <c r="E150" s="117"/>
      <c r="F150" s="115"/>
      <c r="G150" s="118"/>
      <c r="H150" s="115"/>
      <c r="I150" s="115"/>
      <c r="J150" s="115"/>
    </row>
    <row r="151" spans="2:10" x14ac:dyDescent="0.3">
      <c r="B151" s="115"/>
      <c r="C151" s="116"/>
      <c r="D151" s="117"/>
      <c r="E151" s="117"/>
      <c r="F151" s="115"/>
      <c r="G151" s="118"/>
      <c r="H151" s="115"/>
      <c r="I151" s="115"/>
      <c r="J151" s="115"/>
    </row>
    <row r="152" spans="2:10" x14ac:dyDescent="0.3">
      <c r="B152" s="115"/>
      <c r="C152" s="116"/>
      <c r="D152" s="117"/>
      <c r="E152" s="117"/>
      <c r="F152" s="115"/>
      <c r="G152" s="118"/>
      <c r="H152" s="115"/>
      <c r="I152" s="115"/>
      <c r="J152" s="115"/>
    </row>
    <row r="153" spans="2:10" x14ac:dyDescent="0.3">
      <c r="B153" s="115"/>
      <c r="C153" s="116"/>
      <c r="D153" s="117"/>
      <c r="E153" s="117"/>
      <c r="F153" s="115"/>
      <c r="G153" s="118"/>
      <c r="H153" s="115"/>
      <c r="I153" s="115"/>
      <c r="J153" s="115"/>
    </row>
    <row r="154" spans="2:10" x14ac:dyDescent="0.3">
      <c r="B154" s="115"/>
      <c r="C154" s="116"/>
      <c r="D154" s="117"/>
      <c r="E154" s="117"/>
      <c r="F154" s="115"/>
      <c r="G154" s="118"/>
      <c r="H154" s="115"/>
      <c r="I154" s="115"/>
      <c r="J154" s="115"/>
    </row>
    <row r="155" spans="2:10" x14ac:dyDescent="0.3">
      <c r="B155" s="115"/>
      <c r="C155" s="116"/>
      <c r="D155" s="117"/>
      <c r="E155" s="117"/>
      <c r="F155" s="115"/>
      <c r="G155" s="118"/>
      <c r="H155" s="115"/>
      <c r="I155" s="115"/>
      <c r="J155" s="115"/>
    </row>
  </sheetData>
  <protectedRanges>
    <protectedRange sqref="B71:B80 B103:B111 B125:B133 B136:B144 B147:B155 B114:B122 B5:B68" name="Planning_1"/>
    <protectedRange sqref="B69:B70 B81:B102 B123:B124 B134:B135 B145:B146 B112:B113" name="Closing_1"/>
  </protectedRanges>
  <mergeCells count="9">
    <mergeCell ref="H2:H4"/>
    <mergeCell ref="I2:I4"/>
    <mergeCell ref="J2:J4"/>
    <mergeCell ref="B2:B4"/>
    <mergeCell ref="C2:C4"/>
    <mergeCell ref="D2:D4"/>
    <mergeCell ref="E2:E4"/>
    <mergeCell ref="F2:F4"/>
    <mergeCell ref="G2:G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CC661-37F5-43B6-8259-584B5DEB6C67}">
  <sheetPr codeName="Sheet6"/>
  <dimension ref="A1:XFC37"/>
  <sheetViews>
    <sheetView zoomScale="90" zoomScaleNormal="115" workbookViewId="0">
      <pane xSplit="2" ySplit="2" topLeftCell="C3" activePane="bottomRight" state="frozen"/>
      <selection pane="topRight" activeCell="C1" sqref="C1"/>
      <selection pane="bottomLeft" activeCell="A3" sqref="A3"/>
      <selection pane="bottomRight" activeCell="C10" sqref="C10"/>
    </sheetView>
  </sheetViews>
  <sheetFormatPr defaultColWidth="0" defaultRowHeight="14.4" x14ac:dyDescent="0.3"/>
  <cols>
    <col min="1" max="1" width="26" style="164" customWidth="1"/>
    <col min="2" max="2" width="21.33203125" style="73" customWidth="1"/>
    <col min="3" max="3" width="13" style="73" bestFit="1" customWidth="1"/>
    <col min="4" max="5" width="24.5546875" style="73" bestFit="1" customWidth="1"/>
    <col min="6" max="6" width="16.6640625" style="73" bestFit="1" customWidth="1"/>
    <col min="7" max="7" width="27" style="73" bestFit="1" customWidth="1"/>
    <col min="8" max="8" width="19.21875" style="73" bestFit="1" customWidth="1"/>
    <col min="9" max="9" width="13.6640625" style="73" bestFit="1" customWidth="1"/>
    <col min="10" max="10" width="31.88671875" style="73" customWidth="1"/>
    <col min="11" max="11" width="1.77734375" style="74" customWidth="1"/>
    <col min="12" max="16383" width="9.109375" hidden="1"/>
    <col min="16384" max="16384" width="9.88671875" hidden="1" customWidth="1"/>
  </cols>
  <sheetData>
    <row r="1" spans="1:12" s="167" customFormat="1" ht="39.6" customHeight="1" x14ac:dyDescent="0.3">
      <c r="A1" s="164"/>
      <c r="B1" s="285" t="s">
        <v>365</v>
      </c>
      <c r="C1" s="285"/>
      <c r="D1" s="285"/>
      <c r="E1" s="285"/>
      <c r="F1" s="285"/>
      <c r="G1" s="285"/>
      <c r="H1" s="285"/>
      <c r="I1" s="285"/>
      <c r="J1" s="286"/>
      <c r="K1" s="164"/>
      <c r="L1" s="166"/>
    </row>
    <row r="2" spans="1:12" s="27" customFormat="1" ht="26.4" customHeight="1" x14ac:dyDescent="0.3">
      <c r="A2" s="165"/>
      <c r="B2" s="157" t="s">
        <v>273</v>
      </c>
      <c r="C2" s="141" t="s">
        <v>274</v>
      </c>
      <c r="D2" s="141" t="s">
        <v>281</v>
      </c>
      <c r="E2" s="141" t="s">
        <v>282</v>
      </c>
      <c r="F2" s="141" t="s">
        <v>275</v>
      </c>
      <c r="G2" s="141" t="s">
        <v>276</v>
      </c>
      <c r="H2" s="141" t="s">
        <v>283</v>
      </c>
      <c r="I2" s="141" t="s">
        <v>284</v>
      </c>
      <c r="J2" s="154" t="s">
        <v>285</v>
      </c>
      <c r="K2" s="155"/>
    </row>
    <row r="3" spans="1:12" x14ac:dyDescent="0.3">
      <c r="B3" s="158" t="s">
        <v>347</v>
      </c>
      <c r="C3" s="123" t="s">
        <v>348</v>
      </c>
      <c r="D3" s="123" t="s">
        <v>357</v>
      </c>
      <c r="E3" s="123" t="s">
        <v>358</v>
      </c>
      <c r="F3" s="123" t="s">
        <v>364</v>
      </c>
      <c r="G3" s="124"/>
      <c r="H3" s="125"/>
      <c r="I3" s="123"/>
      <c r="J3" s="151"/>
      <c r="K3" s="156"/>
    </row>
    <row r="4" spans="1:12" x14ac:dyDescent="0.3">
      <c r="B4" s="158" t="s">
        <v>349</v>
      </c>
      <c r="C4" s="123" t="s">
        <v>353</v>
      </c>
      <c r="D4" s="123" t="s">
        <v>366</v>
      </c>
      <c r="E4" s="123" t="s">
        <v>360</v>
      </c>
      <c r="F4" s="123" t="s">
        <v>1</v>
      </c>
      <c r="G4" s="124"/>
      <c r="H4" s="125"/>
      <c r="I4" s="123"/>
      <c r="J4" s="151"/>
      <c r="K4" s="156"/>
    </row>
    <row r="5" spans="1:12" x14ac:dyDescent="0.3">
      <c r="B5" s="158" t="s">
        <v>350</v>
      </c>
      <c r="C5" s="123" t="s">
        <v>354</v>
      </c>
      <c r="D5" s="123" t="s">
        <v>357</v>
      </c>
      <c r="E5" s="123" t="s">
        <v>361</v>
      </c>
      <c r="F5" s="123"/>
      <c r="G5" s="123"/>
      <c r="H5" s="125"/>
      <c r="I5" s="123"/>
      <c r="J5" s="151"/>
      <c r="K5" s="156"/>
    </row>
    <row r="6" spans="1:12" x14ac:dyDescent="0.3">
      <c r="B6" s="158" t="s">
        <v>351</v>
      </c>
      <c r="C6" s="123" t="s">
        <v>355</v>
      </c>
      <c r="D6" s="123" t="s">
        <v>357</v>
      </c>
      <c r="E6" s="123" t="s">
        <v>362</v>
      </c>
      <c r="F6" s="123"/>
      <c r="G6" s="123"/>
      <c r="H6" s="125"/>
      <c r="I6" s="123"/>
      <c r="J6" s="161"/>
      <c r="K6" s="156"/>
    </row>
    <row r="7" spans="1:12" x14ac:dyDescent="0.3">
      <c r="B7" s="159" t="s">
        <v>352</v>
      </c>
      <c r="C7" s="152" t="s">
        <v>356</v>
      </c>
      <c r="D7" s="152" t="s">
        <v>359</v>
      </c>
      <c r="E7" s="152" t="s">
        <v>363</v>
      </c>
      <c r="F7" s="152"/>
      <c r="G7" s="152"/>
      <c r="H7" s="153"/>
      <c r="I7" s="152"/>
      <c r="J7" s="162"/>
      <c r="K7" s="156"/>
    </row>
    <row r="8" spans="1:12" x14ac:dyDescent="0.3">
      <c r="B8" s="158"/>
      <c r="C8" s="123"/>
      <c r="D8" s="123"/>
      <c r="E8" s="123"/>
      <c r="F8" s="123"/>
      <c r="G8" s="123"/>
      <c r="H8" s="125"/>
      <c r="I8" s="123"/>
      <c r="J8" s="161"/>
      <c r="K8" s="156"/>
    </row>
    <row r="9" spans="1:12" x14ac:dyDescent="0.3">
      <c r="B9" s="158"/>
      <c r="C9" s="123"/>
      <c r="D9" s="123"/>
      <c r="E9" s="123"/>
      <c r="F9" s="123"/>
      <c r="G9" s="123"/>
      <c r="H9" s="125"/>
      <c r="I9" s="123"/>
      <c r="J9" s="151"/>
      <c r="K9" s="156"/>
    </row>
    <row r="10" spans="1:12" x14ac:dyDescent="0.3">
      <c r="B10" s="158"/>
      <c r="C10" s="123"/>
      <c r="D10" s="123"/>
      <c r="E10" s="123"/>
      <c r="F10" s="123"/>
      <c r="G10" s="123"/>
      <c r="H10" s="125"/>
      <c r="I10" s="123"/>
      <c r="J10" s="151"/>
      <c r="K10" s="156"/>
    </row>
    <row r="11" spans="1:12" x14ac:dyDescent="0.3">
      <c r="B11" s="158"/>
      <c r="C11" s="123"/>
      <c r="D11" s="123"/>
      <c r="E11" s="123"/>
      <c r="F11" s="123"/>
      <c r="G11" s="123"/>
      <c r="H11" s="125"/>
      <c r="I11" s="123"/>
      <c r="J11" s="151"/>
      <c r="K11" s="156"/>
    </row>
    <row r="12" spans="1:12" x14ac:dyDescent="0.3">
      <c r="B12" s="158"/>
      <c r="C12" s="123"/>
      <c r="D12" s="123"/>
      <c r="E12" s="123"/>
      <c r="F12" s="123"/>
      <c r="G12" s="123"/>
      <c r="H12" s="125"/>
      <c r="I12" s="123"/>
      <c r="J12" s="151"/>
      <c r="K12" s="156"/>
    </row>
    <row r="13" spans="1:12" x14ac:dyDescent="0.3">
      <c r="B13" s="158"/>
      <c r="C13" s="123"/>
      <c r="D13" s="123"/>
      <c r="E13" s="123"/>
      <c r="F13" s="123"/>
      <c r="G13" s="123"/>
      <c r="H13" s="125"/>
      <c r="I13" s="123"/>
      <c r="J13" s="151"/>
      <c r="K13" s="156"/>
    </row>
    <row r="14" spans="1:12" x14ac:dyDescent="0.3">
      <c r="B14" s="158"/>
      <c r="C14" s="123"/>
      <c r="D14" s="123"/>
      <c r="E14" s="123"/>
      <c r="F14" s="123"/>
      <c r="G14" s="123"/>
      <c r="H14" s="125"/>
      <c r="I14" s="123"/>
      <c r="J14" s="151"/>
      <c r="K14" s="156"/>
    </row>
    <row r="15" spans="1:12" x14ac:dyDescent="0.3">
      <c r="B15" s="158"/>
      <c r="C15" s="123"/>
      <c r="D15" s="123"/>
      <c r="E15" s="123"/>
      <c r="F15" s="123"/>
      <c r="G15" s="123"/>
      <c r="H15" s="125"/>
      <c r="I15" s="123"/>
      <c r="J15" s="151"/>
      <c r="K15" s="156"/>
    </row>
    <row r="16" spans="1:12" x14ac:dyDescent="0.3">
      <c r="B16" s="158"/>
      <c r="C16" s="123"/>
      <c r="D16" s="123"/>
      <c r="E16" s="160"/>
      <c r="F16" s="123"/>
      <c r="G16" s="123"/>
      <c r="H16" s="125"/>
      <c r="I16" s="123"/>
      <c r="J16" s="151"/>
      <c r="K16" s="156"/>
    </row>
    <row r="17" spans="2:11" x14ac:dyDescent="0.3">
      <c r="B17" s="158"/>
      <c r="C17" s="123"/>
      <c r="D17" s="123"/>
      <c r="E17" s="123"/>
      <c r="F17" s="123"/>
      <c r="G17" s="123"/>
      <c r="H17" s="125"/>
      <c r="I17" s="123"/>
      <c r="J17" s="151"/>
      <c r="K17" s="156"/>
    </row>
    <row r="18" spans="2:11" x14ac:dyDescent="0.3">
      <c r="B18" s="158"/>
      <c r="C18" s="123"/>
      <c r="D18" s="123"/>
      <c r="E18" s="123"/>
      <c r="F18" s="123"/>
      <c r="G18" s="123"/>
      <c r="H18" s="125"/>
      <c r="I18" s="123"/>
      <c r="J18" s="151"/>
      <c r="K18" s="156"/>
    </row>
    <row r="19" spans="2:11" x14ac:dyDescent="0.3">
      <c r="B19" s="158"/>
      <c r="C19" s="123"/>
      <c r="D19" s="123"/>
      <c r="E19" s="123"/>
      <c r="F19" s="123"/>
      <c r="G19" s="123"/>
      <c r="H19" s="125"/>
      <c r="I19" s="123"/>
      <c r="J19" s="151"/>
      <c r="K19" s="156"/>
    </row>
    <row r="20" spans="2:11" x14ac:dyDescent="0.3">
      <c r="B20" s="158"/>
      <c r="C20" s="123"/>
      <c r="D20" s="123"/>
      <c r="E20" s="123"/>
      <c r="F20" s="123"/>
      <c r="G20" s="123"/>
      <c r="H20" s="125"/>
      <c r="I20" s="123"/>
      <c r="J20" s="151"/>
      <c r="K20" s="156"/>
    </row>
    <row r="21" spans="2:11" x14ac:dyDescent="0.3">
      <c r="B21" s="158"/>
      <c r="C21" s="123"/>
      <c r="D21" s="123"/>
      <c r="E21" s="123"/>
      <c r="F21" s="123"/>
      <c r="G21" s="123"/>
      <c r="H21" s="125"/>
      <c r="I21" s="123"/>
      <c r="J21" s="151"/>
      <c r="K21" s="156"/>
    </row>
    <row r="22" spans="2:11" x14ac:dyDescent="0.3">
      <c r="B22" s="158"/>
      <c r="C22" s="123"/>
      <c r="D22" s="123"/>
      <c r="E22" s="123"/>
      <c r="F22" s="123"/>
      <c r="G22" s="123"/>
      <c r="H22" s="125"/>
      <c r="I22" s="123"/>
      <c r="J22" s="151"/>
      <c r="K22" s="156"/>
    </row>
    <row r="23" spans="2:11" x14ac:dyDescent="0.3">
      <c r="B23" s="158"/>
      <c r="C23" s="123"/>
      <c r="D23" s="123"/>
      <c r="E23" s="123"/>
      <c r="F23" s="123"/>
      <c r="G23" s="123"/>
      <c r="H23" s="125"/>
      <c r="I23" s="123"/>
      <c r="J23" s="151"/>
      <c r="K23" s="156"/>
    </row>
    <row r="24" spans="2:11" x14ac:dyDescent="0.3">
      <c r="B24" s="158"/>
      <c r="C24" s="123"/>
      <c r="D24" s="123"/>
      <c r="E24" s="123"/>
      <c r="F24" s="123"/>
      <c r="G24" s="123"/>
      <c r="H24" s="125"/>
      <c r="I24" s="123"/>
      <c r="J24" s="151"/>
      <c r="K24" s="156"/>
    </row>
    <row r="25" spans="2:11" x14ac:dyDescent="0.3">
      <c r="B25" s="158"/>
      <c r="C25" s="123"/>
      <c r="D25" s="123"/>
      <c r="E25" s="123"/>
      <c r="F25" s="123"/>
      <c r="G25" s="123"/>
      <c r="H25" s="125"/>
      <c r="I25" s="123"/>
      <c r="J25" s="151"/>
      <c r="K25" s="156"/>
    </row>
    <row r="26" spans="2:11" x14ac:dyDescent="0.3">
      <c r="B26" s="158"/>
      <c r="C26" s="123"/>
      <c r="D26" s="123"/>
      <c r="E26" s="123"/>
      <c r="F26" s="123"/>
      <c r="G26" s="123"/>
      <c r="H26" s="125"/>
      <c r="I26" s="123"/>
      <c r="J26" s="151"/>
      <c r="K26" s="156"/>
    </row>
    <row r="27" spans="2:11" x14ac:dyDescent="0.3">
      <c r="B27" s="158"/>
      <c r="C27" s="123"/>
      <c r="D27" s="123"/>
      <c r="E27" s="123"/>
      <c r="F27" s="123"/>
      <c r="G27" s="123"/>
      <c r="H27" s="125"/>
      <c r="I27" s="123"/>
      <c r="J27" s="151"/>
      <c r="K27" s="156"/>
    </row>
    <row r="28" spans="2:11" x14ac:dyDescent="0.3">
      <c r="B28" s="158"/>
      <c r="C28" s="123"/>
      <c r="D28" s="123"/>
      <c r="E28" s="123"/>
      <c r="F28" s="123"/>
      <c r="G28" s="123"/>
      <c r="H28" s="125"/>
      <c r="I28" s="123"/>
      <c r="J28" s="151"/>
      <c r="K28" s="156"/>
    </row>
    <row r="29" spans="2:11" x14ac:dyDescent="0.3">
      <c r="B29" s="158"/>
      <c r="C29" s="123"/>
      <c r="D29" s="123"/>
      <c r="E29" s="123"/>
      <c r="F29" s="123"/>
      <c r="G29" s="123"/>
      <c r="H29" s="125"/>
      <c r="I29" s="123"/>
      <c r="J29" s="151"/>
      <c r="K29" s="156"/>
    </row>
    <row r="30" spans="2:11" x14ac:dyDescent="0.3">
      <c r="B30" s="158"/>
      <c r="C30" s="123"/>
      <c r="D30" s="123"/>
      <c r="E30" s="123"/>
      <c r="F30" s="123"/>
      <c r="G30" s="123"/>
      <c r="H30" s="125"/>
      <c r="I30" s="123"/>
      <c r="J30" s="151"/>
      <c r="K30" s="156"/>
    </row>
    <row r="31" spans="2:11" x14ac:dyDescent="0.3">
      <c r="B31" s="158"/>
      <c r="C31" s="123"/>
      <c r="D31" s="123"/>
      <c r="E31" s="123"/>
      <c r="F31" s="123"/>
      <c r="G31" s="123"/>
      <c r="H31" s="125"/>
      <c r="I31" s="123"/>
      <c r="J31" s="151"/>
      <c r="K31" s="156"/>
    </row>
    <row r="32" spans="2:11" x14ac:dyDescent="0.3">
      <c r="B32" s="158"/>
      <c r="C32" s="123"/>
      <c r="D32" s="123"/>
      <c r="E32" s="123"/>
      <c r="F32" s="123"/>
      <c r="G32" s="123"/>
      <c r="H32" s="125"/>
      <c r="I32" s="123"/>
      <c r="J32" s="151"/>
      <c r="K32" s="156"/>
    </row>
    <row r="33" spans="2:11" x14ac:dyDescent="0.3">
      <c r="B33" s="158"/>
      <c r="C33" s="123"/>
      <c r="D33" s="123"/>
      <c r="E33" s="123"/>
      <c r="F33" s="123"/>
      <c r="G33" s="123"/>
      <c r="H33" s="125"/>
      <c r="I33" s="123"/>
      <c r="J33" s="151"/>
      <c r="K33" s="156"/>
    </row>
    <row r="34" spans="2:11" x14ac:dyDescent="0.3">
      <c r="B34" s="158"/>
      <c r="C34" s="123"/>
      <c r="D34" s="123"/>
      <c r="E34" s="123"/>
      <c r="F34" s="123"/>
      <c r="G34" s="123"/>
      <c r="H34" s="125"/>
      <c r="I34" s="123"/>
      <c r="J34" s="151"/>
      <c r="K34" s="156"/>
    </row>
    <row r="35" spans="2:11" x14ac:dyDescent="0.3">
      <c r="B35" s="158"/>
      <c r="C35" s="123"/>
      <c r="D35" s="123"/>
      <c r="E35" s="123"/>
      <c r="F35" s="123"/>
      <c r="G35" s="123"/>
      <c r="H35" s="125"/>
      <c r="I35" s="123"/>
      <c r="J35" s="151"/>
      <c r="K35" s="156"/>
    </row>
    <row r="36" spans="2:11" x14ac:dyDescent="0.3">
      <c r="B36" s="158"/>
      <c r="C36" s="123"/>
      <c r="D36" s="123"/>
      <c r="E36" s="123"/>
      <c r="F36" s="123"/>
      <c r="G36" s="123"/>
      <c r="H36" s="125"/>
      <c r="I36" s="123"/>
      <c r="J36" s="151"/>
      <c r="K36" s="156"/>
    </row>
    <row r="37" spans="2:11" x14ac:dyDescent="0.3">
      <c r="B37" s="158"/>
      <c r="C37" s="123"/>
      <c r="D37" s="123"/>
      <c r="E37" s="123"/>
      <c r="F37" s="123"/>
      <c r="G37" s="123"/>
      <c r="H37" s="125"/>
      <c r="I37" s="123"/>
      <c r="J37" s="151"/>
      <c r="K37" s="156"/>
    </row>
  </sheetData>
  <mergeCells count="1">
    <mergeCell ref="B1:J1"/>
  </mergeCell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7E188-9618-43C5-8F54-66BE4CB03996}">
  <sheetPr codeName="Sheet9"/>
  <dimension ref="B1:I8"/>
  <sheetViews>
    <sheetView workbookViewId="0">
      <selection activeCell="B5" sqref="B5"/>
    </sheetView>
  </sheetViews>
  <sheetFormatPr defaultRowHeight="14.4" x14ac:dyDescent="0.3"/>
  <cols>
    <col min="2" max="2" width="21.33203125" customWidth="1"/>
    <col min="3" max="3" width="27.44140625" customWidth="1"/>
    <col min="4" max="4" width="15.88671875" customWidth="1"/>
    <col min="5" max="5" width="24.6640625" customWidth="1"/>
    <col min="6" max="6" width="24.33203125" customWidth="1"/>
    <col min="7" max="7" width="19.88671875" bestFit="1" customWidth="1"/>
    <col min="8" max="8" width="20.44140625" bestFit="1" customWidth="1"/>
    <col min="9" max="9" width="16.109375" bestFit="1" customWidth="1"/>
  </cols>
  <sheetData>
    <row r="1" spans="2:9" ht="23.4" customHeight="1" x14ac:dyDescent="0.3"/>
    <row r="2" spans="2:9" x14ac:dyDescent="0.3">
      <c r="B2" s="282" t="s">
        <v>273</v>
      </c>
      <c r="C2" s="287" t="s">
        <v>274</v>
      </c>
      <c r="D2" s="287" t="s">
        <v>275</v>
      </c>
      <c r="E2" s="288" t="s">
        <v>276</v>
      </c>
      <c r="F2" s="288" t="s">
        <v>277</v>
      </c>
      <c r="G2" s="287" t="s">
        <v>278</v>
      </c>
      <c r="H2" s="287" t="s">
        <v>279</v>
      </c>
      <c r="I2" s="287" t="s">
        <v>280</v>
      </c>
    </row>
    <row r="3" spans="2:9" x14ac:dyDescent="0.3">
      <c r="B3" s="284"/>
      <c r="C3" s="287"/>
      <c r="D3" s="287"/>
      <c r="E3" s="288"/>
      <c r="F3" s="288"/>
      <c r="G3" s="287"/>
      <c r="H3" s="287"/>
      <c r="I3" s="287"/>
    </row>
    <row r="4" spans="2:9" x14ac:dyDescent="0.3">
      <c r="B4" s="121" t="s">
        <v>368</v>
      </c>
      <c r="C4" s="121"/>
      <c r="D4" s="121"/>
      <c r="E4" s="122"/>
      <c r="F4" s="121"/>
      <c r="G4" s="121"/>
      <c r="H4" s="121"/>
      <c r="I4" s="121"/>
    </row>
    <row r="5" spans="2:9" x14ac:dyDescent="0.3">
      <c r="B5" s="121" t="s">
        <v>369</v>
      </c>
      <c r="C5" s="121"/>
      <c r="D5" s="121"/>
      <c r="E5" s="122"/>
      <c r="F5" s="121"/>
      <c r="G5" s="121"/>
      <c r="H5" s="121"/>
      <c r="I5" s="121"/>
    </row>
    <row r="6" spans="2:9" x14ac:dyDescent="0.3">
      <c r="B6" s="121"/>
      <c r="C6" s="121"/>
      <c r="D6" s="121"/>
      <c r="E6" s="122"/>
      <c r="F6" s="121"/>
      <c r="G6" s="121"/>
      <c r="H6" s="121"/>
      <c r="I6" s="121"/>
    </row>
    <row r="7" spans="2:9" x14ac:dyDescent="0.3">
      <c r="B7" s="121"/>
      <c r="C7" s="121"/>
      <c r="D7" s="121"/>
      <c r="E7" s="122"/>
      <c r="F7" s="121"/>
      <c r="G7" s="121"/>
      <c r="H7" s="121"/>
      <c r="I7" s="121"/>
    </row>
    <row r="8" spans="2:9" x14ac:dyDescent="0.3">
      <c r="B8" s="121"/>
      <c r="C8" s="121"/>
      <c r="D8" s="121"/>
      <c r="E8" s="122"/>
      <c r="F8" s="121"/>
      <c r="G8" s="121"/>
      <c r="H8" s="121"/>
      <c r="I8" s="121"/>
    </row>
  </sheetData>
  <mergeCells count="8">
    <mergeCell ref="H2:H3"/>
    <mergeCell ref="I2:I3"/>
    <mergeCell ref="B2:B3"/>
    <mergeCell ref="C2:C3"/>
    <mergeCell ref="D2:D3"/>
    <mergeCell ref="E2:E3"/>
    <mergeCell ref="F2:F3"/>
    <mergeCell ref="G2:G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877CF-88F6-4467-8F9B-AFEBE9B6DBE7}">
  <sheetPr codeName="Sheet11"/>
  <dimension ref="B2:C37"/>
  <sheetViews>
    <sheetView showGridLines="0" workbookViewId="0">
      <selection activeCell="A6" sqref="A6"/>
    </sheetView>
  </sheetViews>
  <sheetFormatPr defaultColWidth="9.109375" defaultRowHeight="14.4" x14ac:dyDescent="0.3"/>
  <cols>
    <col min="1" max="1" width="70.6640625" customWidth="1"/>
    <col min="2" max="2" width="17" customWidth="1"/>
    <col min="3" max="3" width="37.88671875" customWidth="1"/>
  </cols>
  <sheetData>
    <row r="2" spans="2:3" x14ac:dyDescent="0.3">
      <c r="B2" s="274" t="s">
        <v>311</v>
      </c>
      <c r="C2" s="274" t="s">
        <v>312</v>
      </c>
    </row>
    <row r="3" spans="2:3" x14ac:dyDescent="0.3">
      <c r="B3" s="276"/>
      <c r="C3" s="276"/>
    </row>
    <row r="4" spans="2:3" ht="21" x14ac:dyDescent="0.4">
      <c r="B4" s="289">
        <v>2020</v>
      </c>
      <c r="C4" s="289"/>
    </row>
    <row r="5" spans="2:3" x14ac:dyDescent="0.3">
      <c r="B5" s="142">
        <v>43831</v>
      </c>
      <c r="C5" s="143" t="s">
        <v>313</v>
      </c>
    </row>
    <row r="6" spans="2:3" x14ac:dyDescent="0.3">
      <c r="B6" s="142">
        <v>43855</v>
      </c>
      <c r="C6" s="143" t="s">
        <v>314</v>
      </c>
    </row>
    <row r="7" spans="2:3" x14ac:dyDescent="0.3">
      <c r="B7" s="142">
        <v>43886</v>
      </c>
      <c r="C7" s="143" t="s">
        <v>315</v>
      </c>
    </row>
    <row r="8" spans="2:3" x14ac:dyDescent="0.3">
      <c r="B8" s="142">
        <v>43930</v>
      </c>
      <c r="C8" s="143" t="s">
        <v>316</v>
      </c>
    </row>
    <row r="9" spans="2:3" x14ac:dyDescent="0.3">
      <c r="B9" s="142">
        <v>43931</v>
      </c>
      <c r="C9" s="143" t="s">
        <v>317</v>
      </c>
    </row>
    <row r="10" spans="2:3" x14ac:dyDescent="0.3">
      <c r="B10" s="142">
        <v>43952</v>
      </c>
      <c r="C10" s="143" t="s">
        <v>318</v>
      </c>
    </row>
    <row r="11" spans="2:3" x14ac:dyDescent="0.3">
      <c r="B11" s="142">
        <v>43975</v>
      </c>
      <c r="C11" s="143" t="s">
        <v>319</v>
      </c>
    </row>
    <row r="12" spans="2:3" x14ac:dyDescent="0.3">
      <c r="B12" s="142">
        <v>43994</v>
      </c>
      <c r="C12" s="143" t="s">
        <v>320</v>
      </c>
    </row>
    <row r="13" spans="2:3" x14ac:dyDescent="0.3">
      <c r="B13" s="142">
        <v>43677</v>
      </c>
      <c r="C13" s="143" t="s">
        <v>321</v>
      </c>
    </row>
    <row r="14" spans="2:3" x14ac:dyDescent="0.3">
      <c r="B14" s="142">
        <v>44064</v>
      </c>
      <c r="C14" s="143" t="s">
        <v>322</v>
      </c>
    </row>
    <row r="15" spans="2:3" x14ac:dyDescent="0.3">
      <c r="B15" s="142">
        <v>44074</v>
      </c>
      <c r="C15" s="143" t="s">
        <v>323</v>
      </c>
    </row>
    <row r="16" spans="2:3" x14ac:dyDescent="0.3">
      <c r="B16" s="142">
        <v>44136</v>
      </c>
      <c r="C16" s="143" t="s">
        <v>324</v>
      </c>
    </row>
    <row r="17" spans="2:3" x14ac:dyDescent="0.3">
      <c r="B17" s="142">
        <v>44165</v>
      </c>
      <c r="C17" s="143" t="s">
        <v>325</v>
      </c>
    </row>
    <row r="18" spans="2:3" x14ac:dyDescent="0.3">
      <c r="B18" s="142">
        <v>44173</v>
      </c>
      <c r="C18" s="143" t="s">
        <v>326</v>
      </c>
    </row>
    <row r="19" spans="2:3" x14ac:dyDescent="0.3">
      <c r="B19" s="142">
        <v>44190</v>
      </c>
      <c r="C19" s="143" t="s">
        <v>327</v>
      </c>
    </row>
    <row r="20" spans="2:3" x14ac:dyDescent="0.3">
      <c r="B20" s="142">
        <v>44195</v>
      </c>
      <c r="C20" s="143" t="s">
        <v>328</v>
      </c>
    </row>
    <row r="21" spans="2:3" x14ac:dyDescent="0.3">
      <c r="B21" s="142">
        <v>44196</v>
      </c>
      <c r="C21" s="143" t="s">
        <v>329</v>
      </c>
    </row>
    <row r="22" spans="2:3" ht="21" x14ac:dyDescent="0.4">
      <c r="B22" s="289">
        <v>2021</v>
      </c>
      <c r="C22" s="289"/>
    </row>
    <row r="23" spans="2:3" x14ac:dyDescent="0.3">
      <c r="B23" s="142">
        <v>44197</v>
      </c>
      <c r="C23" s="143" t="s">
        <v>330</v>
      </c>
    </row>
    <row r="24" spans="2:3" x14ac:dyDescent="0.3">
      <c r="B24" s="142">
        <v>44239</v>
      </c>
      <c r="C24" s="143" t="s">
        <v>314</v>
      </c>
    </row>
    <row r="25" spans="2:3" x14ac:dyDescent="0.3">
      <c r="B25" s="142">
        <v>44287</v>
      </c>
      <c r="C25" s="143" t="s">
        <v>331</v>
      </c>
    </row>
    <row r="26" spans="2:3" x14ac:dyDescent="0.3">
      <c r="B26" s="142">
        <v>44288</v>
      </c>
      <c r="C26" s="143" t="s">
        <v>317</v>
      </c>
    </row>
    <row r="27" spans="2:3" x14ac:dyDescent="0.3">
      <c r="B27" s="142">
        <v>44295</v>
      </c>
      <c r="C27" s="143" t="s">
        <v>332</v>
      </c>
    </row>
    <row r="28" spans="2:3" x14ac:dyDescent="0.3">
      <c r="B28" s="142">
        <v>44317</v>
      </c>
      <c r="C28" s="143" t="s">
        <v>333</v>
      </c>
    </row>
    <row r="29" spans="2:3" x14ac:dyDescent="0.3">
      <c r="B29" s="142">
        <v>44328</v>
      </c>
      <c r="C29" s="143" t="s">
        <v>334</v>
      </c>
    </row>
    <row r="30" spans="2:3" x14ac:dyDescent="0.3">
      <c r="B30" s="142">
        <v>44329</v>
      </c>
      <c r="C30" s="143" t="s">
        <v>334</v>
      </c>
    </row>
    <row r="31" spans="2:3" x14ac:dyDescent="0.3">
      <c r="B31" s="142">
        <v>44359</v>
      </c>
      <c r="C31" s="143" t="s">
        <v>335</v>
      </c>
    </row>
    <row r="32" spans="2:3" x14ac:dyDescent="0.3">
      <c r="B32" s="142">
        <v>44396</v>
      </c>
      <c r="C32" s="143" t="s">
        <v>336</v>
      </c>
    </row>
    <row r="33" spans="2:3" x14ac:dyDescent="0.3">
      <c r="B33" s="142">
        <v>44397</v>
      </c>
      <c r="C33" s="143" t="s">
        <v>336</v>
      </c>
    </row>
    <row r="34" spans="2:3" x14ac:dyDescent="0.3">
      <c r="B34" s="142">
        <v>44438</v>
      </c>
      <c r="C34" s="143" t="s">
        <v>337</v>
      </c>
    </row>
    <row r="35" spans="2:3" x14ac:dyDescent="0.3">
      <c r="B35" s="142">
        <v>44530</v>
      </c>
      <c r="C35" s="143" t="s">
        <v>325</v>
      </c>
    </row>
    <row r="36" spans="2:3" x14ac:dyDescent="0.3">
      <c r="B36" s="142">
        <v>44555</v>
      </c>
      <c r="C36" s="143" t="s">
        <v>327</v>
      </c>
    </row>
    <row r="37" spans="2:3" x14ac:dyDescent="0.3">
      <c r="B37" s="142">
        <v>44560</v>
      </c>
      <c r="C37" s="143" t="s">
        <v>328</v>
      </c>
    </row>
  </sheetData>
  <mergeCells count="4">
    <mergeCell ref="B4:C4"/>
    <mergeCell ref="B22:C22"/>
    <mergeCell ref="B2:B3"/>
    <mergeCell ref="C2:C3"/>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D9FC3-4F2A-4A56-A3CC-51C329ED40E9}">
  <sheetPr codeName="Sheet1"/>
  <dimension ref="A1:L25"/>
  <sheetViews>
    <sheetView showGridLines="0" view="pageLayout" zoomScale="85" zoomScaleNormal="70" zoomScaleSheetLayoutView="100" zoomScalePageLayoutView="85" workbookViewId="0">
      <selection sqref="A1:J1"/>
    </sheetView>
  </sheetViews>
  <sheetFormatPr defaultRowHeight="14.4" outlineLevelRow="1" x14ac:dyDescent="0.3"/>
  <cols>
    <col min="1" max="1" width="9.6640625" customWidth="1"/>
    <col min="2" max="2" width="9.5546875" customWidth="1"/>
    <col min="3" max="3" width="8.88671875" customWidth="1"/>
    <col min="4" max="4" width="10.6640625" customWidth="1"/>
    <col min="9" max="9" width="10.77734375" customWidth="1"/>
    <col min="10" max="10" width="1.44140625" customWidth="1"/>
  </cols>
  <sheetData>
    <row r="1" spans="1:12" ht="25.8" customHeight="1" thickBot="1" x14ac:dyDescent="0.35">
      <c r="A1" s="301" t="s">
        <v>237</v>
      </c>
      <c r="B1" s="302"/>
      <c r="C1" s="302"/>
      <c r="D1" s="302"/>
      <c r="E1" s="302"/>
      <c r="F1" s="302"/>
      <c r="G1" s="302"/>
      <c r="H1" s="302"/>
      <c r="I1" s="302"/>
      <c r="J1" s="303"/>
    </row>
    <row r="2" spans="1:12" ht="4.2" customHeight="1" x14ac:dyDescent="0.3">
      <c r="A2" s="34"/>
      <c r="B2" s="35"/>
      <c r="C2" s="35"/>
      <c r="D2" s="35"/>
      <c r="E2" s="35"/>
      <c r="F2" s="35"/>
      <c r="G2" s="35"/>
      <c r="H2" s="35"/>
      <c r="I2" s="35"/>
      <c r="J2" s="36"/>
    </row>
    <row r="3" spans="1:12" ht="15" customHeight="1" x14ac:dyDescent="0.3">
      <c r="A3" s="304" t="s">
        <v>233</v>
      </c>
      <c r="B3" s="305"/>
      <c r="C3" s="298" t="str">
        <f>project_name</f>
        <v>Project Omicron</v>
      </c>
      <c r="D3" s="298"/>
      <c r="E3" s="298"/>
      <c r="F3" s="299" t="s">
        <v>238</v>
      </c>
      <c r="G3" s="300"/>
      <c r="H3" s="294" t="str">
        <f>'Project Data'!B10</f>
        <v>DELAYED</v>
      </c>
      <c r="I3" s="295"/>
      <c r="J3" s="33"/>
    </row>
    <row r="4" spans="1:12" ht="15" customHeight="1" x14ac:dyDescent="0.3">
      <c r="A4" s="304" t="s">
        <v>234</v>
      </c>
      <c r="B4" s="305"/>
      <c r="C4" s="298" t="str">
        <f>projectSponsor</f>
        <v>Name of Project Sponsor</v>
      </c>
      <c r="D4" s="298"/>
      <c r="E4" s="298"/>
      <c r="F4" s="42"/>
      <c r="G4" s="42"/>
      <c r="H4" s="296"/>
      <c r="I4" s="297"/>
      <c r="J4" s="33"/>
    </row>
    <row r="5" spans="1:12" ht="15" customHeight="1" x14ac:dyDescent="0.3">
      <c r="A5" s="304" t="s">
        <v>235</v>
      </c>
      <c r="B5" s="305"/>
      <c r="C5" s="298" t="str">
        <f>projManager</f>
        <v>Pedro Penduko</v>
      </c>
      <c r="D5" s="298"/>
      <c r="E5" s="298"/>
      <c r="F5" s="40"/>
      <c r="G5" s="41" t="s">
        <v>236</v>
      </c>
      <c r="H5" s="293">
        <v>44604</v>
      </c>
      <c r="I5" s="293"/>
      <c r="J5" s="33"/>
    </row>
    <row r="6" spans="1:12" ht="5.4" customHeight="1" x14ac:dyDescent="0.3">
      <c r="A6" s="37"/>
      <c r="B6" s="38"/>
      <c r="C6" s="38"/>
      <c r="D6" s="38"/>
      <c r="E6" s="38"/>
      <c r="F6" s="38"/>
      <c r="G6" s="38"/>
      <c r="H6" s="38"/>
      <c r="I6" s="38"/>
      <c r="J6" s="39"/>
    </row>
    <row r="7" spans="1:12" ht="3.6" customHeight="1" x14ac:dyDescent="0.3"/>
    <row r="8" spans="1:12" x14ac:dyDescent="0.3">
      <c r="A8" s="290" t="s">
        <v>240</v>
      </c>
      <c r="B8" s="291"/>
      <c r="C8" s="291"/>
      <c r="D8" s="291"/>
      <c r="E8" s="291"/>
      <c r="F8" s="291"/>
      <c r="G8" s="291"/>
      <c r="H8" s="291"/>
      <c r="I8" s="291"/>
      <c r="J8" s="292"/>
    </row>
    <row r="9" spans="1:12" outlineLevel="1" x14ac:dyDescent="0.3">
      <c r="A9" s="43"/>
      <c r="B9" s="43"/>
      <c r="C9" s="43"/>
      <c r="D9" s="43"/>
      <c r="E9" s="43"/>
      <c r="F9" s="43"/>
      <c r="G9" s="43"/>
      <c r="H9" s="43"/>
      <c r="I9" s="43"/>
      <c r="J9" s="43"/>
    </row>
    <row r="10" spans="1:12" outlineLevel="1" x14ac:dyDescent="0.3">
      <c r="A10" s="43"/>
      <c r="B10" s="43"/>
      <c r="C10" s="43"/>
      <c r="D10" s="43"/>
      <c r="E10" s="43"/>
      <c r="F10" s="43"/>
      <c r="G10" s="43"/>
      <c r="H10" s="43"/>
      <c r="I10" s="43"/>
      <c r="J10" s="43"/>
    </row>
    <row r="11" spans="1:12" outlineLevel="1" x14ac:dyDescent="0.3">
      <c r="A11" s="43"/>
      <c r="B11" s="43"/>
      <c r="C11" s="43"/>
      <c r="D11" s="43"/>
      <c r="E11" s="43"/>
      <c r="F11" s="43"/>
      <c r="G11" s="43"/>
      <c r="H11" s="43"/>
      <c r="I11" s="43"/>
      <c r="J11" s="43"/>
      <c r="L11" s="1"/>
    </row>
    <row r="12" spans="1:12" outlineLevel="1" x14ac:dyDescent="0.3">
      <c r="A12" s="43"/>
      <c r="B12" s="43"/>
      <c r="C12" s="43"/>
      <c r="D12" s="43"/>
      <c r="E12" s="43"/>
      <c r="F12" s="43"/>
      <c r="G12" s="43"/>
      <c r="H12" s="43"/>
      <c r="I12" s="43"/>
      <c r="J12" s="43"/>
    </row>
    <row r="13" spans="1:12" outlineLevel="1" x14ac:dyDescent="0.3">
      <c r="A13" s="43"/>
      <c r="B13" s="43"/>
      <c r="C13" s="43"/>
      <c r="D13" s="43"/>
      <c r="E13" s="43"/>
      <c r="F13" s="43"/>
      <c r="G13" s="43"/>
      <c r="H13" s="43"/>
      <c r="I13" s="43"/>
      <c r="J13" s="43"/>
    </row>
    <row r="14" spans="1:12" outlineLevel="1" x14ac:dyDescent="0.3">
      <c r="A14" s="43"/>
      <c r="B14" s="43"/>
      <c r="C14" s="43"/>
      <c r="D14" s="43"/>
      <c r="E14" s="43"/>
      <c r="F14" s="43"/>
      <c r="G14" s="43"/>
      <c r="H14" s="43"/>
      <c r="I14" s="43"/>
      <c r="J14" s="43"/>
    </row>
    <row r="15" spans="1:12" outlineLevel="1" x14ac:dyDescent="0.3">
      <c r="A15" s="43"/>
      <c r="B15" s="43"/>
      <c r="C15" s="43"/>
      <c r="D15" s="43"/>
      <c r="E15" s="43"/>
      <c r="F15" s="43"/>
      <c r="G15" s="43"/>
      <c r="H15" s="43"/>
      <c r="I15" s="43"/>
      <c r="J15" s="43"/>
    </row>
    <row r="16" spans="1:12" outlineLevel="1" x14ac:dyDescent="0.3">
      <c r="A16" s="43"/>
      <c r="B16" s="43"/>
      <c r="C16" s="43"/>
      <c r="D16" s="43"/>
      <c r="E16" s="43"/>
      <c r="F16" s="43"/>
      <c r="G16" s="43"/>
      <c r="H16" s="43"/>
      <c r="I16" s="43"/>
      <c r="J16" s="43"/>
    </row>
    <row r="17" spans="1:10" outlineLevel="1" x14ac:dyDescent="0.3">
      <c r="A17" s="43"/>
      <c r="B17" s="43"/>
      <c r="C17" s="43"/>
      <c r="D17" s="43"/>
      <c r="E17" s="43"/>
      <c r="F17" s="43"/>
      <c r="G17" s="43"/>
      <c r="H17" s="43"/>
      <c r="I17" s="43"/>
      <c r="J17" s="43"/>
    </row>
    <row r="18" spans="1:10" outlineLevel="1" x14ac:dyDescent="0.3">
      <c r="A18" s="43"/>
      <c r="B18" s="43"/>
      <c r="C18" s="43"/>
      <c r="D18" s="43"/>
      <c r="E18" s="43"/>
      <c r="F18" s="43"/>
      <c r="G18" s="43"/>
      <c r="H18" s="43"/>
      <c r="I18" s="43"/>
      <c r="J18" s="43"/>
    </row>
    <row r="19" spans="1:10" outlineLevel="1" x14ac:dyDescent="0.3">
      <c r="A19" s="43"/>
      <c r="B19" s="43"/>
      <c r="C19" s="43"/>
      <c r="D19" s="43"/>
      <c r="E19" s="43"/>
      <c r="F19" s="43"/>
      <c r="G19" s="43"/>
      <c r="H19" s="43"/>
      <c r="I19" s="43"/>
      <c r="J19" s="43"/>
    </row>
    <row r="20" spans="1:10" outlineLevel="1" x14ac:dyDescent="0.3">
      <c r="A20" s="43"/>
      <c r="B20" s="43"/>
      <c r="C20" s="43"/>
      <c r="D20" s="43"/>
      <c r="E20" s="43"/>
      <c r="F20" s="43"/>
      <c r="G20" s="43"/>
      <c r="H20" s="43"/>
      <c r="I20" s="43"/>
      <c r="J20" s="43"/>
    </row>
    <row r="21" spans="1:10" outlineLevel="1" x14ac:dyDescent="0.3">
      <c r="A21" s="43"/>
      <c r="B21" s="43"/>
      <c r="C21" s="43"/>
      <c r="D21" s="43"/>
      <c r="E21" s="43"/>
      <c r="F21" s="43"/>
      <c r="G21" s="43"/>
      <c r="H21" s="43"/>
      <c r="I21" s="43"/>
      <c r="J21" s="43"/>
    </row>
    <row r="22" spans="1:10" outlineLevel="1" x14ac:dyDescent="0.3">
      <c r="A22" s="43"/>
      <c r="B22" s="43"/>
      <c r="C22" s="43"/>
      <c r="D22" s="43"/>
      <c r="E22" s="43"/>
      <c r="F22" s="43"/>
      <c r="G22" s="43"/>
      <c r="H22" s="43"/>
      <c r="I22" s="43"/>
      <c r="J22" s="43"/>
    </row>
    <row r="23" spans="1:10" outlineLevel="1" x14ac:dyDescent="0.3">
      <c r="A23" s="43"/>
      <c r="B23" s="43"/>
      <c r="C23" s="43"/>
      <c r="D23" s="43"/>
      <c r="E23" s="43"/>
      <c r="F23" s="43"/>
      <c r="G23" s="43"/>
      <c r="H23" s="43"/>
      <c r="I23" s="43"/>
      <c r="J23" s="43"/>
    </row>
    <row r="24" spans="1:10" ht="3" customHeight="1" outlineLevel="1" x14ac:dyDescent="0.3">
      <c r="A24" s="43"/>
      <c r="B24" s="43"/>
      <c r="C24" s="43"/>
      <c r="D24" s="43"/>
      <c r="E24" s="43"/>
      <c r="F24" s="43"/>
      <c r="G24" s="43"/>
      <c r="H24" s="43"/>
      <c r="I24" s="43"/>
      <c r="J24" s="43"/>
    </row>
    <row r="25" spans="1:10" x14ac:dyDescent="0.3">
      <c r="A25" s="290" t="s">
        <v>249</v>
      </c>
      <c r="B25" s="291"/>
      <c r="C25" s="291"/>
      <c r="D25" s="291"/>
      <c r="E25" s="291"/>
      <c r="F25" s="291"/>
      <c r="G25" s="291"/>
      <c r="H25" s="291"/>
      <c r="I25" s="291"/>
      <c r="J25" s="292"/>
    </row>
  </sheetData>
  <mergeCells count="12">
    <mergeCell ref="A1:J1"/>
    <mergeCell ref="A3:B3"/>
    <mergeCell ref="A4:B4"/>
    <mergeCell ref="A5:B5"/>
    <mergeCell ref="A8:J8"/>
    <mergeCell ref="A25:J25"/>
    <mergeCell ref="H5:I5"/>
    <mergeCell ref="H3:I4"/>
    <mergeCell ref="C3:E3"/>
    <mergeCell ref="C4:E4"/>
    <mergeCell ref="C5:E5"/>
    <mergeCell ref="F3:G3"/>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8BDCB50-FC74-48D5-A8F7-3157457AE3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27</vt:i4>
      </vt:variant>
    </vt:vector>
  </HeadingPairs>
  <TitlesOfParts>
    <vt:vector size="39" baseType="lpstr">
      <vt:lpstr>Configure</vt:lpstr>
      <vt:lpstr>Dashboard</vt:lpstr>
      <vt:lpstr>TEST</vt:lpstr>
      <vt:lpstr>Work Package</vt:lpstr>
      <vt:lpstr>Gantt Data</vt:lpstr>
      <vt:lpstr>Project Data</vt:lpstr>
      <vt:lpstr>Risk and Issue Management</vt:lpstr>
      <vt:lpstr>Communication Plan</vt:lpstr>
      <vt:lpstr>Project Team</vt:lpstr>
      <vt:lpstr>Stakeholder Management</vt:lpstr>
      <vt:lpstr>Holidays</vt:lpstr>
      <vt:lpstr>Report</vt:lpstr>
      <vt:lpstr>company_name</vt:lpstr>
      <vt:lpstr>complete_Cnt</vt:lpstr>
      <vt:lpstr>'Project Data'!Criteria</vt:lpstr>
      <vt:lpstr>dash_Date</vt:lpstr>
      <vt:lpstr>daysSinceStart</vt:lpstr>
      <vt:lpstr>enableDashMacro</vt:lpstr>
      <vt:lpstr>'Project Data'!Extract</vt:lpstr>
      <vt:lpstr>gantChartLeftOutsideCells</vt:lpstr>
      <vt:lpstr>inProgress_Cnt</vt:lpstr>
      <vt:lpstr>notStarted_Cnt</vt:lpstr>
      <vt:lpstr>overdue_Cnt</vt:lpstr>
      <vt:lpstr>'Project Data'!prevWBS</vt:lpstr>
      <vt:lpstr>'Work Package'!prevWBS</vt:lpstr>
      <vt:lpstr>'Work Package'!Print_Area</vt:lpstr>
      <vt:lpstr>'Work Package'!Print_Titles</vt:lpstr>
      <vt:lpstr>project_name</vt:lpstr>
      <vt:lpstr>projectChampion</vt:lpstr>
      <vt:lpstr>projectManager</vt:lpstr>
      <vt:lpstr>projectSponsor</vt:lpstr>
      <vt:lpstr>projectStart</vt:lpstr>
      <vt:lpstr>projectStatus</vt:lpstr>
      <vt:lpstr>projManager</vt:lpstr>
      <vt:lpstr>projName</vt:lpstr>
      <vt:lpstr>projSponsor</vt:lpstr>
      <vt:lpstr>projStatus</vt:lpstr>
      <vt:lpstr>team_members_Concat</vt:lpstr>
      <vt:lpstr>totalTasks_Cnt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Paul Asensi</dc:creator>
  <cp:lastModifiedBy>John Paul Asensi</cp:lastModifiedBy>
  <cp:lastPrinted>2022-02-19T15:54:12Z</cp:lastPrinted>
  <dcterms:created xsi:type="dcterms:W3CDTF">2022-02-12T07:06:04Z</dcterms:created>
  <dcterms:modified xsi:type="dcterms:W3CDTF">2022-02-24T14:39:04Z</dcterms:modified>
</cp:coreProperties>
</file>