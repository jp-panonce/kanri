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slicers/slicer1.xml" ContentType="application/vnd.ms-excel.slicer+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jects\SIDES\PM Tool\kanri\"/>
    </mc:Choice>
  </mc:AlternateContent>
  <xr:revisionPtr revIDLastSave="0" documentId="13_ncr:1_{87A3B6A2-E7D6-44DD-81E7-F62CBC3B0E8B}" xr6:coauthVersionLast="47" xr6:coauthVersionMax="47" xr10:uidLastSave="{00000000-0000-0000-0000-000000000000}"/>
  <bookViews>
    <workbookView xWindow="-108" yWindow="-108" windowWidth="23256" windowHeight="12720" tabRatio="810" activeTab="3" xr2:uid="{00000000-000D-0000-FFFF-FFFF00000000}"/>
  </bookViews>
  <sheets>
    <sheet name="Configure" sheetId="17" r:id="rId1"/>
    <sheet name="Dashboard" sheetId="8" r:id="rId2"/>
    <sheet name="TEST" sheetId="15" state="hidden" r:id="rId3"/>
    <sheet name="Work Package" sheetId="6" r:id="rId4"/>
    <sheet name="Gantt Data" sheetId="19" r:id="rId5"/>
    <sheet name="Project Data" sheetId="2" r:id="rId6"/>
    <sheet name="Risk and Issue Management" sheetId="12" r:id="rId7"/>
    <sheet name="Communication Plan" sheetId="10" state="hidden" r:id="rId8"/>
    <sheet name="Project Team" sheetId="13" state="hidden" r:id="rId9"/>
    <sheet name="Stakeholder Management" sheetId="9" state="hidden" r:id="rId10"/>
    <sheet name="Holidays" sheetId="16" state="hidden" r:id="rId11"/>
    <sheet name="Report" sheetId="1" r:id="rId12"/>
  </sheets>
  <functionGroups builtInGroupCount="19"/>
  <definedNames>
    <definedName name="_xlnm._FilterDatabase" localSheetId="5" hidden="1">'Project Data'!$D$1:$T$103</definedName>
    <definedName name="_xlnm._FilterDatabase" localSheetId="3" hidden="1">'Work Package'!$B$12:$N$151</definedName>
    <definedName name="company_name">'Work Package'!$D$1</definedName>
    <definedName name="complete_Cnt">'Project Data'!$W$6</definedName>
    <definedName name="_xlnm.Criteria" localSheetId="5">'Project Data'!$AQ$2:$AQ$3</definedName>
    <definedName name="dash_Date">'Project Data'!$B$13</definedName>
    <definedName name="daysSinceStart">'Project Data'!$B$12</definedName>
    <definedName name="enableDashMacro">'Project Data'!$B$14</definedName>
    <definedName name="EndOfTable">'Work Package'!#REF!</definedName>
    <definedName name="_xlnm.Extract" localSheetId="5">'Project Data'!$AS$1:$AY$1</definedName>
    <definedName name="gantChartLeftOutsideCells">'Work Package'!$O$13:$O$451</definedName>
    <definedName name="inProgress_Cnt">'Project Data'!$W$4</definedName>
    <definedName name="notStarted_Cnt">'Project Data'!$W$3</definedName>
    <definedName name="overdue_Cnt">'Project Data'!$W$5</definedName>
    <definedName name="prevWBS" localSheetId="5">'Project Data'!$A1048576</definedName>
    <definedName name="prevWBS" localSheetId="3">'Work Package'!$B1048576</definedName>
    <definedName name="_xlnm.Print_Area" localSheetId="3">'Work Package'!$B$1:$BS$183</definedName>
    <definedName name="_xlnm.Print_Titles" localSheetId="3">'Work Package'!$9:$12</definedName>
    <definedName name="project_name">'Work Package'!$D$2</definedName>
    <definedName name="projectChampion">'Work Package'!$D$7</definedName>
    <definedName name="projectManager">'Work Package'!$D$6</definedName>
    <definedName name="projectSponsor">'Work Package'!$D$5</definedName>
    <definedName name="projectStart">'Work Package'!$D$4</definedName>
    <definedName name="projectStatus">'Project Data'!$B$10</definedName>
    <definedName name="projManager">'Project Data'!$B$4</definedName>
    <definedName name="projName">'Project Data'!$B$2</definedName>
    <definedName name="projSponsor">'Project Data'!$B$3</definedName>
    <definedName name="projStatus">'Project Data'!$B$10</definedName>
    <definedName name="Slicer_Department">#N/A</definedName>
    <definedName name="Slicer_Position">#N/A</definedName>
    <definedName name="Slicer_Project_Role">#N/A</definedName>
    <definedName name="team_members_Concat">'Project Data'!$B$15</definedName>
    <definedName name="totalTasks_Cnt">'Project Data'!$W$7</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81029"/>
  <pivotCaches>
    <pivotCache cacheId="2" r:id="rId13"/>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M14" i="6" l="1"/>
  <c r="M15" i="6"/>
  <c r="M16" i="6"/>
  <c r="M17" i="6"/>
  <c r="M18" i="6"/>
  <c r="M19" i="6"/>
  <c r="M20" i="6"/>
  <c r="M21" i="6"/>
  <c r="M22" i="6"/>
  <c r="M23" i="6"/>
  <c r="M24" i="6"/>
  <c r="M25" i="6"/>
  <c r="M26" i="6"/>
  <c r="M27" i="6"/>
  <c r="M28" i="6"/>
  <c r="M29" i="6"/>
  <c r="M30" i="6"/>
  <c r="M13" i="6"/>
  <c r="M10" i="6"/>
  <c r="A3" i="19"/>
  <c r="A4" i="19"/>
  <c r="A5" i="19"/>
  <c r="A6" i="19"/>
  <c r="A7" i="19"/>
  <c r="A8" i="19"/>
  <c r="A9" i="19"/>
  <c r="A10" i="19"/>
  <c r="A11" i="19"/>
  <c r="A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62" i="19"/>
  <c r="A63" i="19"/>
  <c r="A64" i="19"/>
  <c r="A65" i="19"/>
  <c r="A66" i="19"/>
  <c r="A67" i="19"/>
  <c r="A68" i="19"/>
  <c r="A69" i="19"/>
  <c r="A70" i="19"/>
  <c r="A71" i="19"/>
  <c r="A72" i="19"/>
  <c r="A73" i="19"/>
  <c r="A74" i="19"/>
  <c r="A75" i="19"/>
  <c r="A76" i="19"/>
  <c r="A77" i="19"/>
  <c r="A78" i="19"/>
  <c r="A79" i="19"/>
  <c r="A80" i="19"/>
  <c r="A81" i="19"/>
  <c r="A82" i="19"/>
  <c r="A83" i="19"/>
  <c r="A84" i="19"/>
  <c r="A85" i="19"/>
  <c r="A86" i="19"/>
  <c r="A87" i="19"/>
  <c r="A88" i="19"/>
  <c r="A89" i="19"/>
  <c r="A90" i="19"/>
  <c r="A91" i="19"/>
  <c r="A92" i="19"/>
  <c r="A93" i="19"/>
  <c r="A94" i="19"/>
  <c r="A95" i="19"/>
  <c r="A96" i="19"/>
  <c r="A97" i="19"/>
  <c r="A98" i="19"/>
  <c r="A99" i="19"/>
  <c r="A100" i="19"/>
  <c r="A101" i="19"/>
  <c r="A102" i="19"/>
  <c r="A103" i="19"/>
  <c r="A104" i="19"/>
  <c r="A105" i="19"/>
  <c r="A106" i="19"/>
  <c r="A107" i="19"/>
  <c r="A108" i="19"/>
  <c r="A109" i="19"/>
  <c r="A110" i="19"/>
  <c r="A111" i="19"/>
  <c r="A112" i="19"/>
  <c r="A113" i="19"/>
  <c r="A114" i="19"/>
  <c r="A115" i="19"/>
  <c r="A116" i="19"/>
  <c r="A117" i="19"/>
  <c r="A118" i="19"/>
  <c r="A119" i="19"/>
  <c r="A120" i="19"/>
  <c r="A121" i="19"/>
  <c r="A122" i="19"/>
  <c r="A123" i="19"/>
  <c r="A124" i="19"/>
  <c r="A125" i="19"/>
  <c r="A126" i="19"/>
  <c r="A127" i="19"/>
  <c r="A128" i="19"/>
  <c r="A129" i="19"/>
  <c r="A130" i="19"/>
  <c r="A131" i="19"/>
  <c r="A132" i="19"/>
  <c r="A133" i="19"/>
  <c r="A134" i="19"/>
  <c r="A135" i="19"/>
  <c r="A136" i="19"/>
  <c r="A137" i="19"/>
  <c r="A138" i="19"/>
  <c r="A139" i="19"/>
  <c r="A140" i="19"/>
  <c r="A141" i="19"/>
  <c r="A142" i="19"/>
  <c r="A143" i="19"/>
  <c r="A144" i="19"/>
  <c r="A145" i="19"/>
  <c r="A146" i="19"/>
  <c r="A147" i="19"/>
  <c r="A148" i="19"/>
  <c r="A149" i="19"/>
  <c r="A150" i="19"/>
  <c r="A151" i="19"/>
  <c r="A152" i="19"/>
  <c r="A153" i="19"/>
  <c r="A154" i="19"/>
  <c r="A155" i="19"/>
  <c r="A156" i="19"/>
  <c r="A157" i="19"/>
  <c r="A158" i="19"/>
  <c r="A159" i="19"/>
  <c r="A160" i="19"/>
  <c r="A161" i="19"/>
  <c r="A162" i="19"/>
  <c r="A163" i="19"/>
  <c r="A164" i="19"/>
  <c r="A165" i="19"/>
  <c r="A166" i="19"/>
  <c r="A167" i="19"/>
  <c r="A168" i="19"/>
  <c r="A169" i="19"/>
  <c r="A170" i="19"/>
  <c r="A171" i="19"/>
  <c r="A172" i="19"/>
  <c r="A173" i="19"/>
  <c r="A174" i="19"/>
  <c r="A175" i="19"/>
  <c r="A176" i="19"/>
  <c r="A177" i="19"/>
  <c r="A178" i="19"/>
  <c r="A179" i="19"/>
  <c r="A180" i="19"/>
  <c r="A181" i="19"/>
  <c r="A182" i="19"/>
  <c r="A183" i="19"/>
  <c r="A184" i="19"/>
  <c r="A185" i="19"/>
  <c r="A186" i="19"/>
  <c r="A187" i="19"/>
  <c r="A188" i="19"/>
  <c r="A189" i="19"/>
  <c r="A190" i="19"/>
  <c r="A191" i="19"/>
  <c r="A192" i="19"/>
  <c r="A193" i="19"/>
  <c r="A194" i="19"/>
  <c r="A195" i="19"/>
  <c r="A196" i="19"/>
  <c r="A197" i="19"/>
  <c r="A198" i="19"/>
  <c r="A199" i="19"/>
  <c r="A200" i="19"/>
  <c r="A201" i="19"/>
  <c r="A202" i="19"/>
  <c r="A203" i="19"/>
  <c r="A204" i="19"/>
  <c r="A205" i="19"/>
  <c r="A206" i="19"/>
  <c r="A207" i="19"/>
  <c r="A208" i="19"/>
  <c r="A209" i="19"/>
  <c r="A210" i="19"/>
  <c r="A211" i="19"/>
  <c r="A212" i="19"/>
  <c r="A213" i="19"/>
  <c r="A214" i="19"/>
  <c r="A215" i="19"/>
  <c r="A216" i="19"/>
  <c r="A217" i="19"/>
  <c r="A218" i="19"/>
  <c r="A219" i="19"/>
  <c r="A220" i="19"/>
  <c r="A221" i="19"/>
  <c r="A222" i="19"/>
  <c r="A223" i="19"/>
  <c r="A224" i="19"/>
  <c r="A225" i="19"/>
  <c r="A226" i="19"/>
  <c r="A227" i="19"/>
  <c r="A228" i="19"/>
  <c r="A229" i="19"/>
  <c r="A230" i="19"/>
  <c r="A231" i="19"/>
  <c r="A232" i="19"/>
  <c r="A233" i="19"/>
  <c r="A234" i="19"/>
  <c r="A235" i="19"/>
  <c r="A236" i="19"/>
  <c r="A237" i="19"/>
  <c r="A238" i="19"/>
  <c r="A239" i="19"/>
  <c r="A240" i="19"/>
  <c r="A241" i="19"/>
  <c r="A242" i="19"/>
  <c r="A243" i="19"/>
  <c r="A244" i="19"/>
  <c r="A245" i="19"/>
  <c r="A246" i="19"/>
  <c r="A247" i="19"/>
  <c r="A248" i="19"/>
  <c r="A249" i="19"/>
  <c r="A250" i="19"/>
  <c r="A251" i="19"/>
  <c r="A252" i="19"/>
  <c r="A253" i="19"/>
  <c r="A254" i="19"/>
  <c r="A255" i="19"/>
  <c r="A256" i="19"/>
  <c r="A257" i="19"/>
  <c r="A258" i="19"/>
  <c r="A259" i="19"/>
  <c r="A260" i="19"/>
  <c r="A261" i="19"/>
  <c r="A262" i="19"/>
  <c r="A263" i="19"/>
  <c r="A264" i="19"/>
  <c r="A265" i="19"/>
  <c r="A266" i="19"/>
  <c r="A267" i="19"/>
  <c r="A268" i="19"/>
  <c r="A269" i="19"/>
  <c r="A270" i="19"/>
  <c r="A271" i="19"/>
  <c r="A272" i="19"/>
  <c r="A273" i="19"/>
  <c r="A274" i="19"/>
  <c r="A275" i="19"/>
  <c r="A276" i="19"/>
  <c r="A277" i="19"/>
  <c r="A278" i="19"/>
  <c r="A279" i="19"/>
  <c r="A280" i="19"/>
  <c r="A281" i="19"/>
  <c r="A282" i="19"/>
  <c r="A283" i="19"/>
  <c r="A284" i="19"/>
  <c r="A285" i="19"/>
  <c r="A286" i="19"/>
  <c r="A287" i="19"/>
  <c r="A288" i="19"/>
  <c r="A289" i="19"/>
  <c r="A290" i="19"/>
  <c r="A291" i="19"/>
  <c r="A292" i="19"/>
  <c r="A293" i="19"/>
  <c r="A294" i="19"/>
  <c r="A295" i="19"/>
  <c r="A296" i="19"/>
  <c r="A297" i="19"/>
  <c r="A298" i="19"/>
  <c r="A299" i="19"/>
  <c r="A300" i="19"/>
  <c r="A301" i="19"/>
  <c r="A302" i="19"/>
  <c r="A303" i="19"/>
  <c r="A304" i="19"/>
  <c r="A305" i="19"/>
  <c r="A306" i="19"/>
  <c r="A307" i="19"/>
  <c r="A308" i="19"/>
  <c r="A309" i="19"/>
  <c r="A310" i="19"/>
  <c r="A311" i="19"/>
  <c r="A312" i="19"/>
  <c r="A313" i="19"/>
  <c r="A314" i="19"/>
  <c r="A315" i="19"/>
  <c r="A316" i="19"/>
  <c r="A317" i="19"/>
  <c r="A318" i="19"/>
  <c r="A319" i="19"/>
  <c r="A320" i="19"/>
  <c r="A321" i="19"/>
  <c r="A322" i="19"/>
  <c r="A323" i="19"/>
  <c r="A324" i="19"/>
  <c r="A325" i="19"/>
  <c r="A326" i="19"/>
  <c r="A327" i="19"/>
  <c r="A328" i="19"/>
  <c r="A329" i="19"/>
  <c r="A330" i="19"/>
  <c r="A331" i="19"/>
  <c r="A332" i="19"/>
  <c r="A333" i="19"/>
  <c r="A334" i="19"/>
  <c r="A335" i="19"/>
  <c r="A336" i="19"/>
  <c r="A337" i="19"/>
  <c r="A338" i="19"/>
  <c r="A339" i="19"/>
  <c r="A340" i="19"/>
  <c r="A341" i="19"/>
  <c r="A342" i="19"/>
  <c r="A343" i="19"/>
  <c r="A344" i="19"/>
  <c r="A345" i="19"/>
  <c r="A346" i="19"/>
  <c r="A347" i="19"/>
  <c r="A348" i="19"/>
  <c r="A349" i="19"/>
  <c r="A350" i="19"/>
  <c r="A351" i="19"/>
  <c r="A352" i="19"/>
  <c r="A353" i="19"/>
  <c r="A354" i="19"/>
  <c r="A355" i="19"/>
  <c r="A356" i="19"/>
  <c r="A357" i="19"/>
  <c r="A358" i="19"/>
  <c r="A359" i="19"/>
  <c r="A360" i="19"/>
  <c r="A361" i="19"/>
  <c r="A362" i="19"/>
  <c r="A363" i="19"/>
  <c r="A364" i="19"/>
  <c r="A365" i="19"/>
  <c r="A366" i="19"/>
  <c r="A367" i="19"/>
  <c r="A368" i="19"/>
  <c r="A369" i="19"/>
  <c r="A370" i="19"/>
  <c r="A371" i="19"/>
  <c r="A372" i="19"/>
  <c r="A373" i="19"/>
  <c r="A374" i="19"/>
  <c r="A375" i="19"/>
  <c r="A376" i="19"/>
  <c r="A377" i="19"/>
  <c r="A378" i="19"/>
  <c r="A379" i="19"/>
  <c r="A380" i="19"/>
  <c r="A381" i="19"/>
  <c r="A382" i="19"/>
  <c r="A383" i="19"/>
  <c r="A384" i="19"/>
  <c r="A385" i="19"/>
  <c r="A386" i="19"/>
  <c r="A387" i="19"/>
  <c r="A388" i="19"/>
  <c r="A389" i="19"/>
  <c r="A390" i="19"/>
  <c r="A391" i="19"/>
  <c r="A392" i="19"/>
  <c r="A393" i="19"/>
  <c r="A394" i="19"/>
  <c r="A395" i="19"/>
  <c r="A396" i="19"/>
  <c r="A397" i="19"/>
  <c r="A398" i="19"/>
  <c r="A399" i="19"/>
  <c r="A400" i="19"/>
  <c r="A401" i="19"/>
  <c r="A402" i="19"/>
  <c r="A403" i="19"/>
  <c r="A404" i="19"/>
  <c r="A405" i="19"/>
  <c r="A406" i="19"/>
  <c r="A407" i="19"/>
  <c r="A408" i="19"/>
  <c r="A409" i="19"/>
  <c r="A410" i="19"/>
  <c r="A411" i="19"/>
  <c r="A412" i="19"/>
  <c r="A413" i="19"/>
  <c r="A414" i="19"/>
  <c r="A415" i="19"/>
  <c r="A416" i="19"/>
  <c r="A417" i="19"/>
  <c r="A418" i="19"/>
  <c r="A419" i="19"/>
  <c r="A420" i="19"/>
  <c r="A421" i="19"/>
  <c r="A422" i="19"/>
  <c r="A423" i="19"/>
  <c r="A424" i="19"/>
  <c r="A425" i="19"/>
  <c r="A426" i="19"/>
  <c r="A427" i="19"/>
  <c r="A428" i="19"/>
  <c r="A429" i="19"/>
  <c r="A430" i="19"/>
  <c r="A431" i="19"/>
  <c r="A432" i="19"/>
  <c r="A433" i="19"/>
  <c r="A434" i="19"/>
  <c r="A435" i="19"/>
  <c r="A436" i="19"/>
  <c r="A437" i="19"/>
  <c r="A438" i="19"/>
  <c r="A439" i="19"/>
  <c r="A440" i="19"/>
  <c r="A441" i="19"/>
  <c r="A442" i="19"/>
  <c r="A443" i="19"/>
  <c r="A444" i="19"/>
  <c r="A445" i="19"/>
  <c r="A446" i="19"/>
  <c r="A447" i="19"/>
  <c r="A448" i="19"/>
  <c r="A449" i="19"/>
  <c r="A450" i="19"/>
  <c r="A451" i="19"/>
  <c r="A452" i="19"/>
  <c r="A453" i="19"/>
  <c r="A454" i="19"/>
  <c r="A455" i="19"/>
  <c r="A456" i="19"/>
  <c r="A457" i="19"/>
  <c r="A458" i="19"/>
  <c r="A459" i="19"/>
  <c r="A460" i="19"/>
  <c r="A461" i="19"/>
  <c r="A462" i="19"/>
  <c r="A463" i="19"/>
  <c r="A464" i="19"/>
  <c r="A465" i="19"/>
  <c r="A466" i="19"/>
  <c r="A467" i="19"/>
  <c r="A468" i="19"/>
  <c r="A469" i="19"/>
  <c r="A470" i="19"/>
  <c r="A471" i="19"/>
  <c r="A472" i="19"/>
  <c r="A473" i="19"/>
  <c r="A474" i="19"/>
  <c r="A475" i="19"/>
  <c r="A476" i="19"/>
  <c r="A477" i="19"/>
  <c r="A478" i="19"/>
  <c r="A479" i="19"/>
  <c r="A480" i="19"/>
  <c r="A481" i="19"/>
  <c r="A482" i="19"/>
  <c r="A483" i="19"/>
  <c r="A484" i="19"/>
  <c r="A485" i="19"/>
  <c r="A486" i="19"/>
  <c r="A487" i="19"/>
  <c r="A488" i="19"/>
  <c r="A489" i="19"/>
  <c r="A490" i="19"/>
  <c r="A491" i="19"/>
  <c r="A492" i="19"/>
  <c r="A493" i="19"/>
  <c r="A494" i="19"/>
  <c r="A495" i="19"/>
  <c r="A496" i="19"/>
  <c r="A497" i="19"/>
  <c r="A498" i="19"/>
  <c r="A499" i="19"/>
  <c r="A500" i="19"/>
  <c r="A501" i="19"/>
  <c r="A502" i="19"/>
  <c r="A503" i="19"/>
  <c r="A504" i="19"/>
  <c r="A505" i="19"/>
  <c r="A506" i="19"/>
  <c r="A507" i="19"/>
  <c r="A508" i="19"/>
  <c r="A509" i="19"/>
  <c r="A510" i="19"/>
  <c r="A511" i="19"/>
  <c r="A512" i="19"/>
  <c r="A513" i="19"/>
  <c r="A514" i="19"/>
  <c r="A515" i="19"/>
  <c r="A516" i="19"/>
  <c r="A517" i="19"/>
  <c r="A518" i="19"/>
  <c r="A519" i="19"/>
  <c r="A520" i="19"/>
  <c r="A521" i="19"/>
  <c r="A522" i="19"/>
  <c r="A523" i="19"/>
  <c r="A524" i="19"/>
  <c r="A525" i="19"/>
  <c r="A526" i="19"/>
  <c r="A527" i="19"/>
  <c r="A528" i="19"/>
  <c r="A529" i="19"/>
  <c r="A530" i="19"/>
  <c r="A531" i="19"/>
  <c r="A532" i="19"/>
  <c r="A533" i="19"/>
  <c r="A534" i="19"/>
  <c r="A535" i="19"/>
  <c r="A536" i="19"/>
  <c r="A537" i="19"/>
  <c r="A538" i="19"/>
  <c r="A539" i="19"/>
  <c r="A540" i="19"/>
  <c r="A541" i="19"/>
  <c r="A542" i="19"/>
  <c r="A543" i="19"/>
  <c r="A544" i="19"/>
  <c r="A545" i="19"/>
  <c r="A546" i="19"/>
  <c r="A547" i="19"/>
  <c r="A548" i="19"/>
  <c r="A549" i="19"/>
  <c r="A550" i="19"/>
  <c r="A551" i="19"/>
  <c r="A552" i="19"/>
  <c r="A553" i="19"/>
  <c r="A554" i="19"/>
  <c r="A555" i="19"/>
  <c r="A556" i="19"/>
  <c r="A557" i="19"/>
  <c r="A558" i="19"/>
  <c r="A559" i="19"/>
  <c r="A560" i="19"/>
  <c r="A561" i="19"/>
  <c r="A562" i="19"/>
  <c r="A563" i="19"/>
  <c r="A564" i="19"/>
  <c r="A565" i="19"/>
  <c r="A566" i="19"/>
  <c r="A567" i="19"/>
  <c r="A568" i="19"/>
  <c r="A569" i="19"/>
  <c r="A2" i="19"/>
  <c r="K13" i="6"/>
  <c r="H13" i="6"/>
  <c r="B15" i="2"/>
  <c r="AQ5" i="2" l="1"/>
  <c r="BA4" i="2"/>
  <c r="BB4" i="2" s="1"/>
  <c r="BA5" i="2"/>
  <c r="BB5" i="2" s="1"/>
  <c r="BA6" i="2"/>
  <c r="BB6" i="2" s="1"/>
  <c r="BA7" i="2"/>
  <c r="BB7" i="2" s="1"/>
  <c r="BA8" i="2"/>
  <c r="BB8" i="2" s="1"/>
  <c r="BA9" i="2"/>
  <c r="BB9" i="2" s="1"/>
  <c r="BA10" i="2"/>
  <c r="BB10" i="2" s="1"/>
  <c r="BA11" i="2"/>
  <c r="BB11" i="2" s="1"/>
  <c r="BA12" i="2"/>
  <c r="BB12" i="2" s="1"/>
  <c r="BA13" i="2"/>
  <c r="BB13" i="2" s="1"/>
  <c r="BA14" i="2"/>
  <c r="BB14" i="2" s="1"/>
  <c r="BA15" i="2"/>
  <c r="BB15" i="2" s="1"/>
  <c r="BA16" i="2"/>
  <c r="BB16" i="2" s="1"/>
  <c r="AV5" i="2"/>
  <c r="AV8" i="2"/>
  <c r="AV9" i="2"/>
  <c r="AV10" i="2"/>
  <c r="AV11" i="2"/>
  <c r="AV12" i="2"/>
  <c r="AV13" i="2"/>
  <c r="AV15" i="2"/>
  <c r="AV16" i="2"/>
  <c r="AG6" i="2"/>
  <c r="AF6" i="2"/>
  <c r="AE6" i="2"/>
  <c r="B13" i="2"/>
  <c r="AU5" i="2"/>
  <c r="AU6" i="2"/>
  <c r="AW6" i="2" s="1"/>
  <c r="AU7" i="2"/>
  <c r="AW7" i="2" s="1"/>
  <c r="AU8" i="2"/>
  <c r="AU9" i="2"/>
  <c r="AU10" i="2"/>
  <c r="AU11" i="2"/>
  <c r="AU12" i="2"/>
  <c r="AU13" i="2"/>
  <c r="AU14" i="2"/>
  <c r="AW14" i="2" s="1"/>
  <c r="AU15" i="2"/>
  <c r="AU16" i="2"/>
  <c r="AU4" i="2"/>
  <c r="AW4" i="2" s="1"/>
  <c r="M103" i="2"/>
  <c r="H103" i="2" s="1"/>
  <c r="R103" i="2"/>
  <c r="AW10" i="2" l="1"/>
  <c r="AW11" i="2"/>
  <c r="AW9" i="2"/>
  <c r="AW15" i="2"/>
  <c r="AW8" i="2"/>
  <c r="AW16" i="2"/>
  <c r="AW5" i="2"/>
  <c r="AW13" i="2"/>
  <c r="AW12" i="2"/>
  <c r="G103" i="2"/>
  <c r="J103" i="2"/>
  <c r="I103" i="2"/>
  <c r="B6" i="2" l="1"/>
  <c r="AH5" i="2"/>
  <c r="AH4" i="2"/>
  <c r="AH3" i="2"/>
  <c r="H3" i="1"/>
  <c r="C5" i="1"/>
  <c r="C4" i="1"/>
  <c r="C3" i="1"/>
  <c r="B11"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AZ4" i="2" l="1"/>
  <c r="AZ12" i="2"/>
  <c r="AZ7" i="2"/>
  <c r="AZ15" i="2"/>
  <c r="AZ10" i="2"/>
  <c r="AZ5" i="2"/>
  <c r="AZ13" i="2"/>
  <c r="AZ8" i="2"/>
  <c r="AZ16" i="2"/>
  <c r="AZ9" i="2"/>
  <c r="AZ11" i="2"/>
  <c r="AZ6" i="2"/>
  <c r="AZ14" i="2"/>
  <c r="B12" i="2"/>
  <c r="P11" i="6" l="1"/>
  <c r="Q11" i="6" s="1"/>
  <c r="AA4" i="2"/>
  <c r="W7" i="2"/>
  <c r="X6" i="2" s="1"/>
  <c r="X8" i="2"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B9" i="2"/>
  <c r="H95" i="2" l="1"/>
  <c r="I95" i="2"/>
  <c r="J95" i="2"/>
  <c r="H55" i="2"/>
  <c r="I55" i="2"/>
  <c r="J55" i="2"/>
  <c r="H47" i="2"/>
  <c r="I47" i="2"/>
  <c r="J47" i="2"/>
  <c r="H39" i="2"/>
  <c r="I39" i="2"/>
  <c r="J39" i="2"/>
  <c r="H31" i="2"/>
  <c r="I31" i="2"/>
  <c r="J31" i="2"/>
  <c r="H23" i="2"/>
  <c r="I23" i="2"/>
  <c r="J23" i="2"/>
  <c r="H15" i="2"/>
  <c r="I15" i="2"/>
  <c r="J15" i="2"/>
  <c r="H7" i="2"/>
  <c r="I7" i="2"/>
  <c r="J7" i="2"/>
  <c r="I102" i="2"/>
  <c r="J102" i="2"/>
  <c r="H102" i="2"/>
  <c r="I94" i="2"/>
  <c r="H94" i="2"/>
  <c r="J94" i="2"/>
  <c r="I86" i="2"/>
  <c r="J86" i="2"/>
  <c r="H86" i="2"/>
  <c r="I78" i="2"/>
  <c r="J78" i="2"/>
  <c r="H78" i="2"/>
  <c r="H70" i="2"/>
  <c r="I70" i="2"/>
  <c r="J70" i="2"/>
  <c r="I62" i="2"/>
  <c r="H62" i="2"/>
  <c r="J62" i="2"/>
  <c r="I54" i="2"/>
  <c r="J54" i="2"/>
  <c r="H54" i="2"/>
  <c r="I46" i="2"/>
  <c r="J46" i="2"/>
  <c r="H46" i="2"/>
  <c r="H38" i="2"/>
  <c r="I38" i="2"/>
  <c r="J38" i="2"/>
  <c r="I30" i="2"/>
  <c r="J30" i="2"/>
  <c r="H30" i="2"/>
  <c r="I22" i="2"/>
  <c r="H22" i="2"/>
  <c r="J22" i="2"/>
  <c r="I14" i="2"/>
  <c r="J14" i="2"/>
  <c r="H14" i="2"/>
  <c r="H6" i="2"/>
  <c r="I6" i="2"/>
  <c r="J6" i="2"/>
  <c r="H79" i="2"/>
  <c r="I79" i="2"/>
  <c r="J79" i="2"/>
  <c r="I93" i="2"/>
  <c r="J93" i="2"/>
  <c r="H93" i="2"/>
  <c r="I77" i="2"/>
  <c r="J77" i="2"/>
  <c r="H77" i="2"/>
  <c r="I61" i="2"/>
  <c r="J61" i="2"/>
  <c r="H61" i="2"/>
  <c r="I53" i="2"/>
  <c r="J53" i="2"/>
  <c r="H53" i="2"/>
  <c r="I37" i="2"/>
  <c r="J37" i="2"/>
  <c r="H37" i="2"/>
  <c r="I29" i="2"/>
  <c r="J29" i="2"/>
  <c r="H29" i="2"/>
  <c r="I13" i="2"/>
  <c r="J13" i="2"/>
  <c r="H13" i="2"/>
  <c r="I100" i="2"/>
  <c r="J100" i="2"/>
  <c r="H100" i="2"/>
  <c r="I92" i="2"/>
  <c r="J92" i="2"/>
  <c r="H92" i="2"/>
  <c r="I84" i="2"/>
  <c r="J84" i="2"/>
  <c r="H84" i="2"/>
  <c r="I76" i="2"/>
  <c r="J76" i="2"/>
  <c r="H76" i="2"/>
  <c r="I68" i="2"/>
  <c r="J68" i="2"/>
  <c r="H68" i="2"/>
  <c r="I60" i="2"/>
  <c r="J60" i="2"/>
  <c r="H60" i="2"/>
  <c r="I52" i="2"/>
  <c r="J52" i="2"/>
  <c r="H52" i="2"/>
  <c r="I44" i="2"/>
  <c r="J44" i="2"/>
  <c r="H44" i="2"/>
  <c r="I36" i="2"/>
  <c r="J36" i="2"/>
  <c r="H36" i="2"/>
  <c r="I28" i="2"/>
  <c r="J28" i="2"/>
  <c r="H28" i="2"/>
  <c r="I20" i="2"/>
  <c r="J20" i="2"/>
  <c r="H20" i="2"/>
  <c r="I12" i="2"/>
  <c r="J12" i="2"/>
  <c r="H12" i="2"/>
  <c r="I4" i="2"/>
  <c r="J4" i="2"/>
  <c r="H4" i="2"/>
  <c r="H71" i="2"/>
  <c r="I71" i="2"/>
  <c r="J71" i="2"/>
  <c r="I85" i="2"/>
  <c r="J85" i="2"/>
  <c r="H85" i="2"/>
  <c r="I69" i="2"/>
  <c r="J69" i="2"/>
  <c r="H69" i="2"/>
  <c r="I45" i="2"/>
  <c r="J45" i="2"/>
  <c r="H45" i="2"/>
  <c r="I21" i="2"/>
  <c r="J21" i="2"/>
  <c r="H21" i="2"/>
  <c r="I5" i="2"/>
  <c r="J5" i="2"/>
  <c r="H5" i="2"/>
  <c r="J99" i="2"/>
  <c r="H99" i="2"/>
  <c r="I99" i="2"/>
  <c r="J91" i="2"/>
  <c r="H91" i="2"/>
  <c r="I91" i="2"/>
  <c r="J83" i="2"/>
  <c r="H83" i="2"/>
  <c r="I83" i="2"/>
  <c r="J75" i="2"/>
  <c r="H75" i="2"/>
  <c r="I75" i="2"/>
  <c r="I67" i="2"/>
  <c r="J67" i="2"/>
  <c r="H67" i="2"/>
  <c r="J59" i="2"/>
  <c r="H59" i="2"/>
  <c r="I59" i="2"/>
  <c r="J51" i="2"/>
  <c r="H51" i="2"/>
  <c r="I51" i="2"/>
  <c r="J43" i="2"/>
  <c r="H43" i="2"/>
  <c r="I43" i="2"/>
  <c r="I35" i="2"/>
  <c r="J35" i="2"/>
  <c r="H35" i="2"/>
  <c r="J27" i="2"/>
  <c r="H27" i="2"/>
  <c r="I27" i="2"/>
  <c r="J19" i="2"/>
  <c r="H19" i="2"/>
  <c r="I19" i="2"/>
  <c r="J11" i="2"/>
  <c r="H11" i="2"/>
  <c r="I11" i="2"/>
  <c r="J3" i="2"/>
  <c r="H3" i="2"/>
  <c r="I3" i="2"/>
  <c r="J2" i="2"/>
  <c r="H2" i="2"/>
  <c r="I2" i="2"/>
  <c r="H63" i="2"/>
  <c r="I63" i="2"/>
  <c r="J63" i="2"/>
  <c r="J98" i="2"/>
  <c r="H98" i="2"/>
  <c r="I98" i="2"/>
  <c r="J82" i="2"/>
  <c r="H82" i="2"/>
  <c r="I82" i="2"/>
  <c r="J66" i="2"/>
  <c r="H66" i="2"/>
  <c r="I66" i="2"/>
  <c r="J50" i="2"/>
  <c r="H50" i="2"/>
  <c r="I50" i="2"/>
  <c r="J34" i="2"/>
  <c r="H34" i="2"/>
  <c r="I34" i="2"/>
  <c r="J18" i="2"/>
  <c r="H18" i="2"/>
  <c r="I18" i="2"/>
  <c r="J97" i="2"/>
  <c r="H97" i="2"/>
  <c r="I97" i="2"/>
  <c r="J89" i="2"/>
  <c r="H89" i="2"/>
  <c r="I89" i="2"/>
  <c r="J81" i="2"/>
  <c r="H81" i="2"/>
  <c r="I81" i="2"/>
  <c r="J73" i="2"/>
  <c r="H73" i="2"/>
  <c r="I73" i="2"/>
  <c r="J65" i="2"/>
  <c r="H65" i="2"/>
  <c r="I65" i="2"/>
  <c r="J57" i="2"/>
  <c r="H57" i="2"/>
  <c r="I57" i="2"/>
  <c r="J49" i="2"/>
  <c r="H49" i="2"/>
  <c r="I49" i="2"/>
  <c r="J41" i="2"/>
  <c r="H41" i="2"/>
  <c r="I41" i="2"/>
  <c r="J33" i="2"/>
  <c r="H33" i="2"/>
  <c r="I33" i="2"/>
  <c r="J25" i="2"/>
  <c r="H25" i="2"/>
  <c r="I25" i="2"/>
  <c r="J17" i="2"/>
  <c r="H17" i="2"/>
  <c r="I17" i="2"/>
  <c r="J9" i="2"/>
  <c r="H9" i="2"/>
  <c r="I9" i="2"/>
  <c r="H87" i="2"/>
  <c r="I87" i="2"/>
  <c r="J87" i="2"/>
  <c r="I101" i="2"/>
  <c r="J101" i="2"/>
  <c r="H101" i="2"/>
  <c r="J90" i="2"/>
  <c r="H90" i="2"/>
  <c r="I90" i="2"/>
  <c r="H74" i="2"/>
  <c r="J74" i="2"/>
  <c r="I74" i="2"/>
  <c r="J58" i="2"/>
  <c r="H58" i="2"/>
  <c r="I58" i="2"/>
  <c r="J42" i="2"/>
  <c r="H42" i="2"/>
  <c r="I42" i="2"/>
  <c r="J26" i="2"/>
  <c r="H26" i="2"/>
  <c r="I26" i="2"/>
  <c r="J10" i="2"/>
  <c r="H10" i="2"/>
  <c r="I10" i="2"/>
  <c r="J96" i="2"/>
  <c r="H96" i="2"/>
  <c r="I96" i="2"/>
  <c r="I88" i="2"/>
  <c r="J88" i="2"/>
  <c r="H88" i="2"/>
  <c r="I80" i="2"/>
  <c r="H80" i="2"/>
  <c r="J80" i="2"/>
  <c r="H72" i="2"/>
  <c r="I72" i="2"/>
  <c r="J72" i="2"/>
  <c r="I64" i="2"/>
  <c r="J64" i="2"/>
  <c r="H64" i="2"/>
  <c r="H56" i="2"/>
  <c r="I56" i="2"/>
  <c r="J56" i="2"/>
  <c r="H48" i="2"/>
  <c r="I48" i="2"/>
  <c r="J48" i="2"/>
  <c r="H40" i="2"/>
  <c r="I40" i="2"/>
  <c r="J40" i="2"/>
  <c r="J32" i="2"/>
  <c r="H32" i="2"/>
  <c r="I32" i="2"/>
  <c r="H24" i="2"/>
  <c r="I24" i="2"/>
  <c r="J24" i="2"/>
  <c r="H16" i="2"/>
  <c r="I16" i="2"/>
  <c r="J16" i="2"/>
  <c r="J8" i="2"/>
  <c r="H8" i="2"/>
  <c r="I8" i="2"/>
  <c r="G63" i="2"/>
  <c r="G64" i="2" s="1"/>
  <c r="G65" i="2" s="1"/>
  <c r="G66" i="2" s="1"/>
  <c r="G67" i="2" s="1"/>
  <c r="G68" i="2" s="1"/>
  <c r="G69" i="2" s="1"/>
  <c r="G70" i="2"/>
  <c r="F70" i="2"/>
  <c r="F71" i="2" s="1"/>
  <c r="F72" i="2" s="1"/>
  <c r="F73" i="2" s="1"/>
  <c r="F74" i="2" s="1"/>
  <c r="F75" i="2" s="1"/>
  <c r="F76" i="2" s="1"/>
  <c r="F77" i="2" s="1"/>
  <c r="F78" i="2" s="1"/>
  <c r="F79" i="2" s="1"/>
  <c r="F80" i="2" s="1"/>
  <c r="F81" i="2" s="1"/>
  <c r="F82" i="2" s="1"/>
  <c r="F83" i="2" s="1"/>
  <c r="F84" i="2" s="1"/>
  <c r="F85" i="2" s="1"/>
  <c r="F86" i="2" s="1"/>
  <c r="F87" i="2" s="1"/>
  <c r="F62" i="2"/>
  <c r="F63" i="2" s="1"/>
  <c r="F64" i="2" s="1"/>
  <c r="F65" i="2" s="1"/>
  <c r="F66" i="2" s="1"/>
  <c r="F67" i="2" s="1"/>
  <c r="F68" i="2" s="1"/>
  <c r="F69" i="2" s="1"/>
  <c r="G62" i="2"/>
  <c r="G46" i="2"/>
  <c r="G22" i="2"/>
  <c r="G23" i="2" s="1"/>
  <c r="G24" i="2" s="1"/>
  <c r="G25" i="2" s="1"/>
  <c r="G26" i="2" s="1"/>
  <c r="F101" i="2"/>
  <c r="F102" i="2" s="1"/>
  <c r="F103" i="2" s="1"/>
  <c r="G101" i="2"/>
  <c r="G45" i="2"/>
  <c r="F21" i="2"/>
  <c r="F22" i="2" s="1"/>
  <c r="F23" i="2" s="1"/>
  <c r="F24" i="2" s="1"/>
  <c r="F25" i="2" s="1"/>
  <c r="F26" i="2" s="1"/>
  <c r="G21" i="2"/>
  <c r="F47" i="2"/>
  <c r="F48" i="2" s="1"/>
  <c r="F49" i="2" s="1"/>
  <c r="F50" i="2" s="1"/>
  <c r="F51" i="2" s="1"/>
  <c r="F52" i="2" s="1"/>
  <c r="F53" i="2" s="1"/>
  <c r="F54" i="2" s="1"/>
  <c r="F55" i="2" s="1"/>
  <c r="G47" i="2"/>
  <c r="G28" i="2"/>
  <c r="G29" i="2" s="1"/>
  <c r="G30" i="2" s="1"/>
  <c r="G12" i="2"/>
  <c r="G13" i="2" s="1"/>
  <c r="G14" i="2" s="1"/>
  <c r="G15" i="2" s="1"/>
  <c r="G16" i="2" s="1"/>
  <c r="G17" i="2" s="1"/>
  <c r="G18" i="2" s="1"/>
  <c r="G19" i="2" s="1"/>
  <c r="G20" i="2" s="1"/>
  <c r="G4" i="2"/>
  <c r="G5" i="2" s="1"/>
  <c r="G6" i="2" s="1"/>
  <c r="G7" i="2" s="1"/>
  <c r="G8" i="2" s="1"/>
  <c r="G9" i="2" s="1"/>
  <c r="G10" i="2" s="1"/>
  <c r="G27" i="2"/>
  <c r="F27" i="2"/>
  <c r="F28" i="2" s="1"/>
  <c r="F29" i="2" s="1"/>
  <c r="F30" i="2" s="1"/>
  <c r="G11" i="2"/>
  <c r="F11" i="2"/>
  <c r="F12" i="2" s="1"/>
  <c r="F13" i="2" s="1"/>
  <c r="F14" i="2" s="1"/>
  <c r="F15" i="2" s="1"/>
  <c r="F16" i="2" s="1"/>
  <c r="F17" i="2" s="1"/>
  <c r="F18" i="2" s="1"/>
  <c r="F19" i="2" s="1"/>
  <c r="F20" i="2" s="1"/>
  <c r="G3" i="2"/>
  <c r="F3" i="2"/>
  <c r="F4" i="2" s="1"/>
  <c r="F5" i="2" s="1"/>
  <c r="F6" i="2" s="1"/>
  <c r="F7" i="2" s="1"/>
  <c r="F8" i="2" s="1"/>
  <c r="F9" i="2" s="1"/>
  <c r="F10" i="2" s="1"/>
  <c r="G71" i="2"/>
  <c r="G72" i="2" s="1"/>
  <c r="G73" i="2" s="1"/>
  <c r="G74" i="2" s="1"/>
  <c r="G75" i="2" s="1"/>
  <c r="G76" i="2" s="1"/>
  <c r="G77" i="2" s="1"/>
  <c r="G78" i="2" s="1"/>
  <c r="G79" i="2" s="1"/>
  <c r="G80" i="2" s="1"/>
  <c r="G81" i="2" s="1"/>
  <c r="G82" i="2" s="1"/>
  <c r="G83" i="2" s="1"/>
  <c r="G84" i="2" s="1"/>
  <c r="G85" i="2" s="1"/>
  <c r="G86" i="2" s="1"/>
  <c r="G87" i="2" s="1"/>
  <c r="F31" i="2"/>
  <c r="F32" i="2" s="1"/>
  <c r="F33" i="2" s="1"/>
  <c r="F34" i="2" s="1"/>
  <c r="F35" i="2" s="1"/>
  <c r="F36" i="2" s="1"/>
  <c r="F37" i="2" s="1"/>
  <c r="F38" i="2" s="1"/>
  <c r="F39" i="2" s="1"/>
  <c r="F40" i="2" s="1"/>
  <c r="F41" i="2" s="1"/>
  <c r="F42" i="2" s="1"/>
  <c r="F43" i="2" s="1"/>
  <c r="F44" i="2" s="1"/>
  <c r="F45" i="2" s="1"/>
  <c r="F46" i="2" s="1"/>
  <c r="G31" i="2"/>
  <c r="G102" i="2"/>
  <c r="G2" i="2"/>
  <c r="F2" i="2"/>
  <c r="F97" i="2"/>
  <c r="F98" i="2" s="1"/>
  <c r="F99" i="2" s="1"/>
  <c r="F100" i="2" s="1"/>
  <c r="G97" i="2"/>
  <c r="G89" i="2"/>
  <c r="G90" i="2" s="1"/>
  <c r="G91" i="2" s="1"/>
  <c r="G92" i="2" s="1"/>
  <c r="G93" i="2" s="1"/>
  <c r="G94" i="2" s="1"/>
  <c r="G95" i="2" s="1"/>
  <c r="G96" i="2" s="1"/>
  <c r="G57" i="2"/>
  <c r="G58" i="2" s="1"/>
  <c r="G59" i="2" s="1"/>
  <c r="G60" i="2" s="1"/>
  <c r="G61" i="2" s="1"/>
  <c r="G98" i="2"/>
  <c r="G99" i="2" s="1"/>
  <c r="G100" i="2" s="1"/>
  <c r="G88" i="2"/>
  <c r="F88" i="2"/>
  <c r="F89" i="2" s="1"/>
  <c r="F90" i="2" s="1"/>
  <c r="F91" i="2" s="1"/>
  <c r="F92" i="2" s="1"/>
  <c r="F93" i="2" s="1"/>
  <c r="F94" i="2" s="1"/>
  <c r="F95" i="2" s="1"/>
  <c r="F96" i="2" s="1"/>
  <c r="G56" i="2"/>
  <c r="F56" i="2"/>
  <c r="F57" i="2" s="1"/>
  <c r="F58" i="2" s="1"/>
  <c r="F59" i="2" s="1"/>
  <c r="F60" i="2" s="1"/>
  <c r="F61" i="2" s="1"/>
  <c r="G48" i="2"/>
  <c r="G49" i="2" s="1"/>
  <c r="G50" i="2" s="1"/>
  <c r="G51" i="2" s="1"/>
  <c r="G52" i="2" s="1"/>
  <c r="G53" i="2" s="1"/>
  <c r="G54" i="2" s="1"/>
  <c r="G55" i="2" s="1"/>
  <c r="G32" i="2"/>
  <c r="G33" i="2" s="1"/>
  <c r="G34" i="2" s="1"/>
  <c r="G35" i="2" s="1"/>
  <c r="G36" i="2" s="1"/>
  <c r="G37" i="2" s="1"/>
  <c r="G38" i="2" s="1"/>
  <c r="G39" i="2" s="1"/>
  <c r="G40" i="2" s="1"/>
  <c r="G41" i="2" s="1"/>
  <c r="G42" i="2" s="1"/>
  <c r="G43" i="2" s="1"/>
  <c r="G44" i="2" s="1"/>
  <c r="Q12" i="6"/>
  <c r="R11" i="6"/>
  <c r="P9" i="6"/>
  <c r="P10" i="6"/>
  <c r="P12" i="6"/>
  <c r="X3" i="2"/>
  <c r="X4" i="2"/>
  <c r="X5" i="2"/>
  <c r="S11" i="6" l="1"/>
  <c r="R12" i="6"/>
  <c r="T11" i="6" l="1"/>
  <c r="S12" i="6"/>
  <c r="U11" i="6" l="1"/>
  <c r="T12" i="6"/>
  <c r="V11" i="6" l="1"/>
  <c r="U12" i="6"/>
  <c r="W11" i="6" l="1"/>
  <c r="V12" i="6"/>
  <c r="W10" i="6" l="1"/>
  <c r="W9" i="6"/>
  <c r="X11" i="6"/>
  <c r="W12" i="6"/>
  <c r="Y11" i="6" l="1"/>
  <c r="X12" i="6"/>
  <c r="Y12" i="6" l="1"/>
  <c r="Z11" i="6"/>
  <c r="AB3" i="2"/>
  <c r="AB4" i="2" s="1"/>
  <c r="X7" i="2"/>
  <c r="AA11" i="6" l="1"/>
  <c r="Z12" i="6"/>
  <c r="AB11" i="6" l="1"/>
  <c r="AA12" i="6"/>
  <c r="AC11" i="6" l="1"/>
  <c r="AB12" i="6"/>
  <c r="AD11" i="6" l="1"/>
  <c r="AC12" i="6"/>
  <c r="AD9" i="6" l="1"/>
  <c r="AE11" i="6"/>
  <c r="AD12" i="6"/>
  <c r="AD10" i="6"/>
  <c r="AF11" i="6" l="1"/>
  <c r="AE12" i="6"/>
  <c r="AG11" i="6" l="1"/>
  <c r="AF12" i="6"/>
  <c r="AG12" i="6" l="1"/>
  <c r="AH11" i="6"/>
  <c r="AI11" i="6" l="1"/>
  <c r="AH12" i="6"/>
  <c r="AI12" i="6" l="1"/>
  <c r="AJ11" i="6"/>
  <c r="AK11" i="6" l="1"/>
  <c r="AJ12" i="6"/>
  <c r="AL11" i="6" l="1"/>
  <c r="AK9" i="6"/>
  <c r="AK12" i="6"/>
  <c r="AK10" i="6"/>
  <c r="AM11" i="6" l="1"/>
  <c r="AL12" i="6"/>
  <c r="AN11" i="6" l="1"/>
  <c r="AM12" i="6"/>
  <c r="AO11" i="6" l="1"/>
  <c r="AN12" i="6"/>
  <c r="AO12" i="6" l="1"/>
  <c r="AP11" i="6"/>
  <c r="AQ11" i="6" l="1"/>
  <c r="AP12" i="6"/>
  <c r="AQ12" i="6" l="1"/>
  <c r="AR11" i="6"/>
  <c r="AS11" i="6" l="1"/>
  <c r="AR10" i="6"/>
  <c r="AR12" i="6"/>
  <c r="AR9" i="6"/>
  <c r="AT11" i="6" l="1"/>
  <c r="AS12" i="6"/>
  <c r="AU11" i="6" l="1"/>
  <c r="AT12" i="6"/>
  <c r="AV11" i="6" l="1"/>
  <c r="AU12" i="6"/>
  <c r="AW11" i="6" l="1"/>
  <c r="AV12" i="6"/>
  <c r="AW12" i="6" l="1"/>
  <c r="AX11" i="6"/>
  <c r="AY11" i="6" l="1"/>
  <c r="AX12" i="6"/>
  <c r="AY12" i="6" l="1"/>
  <c r="AY10" i="6"/>
  <c r="AY9" i="6"/>
  <c r="AZ11" i="6"/>
  <c r="BA11" i="6" l="1"/>
  <c r="AZ12" i="6"/>
  <c r="BB11" i="6" l="1"/>
  <c r="BA12" i="6"/>
  <c r="BC11" i="6" l="1"/>
  <c r="BB12" i="6"/>
  <c r="BD11" i="6" l="1"/>
  <c r="BC12" i="6"/>
  <c r="BE11" i="6" l="1"/>
  <c r="BD12" i="6"/>
  <c r="BE12" i="6" l="1"/>
  <c r="BF11" i="6"/>
  <c r="BF10" i="6" l="1"/>
  <c r="BF9" i="6"/>
  <c r="BG11" i="6"/>
  <c r="BF12" i="6"/>
  <c r="BG12" i="6" l="1"/>
  <c r="BH11" i="6"/>
  <c r="BI11" i="6" l="1"/>
  <c r="BH12" i="6"/>
  <c r="BJ11" i="6" l="1"/>
  <c r="BI12" i="6"/>
  <c r="BK11" i="6" l="1"/>
  <c r="BJ12" i="6"/>
  <c r="BL11" i="6" l="1"/>
  <c r="BK12" i="6"/>
  <c r="BM11" i="6" l="1"/>
  <c r="BL12" i="6"/>
  <c r="BM12" i="6" l="1"/>
  <c r="BN11" i="6"/>
  <c r="BM10" i="6"/>
  <c r="BM9" i="6"/>
  <c r="BN12" i="6" l="1"/>
  <c r="BO11" i="6"/>
  <c r="BO12" i="6" l="1"/>
  <c r="BP11" i="6"/>
  <c r="BQ11" i="6" l="1"/>
  <c r="BP12" i="6"/>
  <c r="BR11" i="6" l="1"/>
  <c r="BQ12" i="6"/>
  <c r="BS11" i="6" l="1"/>
  <c r="BS12" i="6" s="1"/>
  <c r="BR12" i="6"/>
</calcChain>
</file>

<file path=xl/sharedStrings.xml><?xml version="1.0" encoding="utf-8"?>
<sst xmlns="http://schemas.openxmlformats.org/spreadsheetml/2006/main" count="715" uniqueCount="381">
  <si>
    <t>Project Name</t>
  </si>
  <si>
    <t>Project Sponsor</t>
  </si>
  <si>
    <t>Project Manager</t>
  </si>
  <si>
    <t>PROJECT STATUS</t>
  </si>
  <si>
    <t>PROJECT DETAILS</t>
  </si>
  <si>
    <t>TASK STATUS TRACKING</t>
  </si>
  <si>
    <t>STATUS</t>
  </si>
  <si>
    <t>COUNT</t>
  </si>
  <si>
    <t>PERCENT(%)</t>
  </si>
  <si>
    <t>NOT STARTED</t>
  </si>
  <si>
    <t>IN PROGRESS</t>
  </si>
  <si>
    <t>OVERDUE</t>
  </si>
  <si>
    <t>COMPLETE</t>
  </si>
  <si>
    <t>TOTAL TASKS</t>
  </si>
  <si>
    <t>BUDGET</t>
  </si>
  <si>
    <t>PROJECTED</t>
  </si>
  <si>
    <t>ACTUAL</t>
  </si>
  <si>
    <t>REMAINDER</t>
  </si>
  <si>
    <t>RISKS &amp; PENDING ACTIONS</t>
  </si>
  <si>
    <t>TASK</t>
  </si>
  <si>
    <t>RISKS</t>
  </si>
  <si>
    <t>ISSUES</t>
  </si>
  <si>
    <t>ACTION ITEMS</t>
  </si>
  <si>
    <t>HIGH</t>
  </si>
  <si>
    <t>MEDIUM</t>
  </si>
  <si>
    <t>LOW</t>
  </si>
  <si>
    <t>Closed</t>
  </si>
  <si>
    <t>ON TRACK</t>
  </si>
  <si>
    <t>AT RISK</t>
  </si>
  <si>
    <t>DELAYED</t>
  </si>
  <si>
    <t>DROPDOWN ITEMS</t>
  </si>
  <si>
    <t>Daily Huddle</t>
  </si>
  <si>
    <t>Weekly Huddle</t>
  </si>
  <si>
    <t>Monthly Huddle</t>
  </si>
  <si>
    <t>Email</t>
  </si>
  <si>
    <t>Conference Meeting (Office)</t>
  </si>
  <si>
    <t>Conference Meeting (Online)</t>
  </si>
  <si>
    <t>REQUIRED COMMUNICATION</t>
  </si>
  <si>
    <t>Pending</t>
  </si>
  <si>
    <t>Resolution In Progress</t>
  </si>
  <si>
    <t>RISK/ISSUE STATUS</t>
  </si>
  <si>
    <t>R/I IMPACT</t>
  </si>
  <si>
    <t>COMMUNICATION PLAN STATUS</t>
  </si>
  <si>
    <t>WBS</t>
  </si>
  <si>
    <t>PHASE</t>
  </si>
  <si>
    <t>LEAD</t>
  </si>
  <si>
    <t>PREDECESSOR</t>
  </si>
  <si>
    <t>START</t>
  </si>
  <si>
    <t>END</t>
  </si>
  <si>
    <t>DAYS</t>
  </si>
  <si>
    <t>% DONE</t>
  </si>
  <si>
    <t>WORK DAYS</t>
  </si>
  <si>
    <t>Project Kick-off</t>
  </si>
  <si>
    <t>AC</t>
  </si>
  <si>
    <t>Data Sanitation and training content creation</t>
  </si>
  <si>
    <t>KT/DT/
BP</t>
  </si>
  <si>
    <t>Data Extraction</t>
  </si>
  <si>
    <t>Bpublico</t>
  </si>
  <si>
    <t>Data Clean-up</t>
  </si>
  <si>
    <t>Ktamis</t>
  </si>
  <si>
    <t>Product Update in JDA and My Suki</t>
  </si>
  <si>
    <t>Data Clean-up Sign-off</t>
  </si>
  <si>
    <t>Training Content Creation - Store Operation</t>
  </si>
  <si>
    <t>Training Content Creation - For Customer</t>
  </si>
  <si>
    <t>Training Content Sign-off</t>
  </si>
  <si>
    <t>Development</t>
  </si>
  <si>
    <t>BP</t>
  </si>
  <si>
    <t>Suki App</t>
  </si>
  <si>
    <t>Suki Hub</t>
  </si>
  <si>
    <t>Picker-Checker</t>
  </si>
  <si>
    <t>Barter Middleware (Merging to prod version)</t>
  </si>
  <si>
    <t>POS Interface</t>
  </si>
  <si>
    <t>Core Middleware</t>
  </si>
  <si>
    <t>Barter POS</t>
  </si>
  <si>
    <t>Multiple Branch Capabilities</t>
  </si>
  <si>
    <t>Customer Loyalty Points</t>
  </si>
  <si>
    <t>System Integration Testing</t>
  </si>
  <si>
    <t>Test Scripts Creation</t>
  </si>
  <si>
    <t>Bugs Fixing</t>
  </si>
  <si>
    <t>Re-testing</t>
  </si>
  <si>
    <t>Sign-off</t>
  </si>
  <si>
    <t>Training</t>
  </si>
  <si>
    <t>JM/EA/
AC/BP</t>
  </si>
  <si>
    <t>Acodilla</t>
  </si>
  <si>
    <t>Picker-Checker-Driver</t>
  </si>
  <si>
    <t>PRG Business Process Creation - BRD</t>
  </si>
  <si>
    <t>GS/JV</t>
  </si>
  <si>
    <t>BRD Creation</t>
  </si>
  <si>
    <t>Daily Inventory Uploading and Branch synching</t>
  </si>
  <si>
    <t>Suki Agent</t>
  </si>
  <si>
    <t>Data Management</t>
  </si>
  <si>
    <t>Payment Collections</t>
  </si>
  <si>
    <t>Exceptions and Limitations</t>
  </si>
  <si>
    <t>Support Org Chart</t>
  </si>
  <si>
    <t>Customer Awareness</t>
  </si>
  <si>
    <t>Guidelines and policies</t>
  </si>
  <si>
    <t>BRD Submission</t>
  </si>
  <si>
    <t>BRD Processing</t>
  </si>
  <si>
    <t>Configuration and Migration</t>
  </si>
  <si>
    <t>Configure Business Settings</t>
  </si>
  <si>
    <t>Company Configuration</t>
  </si>
  <si>
    <t>Service Level Agreement</t>
  </si>
  <si>
    <t>Shipping Rates</t>
  </si>
  <si>
    <t>Advanced Configuration</t>
  </si>
  <si>
    <t>Configure User Accesss for Suki Hub</t>
  </si>
  <si>
    <t>Provide complete list of Users</t>
  </si>
  <si>
    <t>Configure Users</t>
  </si>
  <si>
    <t>Data Migration</t>
  </si>
  <si>
    <t>KT</t>
  </si>
  <si>
    <t>Master Products</t>
  </si>
  <si>
    <t>Popular Products</t>
  </si>
  <si>
    <t>Membership Data</t>
  </si>
  <si>
    <t>Inventory</t>
  </si>
  <si>
    <t>Images</t>
  </si>
  <si>
    <t>Infrastructure</t>
  </si>
  <si>
    <t>Stable Internet Connection</t>
  </si>
  <si>
    <t>Wifi acess for entire Store</t>
  </si>
  <si>
    <t>Suki Hardware</t>
  </si>
  <si>
    <t>PDTs</t>
  </si>
  <si>
    <t>LAN Receipt Printer for Picker</t>
  </si>
  <si>
    <t>Dedicated Barter POS</t>
  </si>
  <si>
    <t>Barter POS Hardware</t>
  </si>
  <si>
    <t>Pre Live Checklist/Preparation</t>
  </si>
  <si>
    <t>Install and configure all Hardwares</t>
  </si>
  <si>
    <t>Double check all Hardwares if working</t>
  </si>
  <si>
    <t>Check if all Hardwares if working</t>
  </si>
  <si>
    <t>PDTs and Printer</t>
  </si>
  <si>
    <t>POS</t>
  </si>
  <si>
    <t>Wifi speed and availability in entire Stores</t>
  </si>
  <si>
    <t>Double check and stress test Middleware</t>
  </si>
  <si>
    <t>Checklist</t>
  </si>
  <si>
    <t>Do we have Pickers?</t>
  </si>
  <si>
    <t>Do we have central contact or lines?</t>
  </si>
  <si>
    <t>Do we have Checker?</t>
  </si>
  <si>
    <t>Do we have Delivery vehicle and driver?</t>
  </si>
  <si>
    <t>Do we have dedicated lanes/section for Pickup?</t>
  </si>
  <si>
    <t>Do we have dedicated resource for Money remittances?</t>
  </si>
  <si>
    <t>Dry Run</t>
  </si>
  <si>
    <t>JM/EA/
AC</t>
  </si>
  <si>
    <t>Setup of Hardware and Connectivity</t>
  </si>
  <si>
    <t>Setup of Barter Suki Integration</t>
  </si>
  <si>
    <t>Setup Picker-Checker-Driver Apps</t>
  </si>
  <si>
    <t>Onboard assigned resources for Picker-Checker-Driver</t>
  </si>
  <si>
    <t>Goods Fill Rate</t>
  </si>
  <si>
    <t>Data re-synching</t>
  </si>
  <si>
    <t>Trial Run (Targeted Customers)</t>
  </si>
  <si>
    <t>Hypercare</t>
  </si>
  <si>
    <t>Marketing Advertisements/Promotions</t>
  </si>
  <si>
    <t>DT</t>
  </si>
  <si>
    <t>Flyers</t>
  </si>
  <si>
    <t>Social Sites (Organique)</t>
  </si>
  <si>
    <t>Freebies/GCs</t>
  </si>
  <si>
    <t xml:space="preserve">Go Live </t>
  </si>
  <si>
    <t>JM/EA</t>
  </si>
  <si>
    <t>2.1.1</t>
  </si>
  <si>
    <t>2.1.2</t>
  </si>
  <si>
    <t>2.1.3</t>
  </si>
  <si>
    <t>2.1.4</t>
  </si>
  <si>
    <t>2.1.5</t>
  </si>
  <si>
    <t>2.1.6</t>
  </si>
  <si>
    <t>3.1.1</t>
  </si>
  <si>
    <t>3.1.2</t>
  </si>
  <si>
    <t>3.1.3</t>
  </si>
  <si>
    <t>3.1.4</t>
  </si>
  <si>
    <t>3.1.5</t>
  </si>
  <si>
    <t>3.1.6</t>
  </si>
  <si>
    <t>3.1.7</t>
  </si>
  <si>
    <t>3.1.8</t>
  </si>
  <si>
    <t>4.1.1</t>
  </si>
  <si>
    <t>4.1.2</t>
  </si>
  <si>
    <t>4.1.3</t>
  </si>
  <si>
    <t>4.1.4</t>
  </si>
  <si>
    <t>5.1.1</t>
  </si>
  <si>
    <t>5.1.2</t>
  </si>
  <si>
    <t>6.1.1</t>
  </si>
  <si>
    <t>6.1.2</t>
  </si>
  <si>
    <t>6.1.3</t>
  </si>
  <si>
    <t>6.1.4</t>
  </si>
  <si>
    <t>6.1.5</t>
  </si>
  <si>
    <t>6.1.6</t>
  </si>
  <si>
    <t>6.1.7</t>
  </si>
  <si>
    <t>6.1.8</t>
  </si>
  <si>
    <t>6.1.9</t>
  </si>
  <si>
    <t>6.1.10</t>
  </si>
  <si>
    <t>6.1.11</t>
  </si>
  <si>
    <t>6.1.12</t>
  </si>
  <si>
    <t>7.1.1</t>
  </si>
  <si>
    <t>7.1.2</t>
  </si>
  <si>
    <t>7.1.3</t>
  </si>
  <si>
    <t>7.1.4</t>
  </si>
  <si>
    <t>7.1.5</t>
  </si>
  <si>
    <t>7.1.6</t>
  </si>
  <si>
    <t>7.1.7</t>
  </si>
  <si>
    <t>8.1.1</t>
  </si>
  <si>
    <t>8.1.2</t>
  </si>
  <si>
    <t>8.1.3</t>
  </si>
  <si>
    <t>8.1.4</t>
  </si>
  <si>
    <t>9.1.1</t>
  </si>
  <si>
    <t>9.1.2</t>
  </si>
  <si>
    <t>9.1.3</t>
  </si>
  <si>
    <t>9.1.4</t>
  </si>
  <si>
    <t>9.1.5</t>
  </si>
  <si>
    <t>9.1.6</t>
  </si>
  <si>
    <t>10.1.1</t>
  </si>
  <si>
    <t>10.1.2</t>
  </si>
  <si>
    <t>10.1.3</t>
  </si>
  <si>
    <t>10.1.4</t>
  </si>
  <si>
    <t>10.1.5</t>
  </si>
  <si>
    <t>10.1.6</t>
  </si>
  <si>
    <t>10.1.7</t>
  </si>
  <si>
    <t>10.1.8</t>
  </si>
  <si>
    <t>10.1.9</t>
  </si>
  <si>
    <t>10.1.10</t>
  </si>
  <si>
    <t>10.1.11</t>
  </si>
  <si>
    <t>10.1.12</t>
  </si>
  <si>
    <t>10.1.13</t>
  </si>
  <si>
    <t>10.1.14</t>
  </si>
  <si>
    <t>10.1.15</t>
  </si>
  <si>
    <t>10.1.16</t>
  </si>
  <si>
    <t>11.1.1</t>
  </si>
  <si>
    <t>11.1.2</t>
  </si>
  <si>
    <t>11.1.3</t>
  </si>
  <si>
    <t>11.1.4</t>
  </si>
  <si>
    <t>11.1.5</t>
  </si>
  <si>
    <t>11.1.6</t>
  </si>
  <si>
    <t>11.1.7</t>
  </si>
  <si>
    <t>12.1.1</t>
  </si>
  <si>
    <t>12.1.2</t>
  </si>
  <si>
    <t>Project Start Date</t>
  </si>
  <si>
    <t>Project End Date</t>
  </si>
  <si>
    <t>Current Phase</t>
  </si>
  <si>
    <t>TODAY</t>
  </si>
  <si>
    <t>WBS Level</t>
  </si>
  <si>
    <t xml:space="preserve">PROJECT NAME: </t>
  </si>
  <si>
    <t xml:space="preserve">PROJECT SPONSOR: </t>
  </si>
  <si>
    <t xml:space="preserve">PROJECT MANAGER: </t>
  </si>
  <si>
    <t xml:space="preserve">STATUS DATE:  </t>
  </si>
  <si>
    <t>PROJECT MANAGEMENT REPORT</t>
  </si>
  <si>
    <t xml:space="preserve">PROJECT STATUS:  </t>
  </si>
  <si>
    <t>Project Status:</t>
  </si>
  <si>
    <t>PROJECT HEALTH</t>
  </si>
  <si>
    <t>Complete</t>
  </si>
  <si>
    <t xml:space="preserve">Project Start Date </t>
  </si>
  <si>
    <t xml:space="preserve">Project Sponsor </t>
  </si>
  <si>
    <t xml:space="preserve">Project Manager </t>
  </si>
  <si>
    <t>Project Champion</t>
  </si>
  <si>
    <t xml:space="preserve"> Not Started | In Progress</t>
  </si>
  <si>
    <t>Today</t>
  </si>
  <si>
    <t xml:space="preserve">Display Week </t>
  </si>
  <si>
    <t>PROJECT TIMELINE</t>
  </si>
  <si>
    <t>CMPLT</t>
  </si>
  <si>
    <t>MAIN PHASE</t>
  </si>
  <si>
    <t>SP-1</t>
  </si>
  <si>
    <t>SP-2</t>
  </si>
  <si>
    <t>SP-3</t>
  </si>
  <si>
    <t>SP-4</t>
  </si>
  <si>
    <t>Company Name</t>
  </si>
  <si>
    <t>Name of Project Champion</t>
  </si>
  <si>
    <t>Name of Project Manager</t>
  </si>
  <si>
    <t>Name of Project Sponsor</t>
  </si>
  <si>
    <t>[ Insert Company Logo here]</t>
  </si>
  <si>
    <t>Juan Dela Cruz</t>
  </si>
  <si>
    <t>Pedro Penduko</t>
  </si>
  <si>
    <t>Days Passed</t>
  </si>
  <si>
    <t>Agenda</t>
  </si>
  <si>
    <t>Required Communication</t>
  </si>
  <si>
    <t>Start</t>
  </si>
  <si>
    <t>Finish</t>
  </si>
  <si>
    <t>Duration</t>
  </si>
  <si>
    <t>Status</t>
  </si>
  <si>
    <t>Intitiated By</t>
  </si>
  <si>
    <t>Required Attendance</t>
  </si>
  <si>
    <t>Purpose</t>
  </si>
  <si>
    <t>Name</t>
  </si>
  <si>
    <t>Position</t>
  </si>
  <si>
    <t>Project Role</t>
  </si>
  <si>
    <t>Business Email Address</t>
  </si>
  <si>
    <t>Preferred Communication Type</t>
  </si>
  <si>
    <t>Project Expectations</t>
  </si>
  <si>
    <t>Infuence</t>
  </si>
  <si>
    <t>Comments</t>
  </si>
  <si>
    <t>Department</t>
  </si>
  <si>
    <t>Section</t>
  </si>
  <si>
    <t>Mobile Number</t>
  </si>
  <si>
    <t>Days Available</t>
  </si>
  <si>
    <t>Comment</t>
  </si>
  <si>
    <t>Risks</t>
  </si>
  <si>
    <t>Classifications</t>
  </si>
  <si>
    <t>Mitigation Plan</t>
  </si>
  <si>
    <t>Subject</t>
  </si>
  <si>
    <t>Issues</t>
  </si>
  <si>
    <t>IMPACT</t>
  </si>
  <si>
    <t>Action Plans</t>
  </si>
  <si>
    <t>Owner</t>
  </si>
  <si>
    <t>Date Assigned</t>
  </si>
  <si>
    <t>Deadline</t>
  </si>
  <si>
    <t>Date Closed</t>
  </si>
  <si>
    <t>Remarks</t>
  </si>
  <si>
    <t>SUM</t>
  </si>
  <si>
    <t>CRITERIA</t>
  </si>
  <si>
    <t>DAYS SINCE START</t>
  </si>
  <si>
    <t>Dashboard Date</t>
  </si>
  <si>
    <t>DAYS SINCE TODAY</t>
  </si>
  <si>
    <t>DURATION</t>
  </si>
  <si>
    <t>% COMPLETE</t>
  </si>
  <si>
    <t>COMPLETION</t>
  </si>
  <si>
    <t>HEIGHT</t>
  </si>
  <si>
    <t xml:space="preserve"> </t>
  </si>
  <si>
    <t>ENABLE DASHBOARD MACROS</t>
  </si>
  <si>
    <t>PROJECT DASHBOARD</t>
  </si>
  <si>
    <t>INCOMPLETE:</t>
  </si>
  <si>
    <t>Date</t>
  </si>
  <si>
    <t>Holiday</t>
  </si>
  <si>
    <t>New Year</t>
  </si>
  <si>
    <t>Chinese New Year</t>
  </si>
  <si>
    <t>EDSA Anniversary</t>
  </si>
  <si>
    <t>Day of Valor / Maundy Thursday</t>
  </si>
  <si>
    <t>Good Friday</t>
  </si>
  <si>
    <t>Labor Day</t>
  </si>
  <si>
    <t>Eidul Fitr</t>
  </si>
  <si>
    <t>Independence Day</t>
  </si>
  <si>
    <t>Eidul Adha</t>
  </si>
  <si>
    <t>Ninoy Aquino Day</t>
  </si>
  <si>
    <t>National Heroes Day</t>
  </si>
  <si>
    <t>All Saints' Day</t>
  </si>
  <si>
    <t>Bonifacio Day</t>
  </si>
  <si>
    <t>Immaculate Conception</t>
  </si>
  <si>
    <t>Christmas Day</t>
  </si>
  <si>
    <t>Rizal Day</t>
  </si>
  <si>
    <t>New Year's Eve</t>
  </si>
  <si>
    <t>New Year's Day</t>
  </si>
  <si>
    <t>Maundy Thursday</t>
  </si>
  <si>
    <t>Bataan Day</t>
  </si>
  <si>
    <t>Labour Day</t>
  </si>
  <si>
    <t>Eid al-Fitr</t>
  </si>
  <si>
    <t>Philippines Independence Day</t>
  </si>
  <si>
    <t>Eid al-Adha</t>
  </si>
  <si>
    <t>National Heroes' Day (in Philippines)</t>
  </si>
  <si>
    <t>Row Labels</t>
  </si>
  <si>
    <t>Grand Total</t>
  </si>
  <si>
    <t>COMPANY ABC</t>
  </si>
  <si>
    <t>Project Omicron</t>
  </si>
  <si>
    <t>NONE</t>
  </si>
  <si>
    <t>Sum of WORK DAYS</t>
  </si>
  <si>
    <t>Count of ACTUAL DAYS</t>
  </si>
  <si>
    <t>Sum of PLANNED DAYS</t>
  </si>
  <si>
    <t>Sum of % DONE</t>
  </si>
  <si>
    <t>Team Member A</t>
  </si>
  <si>
    <t>Position A</t>
  </si>
  <si>
    <t>Team Member B</t>
  </si>
  <si>
    <t>Team Member C</t>
  </si>
  <si>
    <t>Team Member D</t>
  </si>
  <si>
    <t>Team Member E</t>
  </si>
  <si>
    <t>Position B</t>
  </si>
  <si>
    <t>Position C</t>
  </si>
  <si>
    <t>Position D</t>
  </si>
  <si>
    <t>Position E</t>
  </si>
  <si>
    <t>X Department</t>
  </si>
  <si>
    <t>Section X1</t>
  </si>
  <si>
    <t>Y Department</t>
  </si>
  <si>
    <t>Section X2</t>
  </si>
  <si>
    <t>Section Y1</t>
  </si>
  <si>
    <t>Section Y2</t>
  </si>
  <si>
    <t>Section Z1</t>
  </si>
  <si>
    <t>Manager</t>
  </si>
  <si>
    <t xml:space="preserve">   PROJECT TEAM</t>
  </si>
  <si>
    <t>E Department</t>
  </si>
  <si>
    <t>MEMBERS:</t>
  </si>
  <si>
    <t>Name of Stakeholder 1</t>
  </si>
  <si>
    <t>Name of Stakeholder 2</t>
  </si>
  <si>
    <t>PHASE 1</t>
  </si>
  <si>
    <t>PHASE / ACTIVITY</t>
  </si>
  <si>
    <t>1.2.1</t>
  </si>
  <si>
    <t>PLANNED START DATE</t>
  </si>
  <si>
    <t>PLANNED # OF DAYS</t>
  </si>
  <si>
    <t>PLANNED END DATE</t>
  </si>
  <si>
    <t>ACTUAL START DATE</t>
  </si>
  <si>
    <t>ACTUAL # OF DAYS</t>
  </si>
  <si>
    <t>ACTUAL END DATE</t>
  </si>
  <si>
    <t>PHASE 1.1</t>
  </si>
  <si>
    <t>PHASE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</si>
</sst>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quot;$&quot;* #,##0.00_-;_-&quot;$&quot;* &quot;-&quot;??_-;_-@_-"/>
    <numFmt numFmtId="165" formatCode="ddd\ m/dd/yy"/>
    <numFmt numFmtId="166" formatCode="[$-409]mmmm\ d\,\ yyyy;@"/>
    <numFmt numFmtId="167" formatCode="#,#00;;;"/>
    <numFmt numFmtId="168" formatCode="m/d/yyyy\ \(dddd\)"/>
    <numFmt numFmtId="169" formatCode="d\ mmm\ yyyy"/>
    <numFmt numFmtId="170" formatCode="d"/>
    <numFmt numFmtId="172" formatCode="yyyy\-mm\-dd;@"/>
    <numFmt numFmtId="173" formatCode="0&quot;%&quot;"/>
    <numFmt numFmtId="174" formatCode="[$-3409]dd\-mmm\-yy;@"/>
    <numFmt numFmtId="175" formatCode="ddd\,\ mmm\ dd\,\ yyyy"/>
    <numFmt numFmtId="176" formatCode="mmm\ dd\,\ yyyy\ \|\ ddd"/>
  </numFmts>
  <fonts count="5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0"/>
      <color theme="0"/>
      <name val="Arial"/>
      <family val="2"/>
    </font>
    <font>
      <sz val="12"/>
      <color theme="1"/>
      <name val="Calibri"/>
      <family val="2"/>
      <scheme val="minor"/>
    </font>
    <font>
      <sz val="9"/>
      <color theme="0"/>
      <name val="Arial"/>
      <family val="2"/>
    </font>
    <font>
      <sz val="10"/>
      <color theme="1"/>
      <name val="Arial"/>
      <family val="2"/>
    </font>
    <font>
      <b/>
      <sz val="9"/>
      <color theme="1"/>
      <name val="Arial"/>
      <family val="2"/>
    </font>
    <font>
      <b/>
      <sz val="10"/>
      <color theme="1"/>
      <name val="Arial"/>
      <family val="2"/>
    </font>
    <font>
      <sz val="10"/>
      <name val="Arial"/>
      <family val="2"/>
    </font>
    <font>
      <b/>
      <sz val="8"/>
      <color theme="0"/>
      <name val="Arial"/>
      <family val="2"/>
    </font>
    <font>
      <sz val="9"/>
      <color theme="1"/>
      <name val="Arial"/>
      <family val="2"/>
    </font>
    <font>
      <b/>
      <sz val="18"/>
      <color theme="1"/>
      <name val="Calibri"/>
      <family val="2"/>
      <scheme val="minor"/>
    </font>
    <font>
      <b/>
      <sz val="10"/>
      <color theme="1"/>
      <name val="Calibri"/>
      <family val="2"/>
      <scheme val="minor"/>
    </font>
    <font>
      <sz val="10"/>
      <color theme="1"/>
      <name val="Calibri"/>
      <family val="2"/>
      <scheme val="minor"/>
    </font>
    <font>
      <sz val="14"/>
      <name val="Calibri Light"/>
      <family val="2"/>
      <scheme val="major"/>
    </font>
    <font>
      <b/>
      <sz val="16"/>
      <name val="Arial"/>
      <family val="2"/>
    </font>
    <font>
      <u/>
      <sz val="10"/>
      <color indexed="12"/>
      <name val="Arial"/>
      <family val="2"/>
    </font>
    <font>
      <i/>
      <sz val="8"/>
      <name val="Arial"/>
      <family val="2"/>
    </font>
    <font>
      <b/>
      <sz val="10"/>
      <name val="Calibri Light"/>
      <family val="2"/>
      <scheme val="major"/>
    </font>
    <font>
      <sz val="10"/>
      <name val="Calibri"/>
      <family val="2"/>
      <scheme val="minor"/>
    </font>
    <font>
      <sz val="10"/>
      <name val="Calibri Light"/>
      <family val="2"/>
      <scheme val="major"/>
    </font>
    <font>
      <b/>
      <sz val="11"/>
      <name val="Calibri"/>
      <family val="2"/>
      <scheme val="minor"/>
    </font>
    <font>
      <sz val="8"/>
      <name val="Arial"/>
      <family val="2"/>
    </font>
    <font>
      <b/>
      <sz val="9"/>
      <name val="Calibri Light"/>
      <family val="2"/>
      <scheme val="major"/>
    </font>
    <font>
      <sz val="9"/>
      <name val="Calibri"/>
      <family val="2"/>
      <scheme val="minor"/>
    </font>
    <font>
      <b/>
      <sz val="9"/>
      <name val="Calibri"/>
      <family val="2"/>
      <scheme val="minor"/>
    </font>
    <font>
      <sz val="14"/>
      <color rgb="FF000000"/>
      <name val="Calibri"/>
      <family val="2"/>
      <scheme val="minor"/>
    </font>
    <font>
      <sz val="8"/>
      <name val="Calibri"/>
      <family val="2"/>
      <scheme val="minor"/>
    </font>
    <font>
      <sz val="9"/>
      <name val="Calibri Light"/>
      <family val="2"/>
      <scheme val="major"/>
    </font>
    <font>
      <b/>
      <sz val="11"/>
      <name val="Calibri Light"/>
      <family val="2"/>
      <scheme val="major"/>
    </font>
    <font>
      <sz val="11"/>
      <color theme="0" tint="-0.34998626667073579"/>
      <name val="Calibri"/>
      <family val="2"/>
      <scheme val="minor"/>
    </font>
    <font>
      <sz val="14"/>
      <color theme="0" tint="-0.34998626667073579"/>
      <name val="Calibri Light"/>
      <family val="2"/>
      <scheme val="major"/>
    </font>
    <font>
      <b/>
      <sz val="9"/>
      <color theme="0"/>
      <name val="Calibri"/>
      <family val="2"/>
      <scheme val="minor"/>
    </font>
    <font>
      <sz val="9"/>
      <name val="Arial"/>
      <family val="2"/>
    </font>
    <font>
      <b/>
      <sz val="16"/>
      <color theme="0"/>
      <name val="Calibri"/>
      <family val="2"/>
      <scheme val="minor"/>
    </font>
    <font>
      <b/>
      <sz val="9"/>
      <color theme="0"/>
      <name val="Calibri Light"/>
      <family val="2"/>
      <scheme val="major"/>
    </font>
    <font>
      <sz val="10"/>
      <color rgb="FF008000"/>
      <name val="Arial"/>
      <family val="2"/>
    </font>
    <font>
      <sz val="9"/>
      <color rgb="FF008000"/>
      <name val="Arial"/>
      <family val="2"/>
    </font>
    <font>
      <sz val="9"/>
      <color rgb="FF008000"/>
      <name val="Calibri"/>
      <family val="2"/>
      <scheme val="minor"/>
    </font>
    <font>
      <u/>
      <sz val="10"/>
      <color rgb="FF008000"/>
      <name val="Arial"/>
      <family val="2"/>
    </font>
    <font>
      <b/>
      <sz val="9"/>
      <color rgb="FF008000"/>
      <name val="Calibri"/>
      <family val="2"/>
      <scheme val="minor"/>
    </font>
    <font>
      <b/>
      <sz val="36"/>
      <color theme="0"/>
      <name val="Calibri"/>
      <family val="2"/>
      <scheme val="minor"/>
    </font>
    <font>
      <b/>
      <sz val="24"/>
      <color theme="0"/>
      <name val="Calibri"/>
      <family val="2"/>
      <scheme val="minor"/>
    </font>
    <font>
      <b/>
      <sz val="16"/>
      <color theme="9" tint="-0.249977111117893"/>
      <name val="Calibri"/>
      <family val="2"/>
      <scheme val="minor"/>
    </font>
    <font>
      <b/>
      <sz val="8"/>
      <name val="Calibri Light"/>
      <family val="2"/>
      <scheme val="major"/>
    </font>
    <font>
      <b/>
      <sz val="14"/>
      <name val="Calibri Light"/>
      <family val="2"/>
      <scheme val="major"/>
    </font>
    <font>
      <b/>
      <sz val="10"/>
      <name val="Calibri Light"/>
      <family val="1"/>
      <scheme val="major"/>
    </font>
    <font>
      <b/>
      <sz val="9"/>
      <name val="Arial"/>
      <family val="2"/>
    </font>
    <font>
      <b/>
      <sz val="10"/>
      <name val="Arial"/>
      <family val="2"/>
    </font>
    <font>
      <sz val="11"/>
      <color rgb="FF000000"/>
      <name val="Calibri"/>
      <family val="2"/>
    </font>
  </fonts>
  <fills count="32">
    <fill>
      <patternFill patternType="none"/>
    </fill>
    <fill>
      <patternFill patternType="gray125"/>
    </fill>
    <fill>
      <patternFill patternType="solid">
        <fgColor rgb="FF008000"/>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rgb="FF0070C0"/>
        <bgColor indexed="64"/>
      </patternFill>
    </fill>
    <fill>
      <patternFill patternType="solid">
        <fgColor rgb="FFED7C00"/>
        <bgColor indexed="64"/>
      </patternFill>
    </fill>
    <fill>
      <patternFill patternType="solid">
        <fgColor rgb="FFFF0000"/>
        <bgColor indexed="64"/>
      </patternFill>
    </fill>
    <fill>
      <patternFill patternType="solid">
        <fgColor rgb="FF00B050"/>
        <bgColor indexed="64"/>
      </patternFill>
    </fill>
    <fill>
      <patternFill patternType="solid">
        <fgColor theme="9" tint="0.59999389629810485"/>
        <bgColor indexed="64"/>
      </patternFill>
    </fill>
    <fill>
      <patternFill patternType="solid">
        <fgColor rgb="FF92D050"/>
        <bgColor indexed="64"/>
      </patternFill>
    </fill>
    <fill>
      <patternFill patternType="solid">
        <fgColor theme="8" tint="-0.499984740745262"/>
        <bgColor indexed="64"/>
      </patternFill>
    </fill>
    <fill>
      <patternFill patternType="solid">
        <fgColor rgb="FFC0000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5" tint="-0.49998474074526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bgColor indexed="64"/>
      </patternFill>
    </fill>
    <fill>
      <patternFill patternType="solid">
        <fgColor theme="0"/>
        <bgColor rgb="FFD6F4D9"/>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9" tint="0.79998168889431442"/>
        <bgColor rgb="FFD6F4D9"/>
      </patternFill>
    </fill>
    <fill>
      <patternFill patternType="solid">
        <fgColor rgb="FF0D1629"/>
        <bgColor indexed="64"/>
      </patternFill>
    </fill>
    <fill>
      <patternFill patternType="solid">
        <fgColor rgb="FF203864"/>
        <bgColor indexed="64"/>
      </patternFill>
    </fill>
    <fill>
      <patternFill patternType="solid">
        <fgColor theme="4"/>
        <bgColor theme="4"/>
      </patternFill>
    </fill>
    <fill>
      <patternFill patternType="solid">
        <fgColor rgb="FF121F3A"/>
        <bgColor indexed="64"/>
      </patternFill>
    </fill>
  </fills>
  <borders count="78">
    <border>
      <left/>
      <right/>
      <top/>
      <bottom/>
      <diagonal/>
    </border>
    <border>
      <left style="thin">
        <color theme="0" tint="-0.499984740745262"/>
      </left>
      <right/>
      <top style="thin">
        <color theme="8" tint="0.59999389629810485"/>
      </top>
      <bottom style="thin">
        <color theme="8" tint="0.59999389629810485"/>
      </bottom>
      <diagonal/>
    </border>
    <border>
      <left/>
      <right/>
      <top style="thin">
        <color theme="8" tint="0.59999389629810485"/>
      </top>
      <bottom style="thin">
        <color theme="8" tint="0.59999389629810485"/>
      </bottom>
      <diagonal/>
    </border>
    <border>
      <left/>
      <right style="thin">
        <color theme="8" tint="0.59999389629810485"/>
      </right>
      <top style="thin">
        <color theme="8" tint="0.59999389629810485"/>
      </top>
      <bottom style="thin">
        <color theme="8" tint="0.59999389629810485"/>
      </bottom>
      <diagonal/>
    </border>
    <border>
      <left style="thin">
        <color theme="0" tint="-0.499984740745262"/>
      </left>
      <right style="thin">
        <color theme="8" tint="0.59999389629810485"/>
      </right>
      <top style="thin">
        <color theme="8" tint="0.59999389629810485"/>
      </top>
      <bottom style="thin">
        <color theme="8" tint="0.59999389629810485"/>
      </bottom>
      <diagonal/>
    </border>
    <border>
      <left style="thin">
        <color theme="8" tint="0.59999389629810485"/>
      </left>
      <right style="thin">
        <color theme="8" tint="0.59999389629810485"/>
      </right>
      <top style="thin">
        <color theme="8" tint="0.59999389629810485"/>
      </top>
      <bottom style="thin">
        <color theme="8" tint="0.59999389629810485"/>
      </bottom>
      <diagonal/>
    </border>
    <border>
      <left style="thin">
        <color theme="0" tint="-0.499984740745262"/>
      </left>
      <right style="thin">
        <color theme="8" tint="0.59999389629810485"/>
      </right>
      <top style="thin">
        <color theme="8" tint="0.59999389629810485"/>
      </top>
      <bottom/>
      <diagonal/>
    </border>
    <border>
      <left style="thin">
        <color theme="0" tint="-0.499984740745262"/>
      </left>
      <right/>
      <top/>
      <bottom/>
      <diagonal/>
    </border>
    <border>
      <left style="thin">
        <color theme="0" tint="-0.499984740745262"/>
      </left>
      <right style="thin">
        <color theme="8" tint="0.59999389629810485"/>
      </right>
      <top/>
      <bottom style="thin">
        <color theme="8" tint="0.59999389629810485"/>
      </bottom>
      <diagonal/>
    </border>
    <border>
      <left style="thin">
        <color theme="8" tint="0.59999389629810485"/>
      </left>
      <right style="thin">
        <color theme="8" tint="0.59999389629810485"/>
      </right>
      <top/>
      <bottom style="thin">
        <color theme="8" tint="0.59999389629810485"/>
      </bottom>
      <diagonal/>
    </border>
    <border>
      <left/>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theme="1"/>
      </bottom>
      <diagonal/>
    </border>
    <border>
      <left/>
      <right/>
      <top/>
      <bottom style="thin">
        <color theme="1"/>
      </bottom>
      <diagonal/>
    </border>
    <border>
      <left/>
      <right style="medium">
        <color indexed="64"/>
      </right>
      <top/>
      <bottom style="thin">
        <color theme="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style="thin">
        <color theme="1"/>
      </right>
      <top/>
      <bottom style="thin">
        <color theme="1"/>
      </bottom>
      <diagonal/>
    </border>
    <border>
      <left/>
      <right style="thin">
        <color theme="1"/>
      </right>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medium">
        <color rgb="FF008000"/>
      </top>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rgb="FF008000"/>
      </right>
      <top style="thin">
        <color theme="0" tint="-0.24994659260841701"/>
      </top>
      <bottom style="thin">
        <color theme="0" tint="-0.24994659260841701"/>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style="thin">
        <color theme="9" tint="0.59996337778862885"/>
      </right>
      <top style="thin">
        <color theme="9" tint="0.59996337778862885"/>
      </top>
      <bottom/>
      <diagonal/>
    </border>
    <border>
      <left style="thin">
        <color theme="9" tint="0.59996337778862885"/>
      </left>
      <right style="thin">
        <color theme="9" tint="0.59996337778862885"/>
      </right>
      <top style="thin">
        <color theme="9" tint="0.59996337778862885"/>
      </top>
      <bottom/>
      <diagonal/>
    </border>
    <border>
      <left/>
      <right style="thin">
        <color theme="9" tint="0.59996337778862885"/>
      </right>
      <top/>
      <bottom/>
      <diagonal/>
    </border>
    <border>
      <left style="thin">
        <color theme="9" tint="0.59996337778862885"/>
      </left>
      <right style="thin">
        <color theme="9" tint="0.59996337778862885"/>
      </right>
      <top/>
      <bottom/>
      <diagonal/>
    </border>
    <border>
      <left/>
      <right style="thin">
        <color theme="9" tint="0.59996337778862885"/>
      </right>
      <top/>
      <bottom style="thin">
        <color theme="9" tint="0.59996337778862885"/>
      </bottom>
      <diagonal/>
    </border>
    <border>
      <left style="thin">
        <color theme="9" tint="0.59996337778862885"/>
      </left>
      <right style="thin">
        <color theme="9" tint="0.59996337778862885"/>
      </right>
      <top/>
      <bottom style="thin">
        <color theme="9" tint="0.59996337778862885"/>
      </bottom>
      <diagonal/>
    </border>
    <border>
      <left style="thin">
        <color theme="9" tint="0.59996337778862885"/>
      </left>
      <right style="thin">
        <color theme="9" tint="0.59996337778862885"/>
      </right>
      <top style="thin">
        <color theme="9" tint="0.59996337778862885"/>
      </top>
      <bottom style="thin">
        <color theme="9" tint="0.59996337778862885"/>
      </bottom>
      <diagonal/>
    </border>
    <border>
      <left style="thin">
        <color rgb="FFC5E0B3"/>
      </left>
      <right/>
      <top style="thin">
        <color theme="9" tint="0.59996337778862885"/>
      </top>
      <bottom/>
      <diagonal/>
    </border>
    <border>
      <left style="thin">
        <color rgb="FFC5E0B3"/>
      </left>
      <right/>
      <top/>
      <bottom/>
      <diagonal/>
    </border>
    <border>
      <left style="thin">
        <color indexed="64"/>
      </left>
      <right/>
      <top style="medium">
        <color indexed="64"/>
      </top>
      <bottom/>
      <diagonal/>
    </border>
    <border>
      <left/>
      <right/>
      <top style="thin">
        <color theme="9" tint="0.59996337778862885"/>
      </top>
      <bottom style="thin">
        <color theme="9" tint="0.59996337778862885"/>
      </bottom>
      <diagonal/>
    </border>
    <border>
      <left style="thin">
        <color theme="9" tint="0.59996337778862885"/>
      </left>
      <right/>
      <top style="thin">
        <color theme="9" tint="0.59996337778862885"/>
      </top>
      <bottom style="thin">
        <color theme="9" tint="0.59996337778862885"/>
      </bottom>
      <diagonal/>
    </border>
    <border>
      <left style="thin">
        <color theme="9" tint="0.59996337778862885"/>
      </left>
      <right/>
      <top style="thin">
        <color theme="9" tint="0.59996337778862885"/>
      </top>
      <bottom/>
      <diagonal/>
    </border>
    <border>
      <left style="thin">
        <color theme="9" tint="0.59996337778862885"/>
      </left>
      <right/>
      <top/>
      <bottom/>
      <diagonal/>
    </border>
    <border>
      <left style="thin">
        <color theme="0"/>
      </left>
      <right style="thin">
        <color theme="0"/>
      </right>
      <top style="thin">
        <color theme="0"/>
      </top>
      <bottom style="thin">
        <color theme="0"/>
      </bottom>
      <diagonal/>
    </border>
    <border>
      <left/>
      <right style="thin">
        <color theme="9" tint="0.59996337778862885"/>
      </right>
      <top style="thin">
        <color theme="9" tint="0.59996337778862885"/>
      </top>
      <bottom style="thin">
        <color theme="9" tint="0.59996337778862885"/>
      </bottom>
      <diagonal/>
    </border>
    <border>
      <left/>
      <right style="thin">
        <color theme="0"/>
      </right>
      <top style="thin">
        <color theme="0"/>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008000"/>
      </left>
      <right/>
      <top/>
      <bottom/>
      <diagonal/>
    </border>
    <border>
      <left/>
      <right style="thin">
        <color theme="4" tint="0.39997558519241921"/>
      </right>
      <top/>
      <bottom/>
      <diagonal/>
    </border>
    <border>
      <left style="medium">
        <color theme="9" tint="-0.499984740745262"/>
      </left>
      <right/>
      <top/>
      <bottom style="medium">
        <color theme="9" tint="-0.499984740745262"/>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tint="-0.34998626667073579"/>
      </left>
      <right/>
      <top style="medium">
        <color indexed="64"/>
      </top>
      <bottom style="medium">
        <color indexed="64"/>
      </bottom>
      <diagonal/>
    </border>
    <border>
      <left style="thin">
        <color indexed="64"/>
      </left>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medium">
        <color theme="9" tint="-0.499984740745262"/>
      </left>
      <right/>
      <top/>
      <bottom/>
      <diagonal/>
    </border>
  </borders>
  <cellStyleXfs count="9">
    <xf numFmtId="0" fontId="0" fillId="0" borderId="0"/>
    <xf numFmtId="9" fontId="1" fillId="0" borderId="0" applyFont="0" applyFill="0" applyBorder="0" applyAlignment="0" applyProtection="0"/>
    <xf numFmtId="0" fontId="5" fillId="0" borderId="0"/>
    <xf numFmtId="9" fontId="5" fillId="0" borderId="0" applyFont="0" applyFill="0" applyBorder="0" applyAlignment="0" applyProtection="0"/>
    <xf numFmtId="164" fontId="5" fillId="0" borderId="0" applyFont="0" applyFill="0" applyBorder="0" applyAlignment="0" applyProtection="0"/>
    <xf numFmtId="0" fontId="10" fillId="0" borderId="0"/>
    <xf numFmtId="0" fontId="18" fillId="0" borderId="0" applyNumberFormat="0" applyFill="0" applyBorder="0" applyAlignment="0" applyProtection="0">
      <alignment vertical="top"/>
      <protection locked="0"/>
    </xf>
    <xf numFmtId="9" fontId="10" fillId="0" borderId="0" applyFont="0" applyFill="0" applyBorder="0" applyAlignment="0" applyProtection="0"/>
    <xf numFmtId="44" fontId="1" fillId="0" borderId="0" applyFont="0" applyFill="0" applyBorder="0" applyAlignment="0" applyProtection="0"/>
  </cellStyleXfs>
  <cellXfs count="353">
    <xf numFmtId="0" fontId="0" fillId="0" borderId="0" xfId="0"/>
    <xf numFmtId="0" fontId="3" fillId="0" borderId="0" xfId="0" applyFont="1"/>
    <xf numFmtId="0" fontId="4" fillId="4" borderId="4" xfId="2" applyFont="1" applyFill="1" applyBorder="1" applyAlignment="1">
      <alignment horizontal="center" vertical="center" wrapText="1"/>
    </xf>
    <xf numFmtId="0" fontId="4" fillId="4" borderId="5" xfId="2" applyFont="1" applyFill="1" applyBorder="1" applyAlignment="1">
      <alignment horizontal="center" vertical="center" wrapText="1"/>
    </xf>
    <xf numFmtId="0" fontId="6" fillId="5" borderId="6" xfId="2" applyFont="1" applyFill="1" applyBorder="1" applyAlignment="1">
      <alignment horizontal="center"/>
    </xf>
    <xf numFmtId="9" fontId="7" fillId="0" borderId="5" xfId="3" applyFont="1" applyBorder="1" applyAlignment="1">
      <alignment horizontal="center"/>
    </xf>
    <xf numFmtId="0" fontId="6" fillId="6" borderId="4" xfId="2" applyFont="1" applyFill="1" applyBorder="1" applyAlignment="1">
      <alignment horizontal="center"/>
    </xf>
    <xf numFmtId="0" fontId="6" fillId="7" borderId="4" xfId="2" applyFont="1" applyFill="1" applyBorder="1" applyAlignment="1">
      <alignment horizontal="center"/>
    </xf>
    <xf numFmtId="0" fontId="6" fillId="8" borderId="4" xfId="2" applyFont="1" applyFill="1" applyBorder="1" applyAlignment="1">
      <alignment horizontal="center"/>
    </xf>
    <xf numFmtId="1" fontId="8" fillId="9" borderId="4" xfId="2" applyNumberFormat="1" applyFont="1" applyFill="1" applyBorder="1" applyAlignment="1">
      <alignment horizontal="center"/>
    </xf>
    <xf numFmtId="1" fontId="9" fillId="9" borderId="5" xfId="2" applyNumberFormat="1" applyFont="1" applyFill="1" applyBorder="1" applyAlignment="1">
      <alignment horizontal="center"/>
    </xf>
    <xf numFmtId="9" fontId="9" fillId="9" borderId="5" xfId="1" applyFont="1" applyFill="1" applyBorder="1" applyAlignment="1">
      <alignment horizontal="center"/>
    </xf>
    <xf numFmtId="0" fontId="4" fillId="10" borderId="8" xfId="2" applyFont="1" applyFill="1" applyBorder="1" applyAlignment="1">
      <alignment horizontal="center" vertical="center" wrapText="1"/>
    </xf>
    <xf numFmtId="0" fontId="4" fillId="10" borderId="9" xfId="2" applyFont="1" applyFill="1" applyBorder="1" applyAlignment="1">
      <alignment horizontal="center" vertical="center" wrapText="1"/>
    </xf>
    <xf numFmtId="0" fontId="9" fillId="9" borderId="13" xfId="2" applyFont="1" applyFill="1" applyBorder="1" applyAlignment="1">
      <alignment horizontal="center" vertical="center"/>
    </xf>
    <xf numFmtId="0" fontId="6" fillId="13" borderId="4" xfId="2" applyFont="1" applyFill="1" applyBorder="1" applyAlignment="1">
      <alignment horizontal="center"/>
    </xf>
    <xf numFmtId="0" fontId="12" fillId="14" borderId="4" xfId="2" applyFont="1" applyFill="1" applyBorder="1" applyAlignment="1">
      <alignment horizontal="center"/>
    </xf>
    <xf numFmtId="0" fontId="4" fillId="0" borderId="10" xfId="2" applyFont="1" applyFill="1" applyBorder="1" applyAlignment="1">
      <alignment vertical="center" wrapText="1"/>
    </xf>
    <xf numFmtId="0" fontId="4" fillId="12" borderId="12" xfId="2" applyFont="1" applyFill="1" applyBorder="1" applyAlignment="1">
      <alignment vertical="center" wrapText="1"/>
    </xf>
    <xf numFmtId="0" fontId="4" fillId="6" borderId="12" xfId="2" applyFont="1" applyFill="1" applyBorder="1" applyAlignment="1">
      <alignment vertical="center" wrapText="1"/>
    </xf>
    <xf numFmtId="0" fontId="0" fillId="0" borderId="0" xfId="0" applyAlignment="1">
      <alignment horizontal="center" vertical="center"/>
    </xf>
    <xf numFmtId="0" fontId="3" fillId="0" borderId="0" xfId="0" applyFont="1" applyAlignment="1">
      <alignment horizontal="center" vertical="center"/>
    </xf>
    <xf numFmtId="166" fontId="0" fillId="0" borderId="0" xfId="0" applyNumberFormat="1" applyAlignment="1">
      <alignment horizontal="center" vertical="center"/>
    </xf>
    <xf numFmtId="166" fontId="3" fillId="0" borderId="0" xfId="0" applyNumberFormat="1" applyFont="1" applyAlignment="1">
      <alignment horizontal="center" vertical="center"/>
    </xf>
    <xf numFmtId="0" fontId="0" fillId="0" borderId="0" xfId="0" applyAlignment="1">
      <alignment horizontal="right" vertical="center"/>
    </xf>
    <xf numFmtId="0" fontId="0" fillId="0" borderId="0" xfId="0" applyNumberFormat="1" applyAlignment="1">
      <alignment horizontal="right" vertical="center"/>
    </xf>
    <xf numFmtId="0" fontId="0" fillId="0" borderId="0" xfId="0" applyAlignment="1">
      <alignment horizontal="center" vertical="center" wrapText="1"/>
    </xf>
    <xf numFmtId="0" fontId="3" fillId="0" borderId="0" xfId="0" applyFont="1" applyAlignment="1">
      <alignment horizontal="center" vertical="center" wrapText="1"/>
    </xf>
    <xf numFmtId="0" fontId="0" fillId="15" borderId="0" xfId="0" applyFill="1"/>
    <xf numFmtId="14" fontId="0" fillId="0" borderId="0" xfId="0" applyNumberFormat="1"/>
    <xf numFmtId="9" fontId="0" fillId="0" borderId="0" xfId="1" applyFont="1"/>
    <xf numFmtId="9" fontId="3" fillId="0" borderId="0" xfId="0" applyNumberFormat="1" applyFont="1" applyAlignment="1">
      <alignment horizontal="center" vertical="center"/>
    </xf>
    <xf numFmtId="167" fontId="7" fillId="0" borderId="5" xfId="2" applyNumberFormat="1" applyFont="1" applyBorder="1" applyAlignment="1">
      <alignment horizontal="center"/>
    </xf>
    <xf numFmtId="0" fontId="0" fillId="17" borderId="21" xfId="0" applyFill="1" applyBorder="1"/>
    <xf numFmtId="0" fontId="13" fillId="17" borderId="22" xfId="0" applyFont="1" applyFill="1" applyBorder="1" applyAlignment="1">
      <alignment horizontal="center" vertical="center"/>
    </xf>
    <xf numFmtId="0" fontId="13" fillId="17" borderId="19" xfId="0" applyFont="1" applyFill="1" applyBorder="1" applyAlignment="1">
      <alignment horizontal="center" vertical="center"/>
    </xf>
    <xf numFmtId="0" fontId="13" fillId="17" borderId="23" xfId="0" applyFont="1" applyFill="1" applyBorder="1" applyAlignment="1">
      <alignment horizontal="center" vertical="center"/>
    </xf>
    <xf numFmtId="0" fontId="0" fillId="17" borderId="24" xfId="0" applyFill="1" applyBorder="1"/>
    <xf numFmtId="0" fontId="0" fillId="17" borderId="25" xfId="0" applyFill="1" applyBorder="1"/>
    <xf numFmtId="0" fontId="0" fillId="17" borderId="26" xfId="0" applyFill="1" applyBorder="1"/>
    <xf numFmtId="0" fontId="15" fillId="17" borderId="0" xfId="0" applyFont="1" applyFill="1" applyBorder="1"/>
    <xf numFmtId="0" fontId="14" fillId="17" borderId="0" xfId="0" applyFont="1" applyFill="1" applyBorder="1" applyAlignment="1">
      <alignment horizontal="right"/>
    </xf>
    <xf numFmtId="0" fontId="14" fillId="17" borderId="0" xfId="0" applyFont="1" applyFill="1" applyBorder="1" applyAlignment="1">
      <alignment vertical="top" wrapText="1"/>
    </xf>
    <xf numFmtId="0" fontId="0" fillId="20" borderId="0" xfId="0" applyFill="1"/>
    <xf numFmtId="0" fontId="19" fillId="0" borderId="35" xfId="6" applyFont="1" applyBorder="1" applyAlignment="1" applyProtection="1">
      <alignment vertical="center"/>
    </xf>
    <xf numFmtId="0" fontId="19" fillId="0" borderId="0" xfId="6" applyFont="1" applyBorder="1" applyAlignment="1" applyProtection="1">
      <alignment vertical="center"/>
    </xf>
    <xf numFmtId="0" fontId="19" fillId="13" borderId="0" xfId="6" applyFont="1" applyFill="1" applyBorder="1" applyAlignment="1" applyProtection="1">
      <alignment horizontal="left" vertical="center"/>
    </xf>
    <xf numFmtId="0" fontId="19" fillId="0" borderId="0" xfId="6" applyFont="1" applyBorder="1" applyAlignment="1" applyProtection="1">
      <alignment horizontal="left" vertical="center"/>
    </xf>
    <xf numFmtId="0" fontId="19" fillId="2" borderId="0" xfId="6" applyFont="1" applyFill="1" applyBorder="1" applyAlignment="1" applyProtection="1">
      <alignment horizontal="left" vertical="center"/>
    </xf>
    <xf numFmtId="170" fontId="24" fillId="0" borderId="38" xfId="5" applyNumberFormat="1" applyFont="1" applyBorder="1" applyAlignment="1" applyProtection="1">
      <alignment horizontal="center" vertical="center" shrinkToFit="1"/>
      <protection hidden="1"/>
    </xf>
    <xf numFmtId="0" fontId="3" fillId="0" borderId="0" xfId="0" applyFont="1" applyFill="1" applyBorder="1" applyAlignment="1">
      <alignment vertical="center"/>
    </xf>
    <xf numFmtId="0" fontId="3" fillId="0" borderId="0" xfId="0" applyFont="1" applyAlignment="1">
      <alignment horizontal="center" vertical="center"/>
    </xf>
    <xf numFmtId="0" fontId="3" fillId="0" borderId="0" xfId="0" applyFont="1" applyFill="1" applyBorder="1" applyAlignment="1">
      <alignment horizontal="center" vertical="center" wrapText="1"/>
    </xf>
    <xf numFmtId="0" fontId="3" fillId="0" borderId="0" xfId="0" applyFont="1" applyFill="1" applyBorder="1" applyAlignment="1">
      <alignment horizontal="center" vertical="center"/>
    </xf>
    <xf numFmtId="0" fontId="26" fillId="0" borderId="41" xfId="5" applyFont="1" applyBorder="1" applyAlignment="1" applyProtection="1">
      <alignment horizontal="center" vertical="top" shrinkToFit="1"/>
      <protection hidden="1"/>
    </xf>
    <xf numFmtId="0" fontId="26" fillId="0" borderId="19" xfId="5" applyFont="1" applyBorder="1" applyAlignment="1" applyProtection="1">
      <alignment horizontal="center" vertical="center" shrinkToFit="1"/>
      <protection hidden="1"/>
    </xf>
    <xf numFmtId="0" fontId="26" fillId="0" borderId="0" xfId="5" applyFont="1" applyBorder="1" applyAlignment="1" applyProtection="1">
      <alignment horizontal="center" vertical="center" shrinkToFit="1"/>
      <protection hidden="1"/>
    </xf>
    <xf numFmtId="0" fontId="19" fillId="0" borderId="42" xfId="6" applyFont="1" applyFill="1" applyBorder="1" applyAlignment="1" applyProtection="1">
      <alignment horizontal="left" vertical="center"/>
    </xf>
    <xf numFmtId="0" fontId="19" fillId="0" borderId="43" xfId="6" applyFont="1" applyFill="1" applyBorder="1" applyAlignment="1" applyProtection="1">
      <alignment horizontal="left" vertical="center"/>
    </xf>
    <xf numFmtId="1" fontId="0" fillId="0" borderId="0" xfId="0" applyNumberFormat="1" applyAlignment="1">
      <alignment horizontal="center" vertical="center"/>
    </xf>
    <xf numFmtId="1" fontId="3" fillId="0" borderId="0" xfId="0" applyNumberFormat="1" applyFont="1" applyAlignment="1">
      <alignment horizontal="center" vertical="center"/>
    </xf>
    <xf numFmtId="1" fontId="3" fillId="0" borderId="0" xfId="0" applyNumberFormat="1" applyFont="1" applyAlignment="1">
      <alignment horizontal="center" vertical="center" wrapText="1"/>
    </xf>
    <xf numFmtId="1" fontId="0" fillId="0" borderId="0" xfId="0" applyNumberFormat="1" applyAlignment="1">
      <alignment horizontal="center" vertical="center" wrapText="1"/>
    </xf>
    <xf numFmtId="0" fontId="0" fillId="0" borderId="0" xfId="0" applyAlignment="1"/>
    <xf numFmtId="0" fontId="11" fillId="4" borderId="4" xfId="2" applyFont="1" applyFill="1" applyBorder="1" applyAlignment="1">
      <alignment vertical="center" wrapText="1"/>
    </xf>
    <xf numFmtId="0" fontId="3" fillId="0" borderId="0" xfId="0" applyFont="1" applyAlignment="1"/>
    <xf numFmtId="9" fontId="0" fillId="0" borderId="0" xfId="1" applyFont="1" applyAlignment="1">
      <alignment horizontal="center" vertical="center"/>
    </xf>
    <xf numFmtId="9" fontId="3" fillId="0" borderId="0" xfId="1" applyFont="1" applyAlignment="1">
      <alignment horizontal="center" vertical="center"/>
    </xf>
    <xf numFmtId="0" fontId="0" fillId="0" borderId="0" xfId="0" applyFill="1" applyAlignment="1">
      <alignment horizontal="right" vertical="center"/>
    </xf>
    <xf numFmtId="0" fontId="0" fillId="0" borderId="0" xfId="0" applyFill="1" applyAlignment="1">
      <alignment horizontal="center" vertical="center" wrapText="1"/>
    </xf>
    <xf numFmtId="1" fontId="0" fillId="0" borderId="0" xfId="0" applyNumberFormat="1" applyFill="1" applyAlignment="1">
      <alignment horizontal="center" vertical="center" wrapText="1"/>
    </xf>
    <xf numFmtId="0" fontId="0" fillId="0" borderId="0" xfId="0" applyFill="1" applyAlignment="1">
      <alignment horizontal="center" vertical="center"/>
    </xf>
    <xf numFmtId="166" fontId="0" fillId="0" borderId="0" xfId="0" applyNumberFormat="1" applyFill="1" applyAlignment="1">
      <alignment horizontal="center" vertical="center"/>
    </xf>
    <xf numFmtId="0" fontId="0" fillId="0" borderId="0" xfId="0" applyBorder="1"/>
    <xf numFmtId="0" fontId="0" fillId="0" borderId="0" xfId="0" applyFill="1" applyBorder="1"/>
    <xf numFmtId="1" fontId="3" fillId="0" borderId="0" xfId="0" applyNumberFormat="1" applyFont="1" applyFill="1" applyBorder="1" applyAlignment="1">
      <alignment horizontal="center" vertical="center" wrapText="1"/>
    </xf>
    <xf numFmtId="166"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center" vertical="center" wrapText="1"/>
    </xf>
    <xf numFmtId="1" fontId="2" fillId="0" borderId="0" xfId="0" applyNumberFormat="1" applyFont="1" applyFill="1" applyBorder="1" applyAlignment="1">
      <alignment horizontal="center" vertical="center" wrapText="1"/>
    </xf>
    <xf numFmtId="166" fontId="2" fillId="0" borderId="0" xfId="0" applyNumberFormat="1" applyFont="1" applyFill="1" applyBorder="1" applyAlignment="1">
      <alignment horizontal="center" vertical="center"/>
    </xf>
    <xf numFmtId="0" fontId="0" fillId="0" borderId="0" xfId="0" applyFill="1" applyBorder="1" applyAlignment="1">
      <alignment horizontal="right" vertical="center"/>
    </xf>
    <xf numFmtId="0" fontId="0" fillId="0" borderId="0" xfId="0" applyFill="1" applyBorder="1" applyAlignment="1">
      <alignment horizontal="center" vertical="center" wrapText="1"/>
    </xf>
    <xf numFmtId="1" fontId="0" fillId="0" borderId="0" xfId="0" applyNumberFormat="1" applyFill="1" applyBorder="1" applyAlignment="1">
      <alignment horizontal="center" vertical="center" wrapText="1"/>
    </xf>
    <xf numFmtId="0" fontId="0" fillId="0" borderId="0" xfId="0" applyFill="1" applyBorder="1" applyAlignment="1">
      <alignment horizontal="center" vertical="center"/>
    </xf>
    <xf numFmtId="166" fontId="0" fillId="0" borderId="0" xfId="0" applyNumberFormat="1" applyFill="1" applyBorder="1" applyAlignment="1">
      <alignment horizontal="center" vertical="center"/>
    </xf>
    <xf numFmtId="0" fontId="10" fillId="0" borderId="0" xfId="5" applyProtection="1"/>
    <xf numFmtId="0" fontId="10" fillId="0" borderId="35" xfId="5" applyFill="1" applyBorder="1" applyProtection="1"/>
    <xf numFmtId="0" fontId="10" fillId="0" borderId="35" xfId="5" applyBorder="1" applyProtection="1"/>
    <xf numFmtId="0" fontId="10" fillId="0" borderId="0" xfId="5" applyFill="1" applyProtection="1"/>
    <xf numFmtId="0" fontId="16" fillId="0" borderId="0" xfId="5" applyFont="1" applyAlignment="1" applyProtection="1">
      <alignment vertical="center"/>
    </xf>
    <xf numFmtId="0" fontId="16" fillId="0" borderId="0" xfId="5" applyFont="1" applyAlignment="1" applyProtection="1">
      <alignment horizontal="center" vertical="center"/>
    </xf>
    <xf numFmtId="172" fontId="16" fillId="0" borderId="0" xfId="5" applyNumberFormat="1" applyFont="1" applyAlignment="1" applyProtection="1">
      <alignment horizontal="center" vertical="center"/>
    </xf>
    <xf numFmtId="173" fontId="16" fillId="0" borderId="0" xfId="5" applyNumberFormat="1" applyFont="1" applyAlignment="1" applyProtection="1">
      <alignment horizontal="center" vertical="center"/>
    </xf>
    <xf numFmtId="0" fontId="31" fillId="0" borderId="0" xfId="5" applyFont="1" applyAlignment="1" applyProtection="1">
      <alignment horizontal="right"/>
    </xf>
    <xf numFmtId="0" fontId="10" fillId="0" borderId="0" xfId="5" applyBorder="1" applyProtection="1"/>
    <xf numFmtId="172" fontId="10" fillId="0" borderId="0" xfId="5" applyNumberFormat="1" applyAlignment="1" applyProtection="1">
      <alignment horizontal="center" vertical="center"/>
    </xf>
    <xf numFmtId="0" fontId="10" fillId="0" borderId="0" xfId="5" applyAlignment="1" applyProtection="1">
      <alignment horizontal="center" vertical="center"/>
    </xf>
    <xf numFmtId="173" fontId="10" fillId="0" borderId="0" xfId="5" applyNumberFormat="1" applyProtection="1"/>
    <xf numFmtId="0" fontId="22" fillId="0" borderId="0" xfId="5" applyFont="1" applyFill="1" applyProtection="1"/>
    <xf numFmtId="172" fontId="22" fillId="0" borderId="0" xfId="5" applyNumberFormat="1" applyFont="1" applyAlignment="1" applyProtection="1">
      <alignment horizontal="center" vertical="center"/>
    </xf>
    <xf numFmtId="0" fontId="22" fillId="0" borderId="0" xfId="5" applyFont="1" applyAlignment="1" applyProtection="1">
      <alignment horizontal="center" vertical="center"/>
    </xf>
    <xf numFmtId="173" fontId="22" fillId="0" borderId="0" xfId="5" applyNumberFormat="1" applyFont="1" applyProtection="1"/>
    <xf numFmtId="0" fontId="25" fillId="0" borderId="0" xfId="5" applyFont="1" applyFill="1" applyAlignment="1" applyProtection="1">
      <alignment horizontal="center" vertical="top" wrapText="1"/>
    </xf>
    <xf numFmtId="0" fontId="25" fillId="0" borderId="22" xfId="5" applyFont="1" applyFill="1" applyBorder="1" applyAlignment="1" applyProtection="1">
      <alignment horizontal="center" vertical="center" wrapText="1"/>
    </xf>
    <xf numFmtId="172" fontId="10" fillId="0" borderId="0" xfId="5" applyNumberFormat="1" applyBorder="1" applyAlignment="1" applyProtection="1">
      <alignment horizontal="center" vertical="center"/>
    </xf>
    <xf numFmtId="1" fontId="29" fillId="22" borderId="0" xfId="5" applyNumberFormat="1" applyFont="1" applyFill="1" applyBorder="1" applyAlignment="1" applyProtection="1">
      <alignment horizontal="center" vertical="center"/>
    </xf>
    <xf numFmtId="174" fontId="0" fillId="0" borderId="0" xfId="0" applyNumberFormat="1"/>
    <xf numFmtId="1" fontId="0" fillId="0" borderId="0" xfId="0" applyNumberFormat="1"/>
    <xf numFmtId="0" fontId="38" fillId="0" borderId="50" xfId="0" applyFont="1" applyBorder="1" applyAlignment="1">
      <alignment horizontal="center" vertical="center"/>
    </xf>
    <xf numFmtId="0" fontId="39" fillId="25" borderId="50" xfId="0" applyFont="1" applyFill="1" applyBorder="1" applyAlignment="1">
      <alignment horizontal="center" vertical="center"/>
    </xf>
    <xf numFmtId="175" fontId="38" fillId="0" borderId="50" xfId="0" applyNumberFormat="1" applyFont="1" applyBorder="1" applyAlignment="1">
      <alignment horizontal="center" vertical="center"/>
    </xf>
    <xf numFmtId="0" fontId="38" fillId="25" borderId="50" xfId="0" applyFont="1" applyFill="1" applyBorder="1" applyAlignment="1">
      <alignment horizontal="center" vertical="center"/>
    </xf>
    <xf numFmtId="0" fontId="38" fillId="0" borderId="50" xfId="0" applyFont="1" applyBorder="1" applyAlignment="1">
      <alignment horizontal="center" vertical="center" wrapText="1"/>
    </xf>
    <xf numFmtId="0" fontId="38" fillId="0" borderId="0" xfId="0" applyFont="1"/>
    <xf numFmtId="165" fontId="40" fillId="27" borderId="50" xfId="0" applyNumberFormat="1" applyFont="1" applyFill="1" applyBorder="1" applyAlignment="1">
      <alignment horizontal="center" vertical="center" wrapText="1"/>
    </xf>
    <xf numFmtId="165" fontId="41" fillId="27" borderId="50" xfId="6" applyNumberFormat="1" applyFont="1" applyFill="1" applyBorder="1" applyAlignment="1" applyProtection="1">
      <alignment horizontal="center" vertical="center" wrapText="1"/>
    </xf>
    <xf numFmtId="165" fontId="42" fillId="27" borderId="50" xfId="0" applyNumberFormat="1" applyFont="1" applyFill="1" applyBorder="1" applyAlignment="1">
      <alignment horizontal="center" vertical="center" wrapText="1"/>
    </xf>
    <xf numFmtId="165" fontId="18" fillId="27" borderId="50" xfId="6" applyNumberFormat="1" applyFill="1" applyBorder="1" applyAlignment="1" applyProtection="1">
      <alignment horizontal="center" vertical="center" wrapText="1"/>
    </xf>
    <xf numFmtId="49" fontId="42" fillId="27" borderId="50" xfId="0" applyNumberFormat="1" applyFont="1" applyFill="1" applyBorder="1" applyAlignment="1">
      <alignment horizontal="center" vertical="center" wrapText="1"/>
    </xf>
    <xf numFmtId="0" fontId="0" fillId="0" borderId="0" xfId="0" applyAlignment="1">
      <alignment horizontal="left" vertical="center" wrapText="1"/>
    </xf>
    <xf numFmtId="0" fontId="3" fillId="0" borderId="0" xfId="0" applyFont="1" applyAlignment="1">
      <alignment horizontal="center" vertical="center"/>
    </xf>
    <xf numFmtId="0" fontId="0" fillId="0" borderId="0" xfId="0" applyNumberFormat="1" applyAlignment="1">
      <alignment horizontal="center" vertical="center" wrapText="1"/>
    </xf>
    <xf numFmtId="0" fontId="0" fillId="0" borderId="0" xfId="0" applyNumberFormat="1" applyAlignment="1">
      <alignment horizontal="center" vertical="center"/>
    </xf>
    <xf numFmtId="0" fontId="26" fillId="0" borderId="53" xfId="5" applyFont="1" applyBorder="1" applyAlignment="1" applyProtection="1">
      <alignment horizontal="center" vertical="center" shrinkToFit="1"/>
      <protection hidden="1"/>
    </xf>
    <xf numFmtId="44" fontId="7" fillId="0" borderId="4" xfId="8" applyFont="1" applyBorder="1" applyAlignment="1">
      <alignment horizontal="center"/>
    </xf>
    <xf numFmtId="44" fontId="7" fillId="0" borderId="5" xfId="8" applyFont="1" applyBorder="1" applyAlignment="1">
      <alignment horizontal="center"/>
    </xf>
    <xf numFmtId="174" fontId="0" fillId="0" borderId="0" xfId="0" applyNumberFormat="1" applyAlignment="1">
      <alignment horizontal="center" vertical="center"/>
    </xf>
    <xf numFmtId="0" fontId="0" fillId="28" borderId="0" xfId="0" applyFill="1"/>
    <xf numFmtId="0" fontId="4" fillId="0" borderId="0" xfId="2" applyFont="1" applyFill="1" applyBorder="1" applyAlignment="1">
      <alignment vertical="center" wrapText="1"/>
    </xf>
    <xf numFmtId="0" fontId="4" fillId="0" borderId="0" xfId="2" applyFont="1" applyFill="1" applyBorder="1" applyAlignment="1">
      <alignment horizontal="center" vertical="center" wrapText="1"/>
    </xf>
    <xf numFmtId="0" fontId="9" fillId="0" borderId="0" xfId="2" applyFont="1" applyFill="1" applyBorder="1" applyAlignment="1">
      <alignment horizontal="center" vertical="center"/>
    </xf>
    <xf numFmtId="0" fontId="4" fillId="5" borderId="11" xfId="2" applyFont="1" applyFill="1" applyBorder="1" applyAlignment="1">
      <alignment vertical="center" wrapText="1"/>
    </xf>
    <xf numFmtId="0" fontId="4" fillId="7" borderId="14" xfId="2" applyFont="1" applyFill="1" applyBorder="1" applyAlignment="1">
      <alignment vertical="center" wrapText="1"/>
    </xf>
    <xf numFmtId="0" fontId="4" fillId="7" borderId="15" xfId="2" applyFont="1" applyFill="1" applyBorder="1" applyAlignment="1">
      <alignment vertical="center" wrapText="1"/>
    </xf>
    <xf numFmtId="0" fontId="4" fillId="2" borderId="47" xfId="0" applyFont="1" applyFill="1" applyBorder="1" applyAlignment="1">
      <alignment horizontal="center" vertical="center" wrapText="1"/>
    </xf>
    <xf numFmtId="165" fontId="42" fillId="27" borderId="50" xfId="0" applyNumberFormat="1" applyFont="1" applyFill="1" applyBorder="1" applyAlignment="1">
      <alignment horizontal="left" vertical="center" wrapText="1"/>
    </xf>
    <xf numFmtId="165" fontId="42" fillId="27" borderId="50" xfId="0" applyNumberFormat="1" applyFont="1" applyFill="1" applyBorder="1" applyAlignment="1">
      <alignment horizontal="center" vertical="center"/>
    </xf>
    <xf numFmtId="0" fontId="0" fillId="0" borderId="0" xfId="0" pivotButton="1"/>
    <xf numFmtId="0" fontId="0" fillId="0" borderId="0" xfId="0" applyAlignment="1">
      <alignment horizontal="left"/>
    </xf>
    <xf numFmtId="0" fontId="3" fillId="28" borderId="0" xfId="0" applyFont="1" applyFill="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NumberFormat="1"/>
    <xf numFmtId="165" fontId="42" fillId="27" borderId="55" xfId="0" applyNumberFormat="1" applyFont="1" applyFill="1" applyBorder="1" applyAlignment="1">
      <alignment horizontal="center" vertical="center" wrapText="1"/>
    </xf>
    <xf numFmtId="165" fontId="42" fillId="27" borderId="45" xfId="0" applyNumberFormat="1" applyFont="1" applyFill="1" applyBorder="1" applyAlignment="1">
      <alignment horizontal="center" vertical="center" wrapText="1"/>
    </xf>
    <xf numFmtId="49" fontId="42" fillId="27" borderId="45" xfId="0" applyNumberFormat="1"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0" borderId="0" xfId="0" applyFont="1" applyFill="1" applyBorder="1" applyAlignment="1">
      <alignment horizontal="center" vertical="center" wrapText="1"/>
    </xf>
    <xf numFmtId="165" fontId="42" fillId="0" borderId="0" xfId="0" applyNumberFormat="1" applyFont="1" applyFill="1" applyBorder="1" applyAlignment="1">
      <alignment horizontal="center" vertical="center" wrapText="1"/>
    </xf>
    <xf numFmtId="0" fontId="37" fillId="2" borderId="46" xfId="0" applyFont="1" applyFill="1" applyBorder="1" applyAlignment="1">
      <alignment horizontal="center" vertical="center" wrapText="1"/>
    </xf>
    <xf numFmtId="165" fontId="42" fillId="27" borderId="59" xfId="0" applyNumberFormat="1" applyFont="1" applyFill="1" applyBorder="1" applyAlignment="1">
      <alignment horizontal="center" vertical="center" wrapText="1"/>
    </xf>
    <xf numFmtId="165" fontId="42" fillId="27" borderId="44" xfId="0" applyNumberFormat="1" applyFont="1" applyFill="1" applyBorder="1" applyAlignment="1">
      <alignment horizontal="center" vertical="center" wrapText="1"/>
    </xf>
    <xf numFmtId="165" fontId="42" fillId="27" borderId="50" xfId="0" applyNumberFormat="1" applyFont="1" applyFill="1" applyBorder="1" applyAlignment="1">
      <alignment horizontal="center" vertical="top" wrapText="1"/>
    </xf>
    <xf numFmtId="165" fontId="42" fillId="27" borderId="55" xfId="0" applyNumberFormat="1" applyFont="1" applyFill="1" applyBorder="1" applyAlignment="1">
      <alignment horizontal="center" vertical="center"/>
    </xf>
    <xf numFmtId="165" fontId="42" fillId="27" borderId="56" xfId="0" applyNumberFormat="1" applyFont="1" applyFill="1" applyBorder="1" applyAlignment="1">
      <alignment horizontal="center" vertical="center"/>
    </xf>
    <xf numFmtId="0" fontId="0" fillId="0" borderId="0" xfId="0" applyAlignment="1">
      <alignment wrapText="1"/>
    </xf>
    <xf numFmtId="0" fontId="0" fillId="29" borderId="0" xfId="0" applyFill="1" applyBorder="1"/>
    <xf numFmtId="0" fontId="3" fillId="29" borderId="0" xfId="0" applyFont="1" applyFill="1" applyBorder="1" applyAlignment="1">
      <alignment horizontal="center" vertical="center" wrapText="1"/>
    </xf>
    <xf numFmtId="0" fontId="0" fillId="29" borderId="60" xfId="0" applyFill="1" applyBorder="1"/>
    <xf numFmtId="0" fontId="0" fillId="29" borderId="58" xfId="0" applyFill="1" applyBorder="1"/>
    <xf numFmtId="17" fontId="0" fillId="0" borderId="0" xfId="0" applyNumberFormat="1" applyAlignment="1">
      <alignment horizontal="left" vertical="center" wrapText="1"/>
    </xf>
    <xf numFmtId="2" fontId="16" fillId="0" borderId="0" xfId="1" applyNumberFormat="1" applyFont="1" applyAlignment="1" applyProtection="1">
      <alignment horizontal="center" vertical="center"/>
    </xf>
    <xf numFmtId="165" fontId="26" fillId="23" borderId="0" xfId="5" applyNumberFormat="1" applyFont="1" applyFill="1" applyBorder="1" applyAlignment="1" applyProtection="1">
      <alignment horizontal="left" vertical="center" wrapText="1"/>
      <protection locked="0"/>
    </xf>
    <xf numFmtId="0" fontId="26" fillId="22" borderId="0" xfId="5" applyFont="1" applyFill="1" applyBorder="1" applyAlignment="1" applyProtection="1">
      <alignment vertical="center"/>
      <protection locked="0"/>
    </xf>
    <xf numFmtId="0" fontId="26" fillId="22" borderId="0" xfId="5" applyFont="1" applyFill="1" applyBorder="1" applyAlignment="1" applyProtection="1">
      <alignment horizontal="center" vertical="center"/>
      <protection locked="0"/>
    </xf>
    <xf numFmtId="0" fontId="10" fillId="0" borderId="0" xfId="5" applyBorder="1" applyAlignment="1" applyProtection="1">
      <alignment horizontal="center" vertical="center"/>
    </xf>
    <xf numFmtId="173" fontId="10" fillId="0" borderId="0" xfId="5" applyNumberFormat="1" applyBorder="1" applyProtection="1"/>
    <xf numFmtId="0" fontId="25" fillId="0" borderId="0" xfId="5" applyFont="1" applyFill="1" applyBorder="1" applyAlignment="1" applyProtection="1">
      <alignment horizontal="left" vertical="center"/>
      <protection locked="0"/>
    </xf>
    <xf numFmtId="0" fontId="30" fillId="0" borderId="0" xfId="5" applyFont="1" applyFill="1" applyBorder="1" applyAlignment="1" applyProtection="1">
      <alignment horizontal="left" vertical="center" wrapText="1"/>
      <protection locked="0"/>
    </xf>
    <xf numFmtId="0" fontId="25" fillId="0" borderId="0" xfId="5" applyFont="1" applyFill="1" applyBorder="1" applyAlignment="1" applyProtection="1">
      <alignment horizontal="left" vertical="center" wrapText="1"/>
      <protection locked="0"/>
    </xf>
    <xf numFmtId="0" fontId="30" fillId="0" borderId="0" xfId="5" applyFont="1" applyFill="1" applyBorder="1" applyAlignment="1" applyProtection="1">
      <alignment horizontal="left" vertical="center"/>
      <protection locked="0"/>
    </xf>
    <xf numFmtId="0" fontId="26" fillId="0" borderId="0" xfId="5" applyFont="1" applyFill="1" applyAlignment="1" applyProtection="1">
      <alignment vertical="center"/>
    </xf>
    <xf numFmtId="165" fontId="27" fillId="0" borderId="0" xfId="5" applyNumberFormat="1" applyFont="1" applyFill="1" applyBorder="1" applyAlignment="1" applyProtection="1">
      <alignment horizontal="left" vertical="center" wrapText="1"/>
      <protection locked="0"/>
    </xf>
    <xf numFmtId="0" fontId="26" fillId="0" borderId="0" xfId="5" applyFont="1" applyFill="1" applyBorder="1" applyAlignment="1" applyProtection="1">
      <alignment vertical="center" wrapText="1"/>
      <protection locked="0"/>
    </xf>
    <xf numFmtId="0" fontId="27" fillId="0" borderId="0" xfId="5" applyFont="1" applyFill="1" applyBorder="1" applyAlignment="1" applyProtection="1">
      <alignment horizontal="center" vertical="center"/>
      <protection locked="0"/>
    </xf>
    <xf numFmtId="0" fontId="26" fillId="0" borderId="0" xfId="5" applyFont="1" applyFill="1" applyBorder="1" applyAlignment="1" applyProtection="1">
      <alignment horizontal="center" vertical="center"/>
      <protection locked="0"/>
    </xf>
    <xf numFmtId="165" fontId="26" fillId="0" borderId="0" xfId="5" applyNumberFormat="1" applyFont="1" applyFill="1" applyBorder="1" applyAlignment="1" applyProtection="1">
      <alignment horizontal="left" vertical="center" wrapText="1"/>
      <protection locked="0"/>
    </xf>
    <xf numFmtId="0" fontId="26" fillId="0" borderId="0" xfId="5" applyFont="1" applyFill="1" applyBorder="1" applyAlignment="1" applyProtection="1">
      <alignment vertical="center"/>
      <protection locked="0"/>
    </xf>
    <xf numFmtId="0" fontId="10" fillId="0" borderId="0" xfId="5" applyFill="1" applyBorder="1" applyProtection="1"/>
    <xf numFmtId="9" fontId="25" fillId="0" borderId="0" xfId="1" applyFont="1" applyFill="1" applyBorder="1" applyAlignment="1" applyProtection="1">
      <alignment horizontal="center" vertical="center" wrapText="1"/>
      <protection locked="0"/>
    </xf>
    <xf numFmtId="9" fontId="27" fillId="0" borderId="0" xfId="1" applyFont="1" applyFill="1" applyBorder="1" applyAlignment="1" applyProtection="1">
      <alignment horizontal="center" vertical="center"/>
      <protection locked="0"/>
    </xf>
    <xf numFmtId="0" fontId="47" fillId="0" borderId="0" xfId="5" applyNumberFormat="1" applyFont="1" applyAlignment="1" applyProtection="1">
      <alignment horizontal="left" vertical="center"/>
    </xf>
    <xf numFmtId="0" fontId="20" fillId="0" borderId="0" xfId="5" applyNumberFormat="1" applyFont="1" applyBorder="1" applyAlignment="1" applyProtection="1">
      <alignment horizontal="left"/>
    </xf>
    <xf numFmtId="0" fontId="50" fillId="0" borderId="0" xfId="5" applyNumberFormat="1" applyFont="1" applyBorder="1" applyAlignment="1" applyProtection="1">
      <alignment horizontal="left"/>
    </xf>
    <xf numFmtId="0" fontId="25" fillId="0" borderId="0" xfId="5" applyFont="1" applyFill="1" applyBorder="1" applyAlignment="1" applyProtection="1">
      <alignment horizontal="center" vertical="center" wrapText="1"/>
    </xf>
    <xf numFmtId="1" fontId="28" fillId="0" borderId="0" xfId="5" applyNumberFormat="1" applyFont="1" applyFill="1" applyBorder="1" applyAlignment="1" applyProtection="1">
      <alignment horizontal="center" vertical="center"/>
    </xf>
    <xf numFmtId="0" fontId="26" fillId="0" borderId="0" xfId="5" applyFont="1" applyBorder="1" applyAlignment="1" applyProtection="1">
      <alignment horizontal="left" vertical="center"/>
    </xf>
    <xf numFmtId="0" fontId="26" fillId="0" borderId="0" xfId="5" applyFont="1" applyBorder="1" applyAlignment="1" applyProtection="1">
      <alignment vertical="center"/>
    </xf>
    <xf numFmtId="17" fontId="10" fillId="0" borderId="0" xfId="5" applyNumberFormat="1" applyBorder="1" applyProtection="1"/>
    <xf numFmtId="1" fontId="16" fillId="0" borderId="0" xfId="5" applyNumberFormat="1" applyFont="1" applyAlignment="1" applyProtection="1">
      <alignment horizontal="center" vertical="center"/>
    </xf>
    <xf numFmtId="1" fontId="10" fillId="0" borderId="0" xfId="5" applyNumberFormat="1" applyProtection="1"/>
    <xf numFmtId="1" fontId="25" fillId="0" borderId="0" xfId="5" applyNumberFormat="1" applyFont="1" applyFill="1" applyBorder="1" applyAlignment="1" applyProtection="1">
      <alignment horizontal="center" vertical="center" wrapText="1"/>
      <protection locked="0"/>
    </xf>
    <xf numFmtId="1" fontId="27" fillId="0" borderId="0" xfId="5" applyNumberFormat="1" applyFont="1" applyFill="1" applyBorder="1" applyAlignment="1" applyProtection="1">
      <alignment horizontal="center" vertical="center" wrapText="1"/>
      <protection locked="0"/>
    </xf>
    <xf numFmtId="1" fontId="26" fillId="0" borderId="0" xfId="5" applyNumberFormat="1" applyFont="1" applyFill="1" applyBorder="1" applyAlignment="1" applyProtection="1">
      <alignment horizontal="center" vertical="center"/>
      <protection locked="0"/>
    </xf>
    <xf numFmtId="1" fontId="26" fillId="22" borderId="0" xfId="5" applyNumberFormat="1" applyFont="1" applyFill="1" applyBorder="1" applyAlignment="1" applyProtection="1">
      <alignment horizontal="center" vertical="center"/>
      <protection locked="0"/>
    </xf>
    <xf numFmtId="1" fontId="10" fillId="0" borderId="0" xfId="5" applyNumberFormat="1" applyBorder="1" applyProtection="1">
      <protection hidden="1"/>
    </xf>
    <xf numFmtId="176" fontId="25" fillId="0" borderId="0" xfId="5" applyNumberFormat="1" applyFont="1" applyFill="1" applyBorder="1" applyAlignment="1" applyProtection="1">
      <alignment horizontal="center" vertical="center" wrapText="1"/>
      <protection locked="0"/>
    </xf>
    <xf numFmtId="176" fontId="27" fillId="0" borderId="0" xfId="5" applyNumberFormat="1" applyFont="1" applyFill="1" applyBorder="1" applyAlignment="1" applyProtection="1">
      <alignment horizontal="center" vertical="center" wrapText="1"/>
      <protection locked="0"/>
    </xf>
    <xf numFmtId="176" fontId="47" fillId="0" borderId="0" xfId="5" applyNumberFormat="1" applyFont="1" applyAlignment="1" applyProtection="1">
      <alignment horizontal="center" vertical="center"/>
    </xf>
    <xf numFmtId="176" fontId="27" fillId="0" borderId="0" xfId="5" applyNumberFormat="1" applyFont="1" applyFill="1" applyBorder="1" applyAlignment="1" applyProtection="1">
      <alignment horizontal="center" vertical="center"/>
      <protection locked="0"/>
    </xf>
    <xf numFmtId="176" fontId="27" fillId="22" borderId="0" xfId="5" applyNumberFormat="1" applyFont="1" applyFill="1" applyBorder="1" applyAlignment="1" applyProtection="1">
      <alignment horizontal="center" vertical="center"/>
      <protection locked="0"/>
    </xf>
    <xf numFmtId="0" fontId="10" fillId="0" borderId="0" xfId="5" applyAlignment="1" applyProtection="1">
      <alignment horizontal="center" vertical="top"/>
    </xf>
    <xf numFmtId="170" fontId="24" fillId="0" borderId="63" xfId="5" applyNumberFormat="1" applyFont="1" applyBorder="1" applyAlignment="1" applyProtection="1">
      <alignment horizontal="center" vertical="center" shrinkToFit="1"/>
      <protection hidden="1"/>
    </xf>
    <xf numFmtId="0" fontId="26" fillId="0" borderId="64" xfId="5" applyFont="1" applyBorder="1" applyAlignment="1" applyProtection="1">
      <alignment horizontal="center" vertical="top" shrinkToFit="1"/>
      <protection hidden="1"/>
    </xf>
    <xf numFmtId="0" fontId="10" fillId="0" borderId="0" xfId="5" applyBorder="1" applyAlignment="1" applyProtection="1">
      <alignment horizontal="center" vertical="top"/>
    </xf>
    <xf numFmtId="1" fontId="10" fillId="0" borderId="0" xfId="5" applyNumberFormat="1" applyProtection="1">
      <protection hidden="1"/>
    </xf>
    <xf numFmtId="1" fontId="22" fillId="0" borderId="0" xfId="5" applyNumberFormat="1" applyFont="1" applyProtection="1">
      <protection hidden="1"/>
    </xf>
    <xf numFmtId="0" fontId="26" fillId="0" borderId="0" xfId="5" applyFont="1" applyFill="1" applyBorder="1" applyAlignment="1" applyProtection="1">
      <alignment horizontal="center" vertical="center" shrinkToFit="1"/>
      <protection hidden="1"/>
    </xf>
    <xf numFmtId="0" fontId="10" fillId="0" borderId="70" xfId="5" applyBorder="1" applyAlignment="1" applyProtection="1">
      <alignment horizontal="center" vertical="top"/>
    </xf>
    <xf numFmtId="0" fontId="26" fillId="0" borderId="19" xfId="5" applyFont="1" applyFill="1" applyBorder="1" applyAlignment="1" applyProtection="1">
      <alignment horizontal="center" vertical="center" shrinkToFit="1"/>
      <protection hidden="1"/>
    </xf>
    <xf numFmtId="0" fontId="2" fillId="30" borderId="65" xfId="0" applyFont="1" applyFill="1" applyBorder="1" applyAlignment="1">
      <alignment horizontal="center" vertical="center"/>
    </xf>
    <xf numFmtId="0" fontId="2" fillId="30" borderId="66" xfId="0" applyFont="1" applyFill="1" applyBorder="1" applyAlignment="1">
      <alignment horizontal="center" vertical="center" wrapText="1"/>
    </xf>
    <xf numFmtId="1" fontId="2" fillId="30" borderId="66" xfId="0" applyNumberFormat="1" applyFont="1" applyFill="1" applyBorder="1" applyAlignment="1">
      <alignment horizontal="center" vertical="center" wrapText="1"/>
    </xf>
    <xf numFmtId="0" fontId="2" fillId="30" borderId="66" xfId="0" applyFont="1" applyFill="1" applyBorder="1" applyAlignment="1">
      <alignment horizontal="center" vertical="center"/>
    </xf>
    <xf numFmtId="166" fontId="2" fillId="30" borderId="66" xfId="0" applyNumberFormat="1" applyFont="1" applyFill="1" applyBorder="1" applyAlignment="1">
      <alignment horizontal="center" vertical="center"/>
    </xf>
    <xf numFmtId="1" fontId="2" fillId="30" borderId="66" xfId="0" applyNumberFormat="1" applyFont="1" applyFill="1" applyBorder="1" applyAlignment="1">
      <alignment horizontal="center" vertical="center"/>
    </xf>
    <xf numFmtId="9" fontId="2" fillId="30" borderId="66" xfId="1" applyNumberFormat="1" applyFont="1" applyFill="1" applyBorder="1" applyAlignment="1">
      <alignment horizontal="center" vertical="center"/>
    </xf>
    <xf numFmtId="0" fontId="2" fillId="30" borderId="67" xfId="0" applyFont="1" applyFill="1" applyBorder="1" applyAlignment="1">
      <alignment horizontal="center" vertical="center"/>
    </xf>
    <xf numFmtId="0" fontId="32" fillId="31" borderId="0" xfId="0" applyFont="1" applyFill="1" applyBorder="1" applyAlignment="1">
      <alignment vertical="center"/>
    </xf>
    <xf numFmtId="0" fontId="43" fillId="31" borderId="0" xfId="0" applyFont="1" applyFill="1" applyBorder="1" applyAlignment="1">
      <alignment vertical="center"/>
    </xf>
    <xf numFmtId="0" fontId="0" fillId="31" borderId="0" xfId="0" applyFill="1" applyBorder="1"/>
    <xf numFmtId="0" fontId="32" fillId="31" borderId="0" xfId="0" applyFont="1" applyFill="1" applyBorder="1" applyAlignment="1">
      <alignment horizontal="center" vertical="center"/>
    </xf>
    <xf numFmtId="0" fontId="34" fillId="31" borderId="0" xfId="0" applyFont="1" applyFill="1" applyBorder="1" applyAlignment="1">
      <alignment horizontal="left" vertical="top"/>
    </xf>
    <xf numFmtId="176" fontId="36" fillId="31" borderId="0" xfId="0" applyNumberFormat="1" applyFont="1" applyFill="1" applyBorder="1" applyAlignment="1">
      <alignment horizontal="right" vertical="center"/>
    </xf>
    <xf numFmtId="0" fontId="0" fillId="31" borderId="0" xfId="0" applyFill="1"/>
    <xf numFmtId="0" fontId="3" fillId="31" borderId="0" xfId="0" applyFont="1" applyFill="1"/>
    <xf numFmtId="0" fontId="2" fillId="31" borderId="0" xfId="0" applyFont="1" applyFill="1" applyAlignment="1">
      <alignment horizontal="center"/>
    </xf>
    <xf numFmtId="0" fontId="36" fillId="31" borderId="0" xfId="0" applyNumberFormat="1" applyFont="1" applyFill="1" applyBorder="1" applyAlignment="1">
      <alignment horizontal="right" vertical="center"/>
    </xf>
    <xf numFmtId="176" fontId="36" fillId="31" borderId="0" xfId="0" applyNumberFormat="1" applyFont="1" applyFill="1" applyBorder="1" applyAlignment="1">
      <alignment horizontal="right" vertical="center"/>
    </xf>
    <xf numFmtId="0" fontId="43" fillId="31" borderId="0" xfId="0" applyFont="1" applyFill="1" applyBorder="1" applyAlignment="1">
      <alignment horizontal="left" vertical="center"/>
    </xf>
    <xf numFmtId="0" fontId="33" fillId="0" borderId="0" xfId="5" applyFont="1" applyBorder="1" applyAlignment="1" applyProtection="1">
      <alignment horizontal="center" vertical="center"/>
    </xf>
    <xf numFmtId="168" fontId="21" fillId="0" borderId="37" xfId="5" applyNumberFormat="1" applyFont="1" applyBorder="1" applyAlignment="1" applyProtection="1">
      <alignment horizontal="left" vertical="center" shrinkToFit="1"/>
      <protection locked="0"/>
    </xf>
    <xf numFmtId="168" fontId="21" fillId="0" borderId="36" xfId="5" applyNumberFormat="1" applyFont="1" applyBorder="1" applyAlignment="1" applyProtection="1">
      <alignment horizontal="left" vertical="center" shrinkToFit="1"/>
      <protection locked="0"/>
    </xf>
    <xf numFmtId="0" fontId="17" fillId="0" borderId="0" xfId="0" applyFont="1" applyAlignment="1" applyProtection="1">
      <alignment horizontal="center" vertical="center"/>
      <protection locked="0"/>
    </xf>
    <xf numFmtId="0" fontId="16" fillId="0" borderId="0" xfId="0" applyFont="1" applyAlignment="1" applyProtection="1">
      <alignment horizontal="center" vertical="center"/>
      <protection locked="0"/>
    </xf>
    <xf numFmtId="169" fontId="21" fillId="20" borderId="38" xfId="5" applyNumberFormat="1" applyFont="1" applyFill="1" applyBorder="1" applyAlignment="1" applyProtection="1">
      <alignment horizontal="center" vertical="center"/>
      <protection hidden="1"/>
    </xf>
    <xf numFmtId="169" fontId="21" fillId="20" borderId="39" xfId="5" applyNumberFormat="1" applyFont="1" applyFill="1" applyBorder="1" applyAlignment="1" applyProtection="1">
      <alignment horizontal="center" vertical="center"/>
      <protection hidden="1"/>
    </xf>
    <xf numFmtId="0" fontId="23" fillId="14" borderId="38" xfId="5" applyFont="1" applyFill="1" applyBorder="1" applyAlignment="1" applyProtection="1">
      <alignment horizontal="center" vertical="center"/>
      <protection hidden="1"/>
    </xf>
    <xf numFmtId="0" fontId="20" fillId="0" borderId="0" xfId="5" applyFont="1" applyAlignment="1" applyProtection="1">
      <alignment horizontal="right" vertical="center"/>
    </xf>
    <xf numFmtId="0" fontId="21" fillId="0" borderId="40" xfId="5" applyFont="1" applyBorder="1" applyAlignment="1" applyProtection="1">
      <alignment horizontal="center" vertical="center"/>
      <protection locked="0"/>
    </xf>
    <xf numFmtId="0" fontId="23" fillId="14" borderId="39" xfId="5" applyFont="1" applyFill="1" applyBorder="1" applyAlignment="1" applyProtection="1">
      <alignment horizontal="center" vertical="center"/>
      <protection hidden="1"/>
    </xf>
    <xf numFmtId="0" fontId="4" fillId="3" borderId="1" xfId="2" applyFont="1" applyFill="1" applyBorder="1" applyAlignment="1">
      <alignment horizontal="center" vertical="center" wrapText="1"/>
    </xf>
    <xf numFmtId="0" fontId="4" fillId="3" borderId="2" xfId="2" applyFont="1" applyFill="1" applyBorder="1" applyAlignment="1">
      <alignment horizontal="center" vertical="center" wrapText="1"/>
    </xf>
    <xf numFmtId="0" fontId="4" fillId="3" borderId="3" xfId="2" applyFont="1" applyFill="1" applyBorder="1" applyAlignment="1">
      <alignment horizontal="center" vertical="center" wrapText="1"/>
    </xf>
    <xf numFmtId="0" fontId="4" fillId="8" borderId="7" xfId="2" applyFont="1" applyFill="1" applyBorder="1" applyAlignment="1">
      <alignment horizontal="center" vertical="center" wrapText="1"/>
    </xf>
    <xf numFmtId="0" fontId="4" fillId="8" borderId="0" xfId="2" applyFont="1" applyFill="1" applyBorder="1" applyAlignment="1">
      <alignment horizontal="center" vertical="center" wrapText="1"/>
    </xf>
    <xf numFmtId="0" fontId="4" fillId="11" borderId="7" xfId="2" applyFont="1" applyFill="1" applyBorder="1" applyAlignment="1">
      <alignment horizontal="center" vertical="center" wrapText="1"/>
    </xf>
    <xf numFmtId="0" fontId="4" fillId="11" borderId="0" xfId="2" applyFont="1" applyFill="1" applyBorder="1" applyAlignment="1">
      <alignment horizontal="center" vertical="center" wrapText="1"/>
    </xf>
    <xf numFmtId="0" fontId="3" fillId="0" borderId="0" xfId="0" applyFont="1" applyAlignment="1">
      <alignment horizontal="center" vertical="center"/>
    </xf>
    <xf numFmtId="0" fontId="3" fillId="0" borderId="0" xfId="0" applyFont="1" applyFill="1" applyBorder="1" applyAlignment="1">
      <alignment horizontal="center" vertical="center" wrapText="1"/>
    </xf>
    <xf numFmtId="0" fontId="4" fillId="2" borderId="45" xfId="0" applyFont="1" applyFill="1" applyBorder="1" applyAlignment="1">
      <alignment horizontal="center" vertical="center"/>
    </xf>
    <xf numFmtId="0" fontId="4" fillId="2" borderId="47"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45" xfId="0" applyFont="1" applyFill="1" applyBorder="1" applyAlignment="1">
      <alignment horizontal="center" vertical="center" wrapText="1"/>
    </xf>
    <xf numFmtId="0" fontId="4" fillId="2" borderId="47" xfId="0" applyFont="1" applyFill="1" applyBorder="1" applyAlignment="1">
      <alignment horizontal="center" vertical="center" wrapText="1"/>
    </xf>
    <xf numFmtId="0" fontId="4" fillId="2" borderId="49" xfId="0" applyFont="1" applyFill="1" applyBorder="1" applyAlignment="1">
      <alignment horizontal="center" vertical="center" wrapText="1"/>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37" fillId="2" borderId="44" xfId="0" applyFont="1" applyFill="1" applyBorder="1" applyAlignment="1">
      <alignment horizontal="center" vertical="center"/>
    </xf>
    <xf numFmtId="0" fontId="37" fillId="2" borderId="46" xfId="0" applyFont="1" applyFill="1" applyBorder="1" applyAlignment="1">
      <alignment horizontal="center" vertical="center"/>
    </xf>
    <xf numFmtId="0" fontId="37" fillId="2" borderId="48" xfId="0" applyFont="1" applyFill="1" applyBorder="1" applyAlignment="1">
      <alignment horizontal="center" vertical="center"/>
    </xf>
    <xf numFmtId="0" fontId="44" fillId="29" borderId="61" xfId="0" applyFont="1" applyFill="1" applyBorder="1" applyAlignment="1">
      <alignment horizontal="center" vertical="center"/>
    </xf>
    <xf numFmtId="0" fontId="44" fillId="29" borderId="62"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0" xfId="0" applyFont="1" applyFill="1" applyBorder="1" applyAlignment="1">
      <alignment horizontal="center" vertical="center" wrapText="1"/>
    </xf>
    <xf numFmtId="0" fontId="45" fillId="9" borderId="54" xfId="0" applyFont="1" applyFill="1" applyBorder="1" applyAlignment="1">
      <alignment horizontal="center"/>
    </xf>
    <xf numFmtId="0" fontId="3" fillId="16" borderId="32" xfId="0" applyFont="1" applyFill="1" applyBorder="1" applyAlignment="1">
      <alignment horizontal="center"/>
    </xf>
    <xf numFmtId="0" fontId="3" fillId="16" borderId="33" xfId="0" applyFont="1" applyFill="1" applyBorder="1" applyAlignment="1">
      <alignment horizontal="center"/>
    </xf>
    <xf numFmtId="0" fontId="3" fillId="16" borderId="34" xfId="0" applyFont="1" applyFill="1" applyBorder="1" applyAlignment="1">
      <alignment horizontal="center"/>
    </xf>
    <xf numFmtId="166" fontId="14" fillId="17" borderId="0" xfId="0" applyNumberFormat="1" applyFont="1" applyFill="1" applyBorder="1" applyAlignment="1">
      <alignment horizontal="center"/>
    </xf>
    <xf numFmtId="0" fontId="2" fillId="19" borderId="27" xfId="0" applyFont="1" applyFill="1" applyBorder="1" applyAlignment="1">
      <alignment horizontal="center" vertical="center"/>
    </xf>
    <xf numFmtId="0" fontId="2" fillId="19" borderId="28" xfId="0" applyFont="1" applyFill="1" applyBorder="1" applyAlignment="1">
      <alignment horizontal="center" vertical="center"/>
    </xf>
    <xf numFmtId="0" fontId="2" fillId="19" borderId="29" xfId="0" applyFont="1" applyFill="1" applyBorder="1" applyAlignment="1">
      <alignment horizontal="center" vertical="center"/>
    </xf>
    <xf numFmtId="0" fontId="2" fillId="19" borderId="30" xfId="0" applyFont="1" applyFill="1" applyBorder="1" applyAlignment="1">
      <alignment horizontal="center" vertical="center"/>
    </xf>
    <xf numFmtId="0" fontId="15" fillId="17" borderId="0" xfId="0" applyFont="1" applyFill="1" applyBorder="1" applyAlignment="1">
      <alignment horizontal="left" vertical="center"/>
    </xf>
    <xf numFmtId="0" fontId="14" fillId="17" borderId="0" xfId="0" applyFont="1" applyFill="1" applyBorder="1" applyAlignment="1">
      <alignment horizontal="right" vertical="top"/>
    </xf>
    <xf numFmtId="0" fontId="14" fillId="17" borderId="31" xfId="0" applyFont="1" applyFill="1" applyBorder="1" applyAlignment="1">
      <alignment horizontal="right" vertical="top"/>
    </xf>
    <xf numFmtId="0" fontId="13" fillId="18" borderId="16" xfId="0" applyFont="1" applyFill="1" applyBorder="1" applyAlignment="1">
      <alignment horizontal="center" vertical="center"/>
    </xf>
    <xf numFmtId="0" fontId="13" fillId="18" borderId="17" xfId="0" applyFont="1" applyFill="1" applyBorder="1" applyAlignment="1">
      <alignment horizontal="center" vertical="center"/>
    </xf>
    <xf numFmtId="0" fontId="13" fillId="18" borderId="18" xfId="0" applyFont="1" applyFill="1" applyBorder="1" applyAlignment="1">
      <alignment horizontal="center" vertical="center"/>
    </xf>
    <xf numFmtId="0" fontId="14" fillId="17" borderId="20" xfId="0" applyFont="1" applyFill="1" applyBorder="1" applyAlignment="1">
      <alignment horizontal="right" vertical="center"/>
    </xf>
    <xf numFmtId="0" fontId="14" fillId="17" borderId="0" xfId="0" applyFont="1" applyFill="1" applyBorder="1" applyAlignment="1">
      <alignment horizontal="right" vertical="center"/>
    </xf>
    <xf numFmtId="9" fontId="26" fillId="0" borderId="0" xfId="1" applyFont="1" applyFill="1" applyBorder="1" applyAlignment="1" applyProtection="1">
      <alignment horizontal="center" vertical="center"/>
      <protection locked="0"/>
    </xf>
    <xf numFmtId="0" fontId="46" fillId="0" borderId="0" xfId="5" applyNumberFormat="1" applyFont="1" applyFill="1" applyBorder="1" applyAlignment="1">
      <alignment vertical="center" wrapText="1"/>
    </xf>
    <xf numFmtId="176" fontId="48" fillId="0" borderId="0" xfId="5" applyNumberFormat="1" applyFont="1" applyFill="1" applyBorder="1" applyAlignment="1" applyProtection="1">
      <alignment horizontal="center"/>
    </xf>
    <xf numFmtId="0" fontId="20" fillId="0" borderId="0" xfId="5" applyFont="1" applyFill="1" applyBorder="1" applyAlignment="1" applyProtection="1">
      <alignment horizontal="center"/>
    </xf>
    <xf numFmtId="172" fontId="20" fillId="0" borderId="0" xfId="5" applyNumberFormat="1" applyFont="1" applyFill="1" applyBorder="1" applyAlignment="1" applyProtection="1">
      <alignment horizontal="center" vertical="center"/>
    </xf>
    <xf numFmtId="0" fontId="10" fillId="0" borderId="77" xfId="5" applyBorder="1" applyProtection="1"/>
    <xf numFmtId="0" fontId="25" fillId="24" borderId="71" xfId="5" applyNumberFormat="1" applyFont="1" applyFill="1" applyBorder="1" applyAlignment="1">
      <alignment horizontal="center" vertical="center" wrapText="1"/>
    </xf>
    <xf numFmtId="0" fontId="25" fillId="24" borderId="17" xfId="5" applyNumberFormat="1" applyFont="1" applyFill="1" applyBorder="1" applyAlignment="1">
      <alignment horizontal="center" vertical="center" wrapText="1"/>
    </xf>
    <xf numFmtId="0" fontId="25" fillId="24" borderId="72" xfId="5" applyNumberFormat="1" applyFont="1" applyFill="1" applyBorder="1" applyAlignment="1">
      <alignment horizontal="center" vertical="center" wrapText="1"/>
    </xf>
    <xf numFmtId="0" fontId="25" fillId="24" borderId="73" xfId="5" applyNumberFormat="1" applyFont="1" applyFill="1" applyBorder="1" applyAlignment="1">
      <alignment horizontal="center" vertical="center" wrapText="1"/>
    </xf>
    <xf numFmtId="176" fontId="25" fillId="25" borderId="17" xfId="5" applyNumberFormat="1" applyFont="1" applyFill="1" applyBorder="1" applyAlignment="1">
      <alignment horizontal="center" vertical="center" wrapText="1"/>
    </xf>
    <xf numFmtId="1" fontId="25" fillId="25" borderId="74" xfId="5" applyNumberFormat="1" applyFont="1" applyFill="1" applyBorder="1" applyAlignment="1">
      <alignment horizontal="center" vertical="center" wrapText="1"/>
    </xf>
    <xf numFmtId="1" fontId="25" fillId="26" borderId="74" xfId="5" applyNumberFormat="1" applyFont="1" applyFill="1" applyBorder="1" applyAlignment="1">
      <alignment horizontal="center" vertical="center" wrapText="1"/>
    </xf>
    <xf numFmtId="172" fontId="25" fillId="16" borderId="75" xfId="5" applyNumberFormat="1" applyFont="1" applyFill="1" applyBorder="1" applyAlignment="1">
      <alignment horizontal="center" vertical="center" wrapText="1"/>
    </xf>
    <xf numFmtId="0" fontId="25" fillId="16" borderId="74" xfId="5" applyNumberFormat="1" applyFont="1" applyFill="1" applyBorder="1" applyAlignment="1">
      <alignment horizontal="center" vertical="center" wrapText="1"/>
    </xf>
    <xf numFmtId="173" fontId="25" fillId="16" borderId="76" xfId="5" applyNumberFormat="1" applyFont="1" applyFill="1" applyBorder="1" applyAlignment="1">
      <alignment horizontal="center" vertical="center" wrapText="1"/>
    </xf>
    <xf numFmtId="176" fontId="16" fillId="0" borderId="0" xfId="5" applyNumberFormat="1" applyFont="1" applyAlignment="1" applyProtection="1">
      <alignment horizontal="center" vertical="center"/>
    </xf>
    <xf numFmtId="176" fontId="25" fillId="25" borderId="74" xfId="5" applyNumberFormat="1" applyFont="1" applyFill="1" applyBorder="1" applyAlignment="1">
      <alignment horizontal="center" vertical="center" wrapText="1"/>
    </xf>
    <xf numFmtId="176" fontId="25" fillId="26" borderId="75" xfId="5" applyNumberFormat="1" applyFont="1" applyFill="1" applyBorder="1" applyAlignment="1">
      <alignment horizontal="center" vertical="center" wrapText="1"/>
    </xf>
    <xf numFmtId="176" fontId="10" fillId="0" borderId="0" xfId="5" applyNumberFormat="1" applyAlignment="1" applyProtection="1">
      <alignment horizontal="center" vertical="center"/>
    </xf>
    <xf numFmtId="176" fontId="22" fillId="0" borderId="0" xfId="5" applyNumberFormat="1" applyFont="1" applyAlignment="1" applyProtection="1">
      <alignment horizontal="center" vertical="center"/>
    </xf>
    <xf numFmtId="176" fontId="25" fillId="26" borderId="74" xfId="5" applyNumberFormat="1" applyFont="1" applyFill="1" applyBorder="1" applyAlignment="1">
      <alignment horizontal="center" vertical="center" wrapText="1"/>
    </xf>
    <xf numFmtId="176" fontId="10" fillId="0" borderId="0" xfId="5" applyNumberFormat="1" applyBorder="1" applyAlignment="1" applyProtection="1">
      <alignment horizontal="center" vertical="center"/>
    </xf>
    <xf numFmtId="176" fontId="50" fillId="0" borderId="0" xfId="5" applyNumberFormat="1" applyFont="1" applyAlignment="1" applyProtection="1">
      <alignment horizontal="center"/>
    </xf>
    <xf numFmtId="176" fontId="0" fillId="0" borderId="0" xfId="0" applyNumberFormat="1" applyAlignment="1">
      <alignment horizontal="center"/>
    </xf>
    <xf numFmtId="176" fontId="50" fillId="0" borderId="0" xfId="5" applyNumberFormat="1" applyFont="1" applyBorder="1" applyAlignment="1" applyProtection="1">
      <alignment horizontal="center"/>
    </xf>
    <xf numFmtId="176" fontId="10" fillId="0" borderId="0" xfId="5" applyNumberFormat="1" applyAlignment="1" applyProtection="1">
      <alignment horizontal="center"/>
    </xf>
    <xf numFmtId="176" fontId="10" fillId="0" borderId="0" xfId="5" applyNumberFormat="1" applyBorder="1" applyAlignment="1" applyProtection="1">
      <alignment horizontal="center"/>
    </xf>
    <xf numFmtId="176" fontId="26" fillId="0" borderId="0" xfId="5" applyNumberFormat="1" applyFont="1" applyFill="1" applyBorder="1" applyAlignment="1" applyProtection="1">
      <alignment horizontal="center" vertical="center"/>
      <protection locked="0"/>
    </xf>
    <xf numFmtId="176" fontId="26" fillId="22" borderId="0" xfId="5" applyNumberFormat="1" applyFont="1" applyFill="1" applyBorder="1" applyAlignment="1" applyProtection="1">
      <alignment horizontal="center" vertical="center"/>
      <protection locked="0"/>
    </xf>
    <xf numFmtId="0" fontId="25" fillId="0" borderId="68" xfId="5" applyNumberFormat="1" applyFont="1" applyBorder="1" applyAlignment="1" applyProtection="1">
      <alignment horizontal="left" vertical="center"/>
      <protection locked="0"/>
    </xf>
    <xf numFmtId="0" fontId="25" fillId="0" borderId="0" xfId="5" applyNumberFormat="1" applyFont="1" applyBorder="1" applyAlignment="1" applyProtection="1">
      <alignment horizontal="left" vertical="center"/>
      <protection locked="0"/>
    </xf>
    <xf numFmtId="0" fontId="30" fillId="0" borderId="0" xfId="5" applyNumberFormat="1" applyFont="1" applyBorder="1" applyAlignment="1" applyProtection="1">
      <alignment horizontal="left" vertical="center" wrapText="1"/>
      <protection locked="0"/>
    </xf>
    <xf numFmtId="0" fontId="25" fillId="0" borderId="0" xfId="5" applyNumberFormat="1" applyFont="1" applyBorder="1" applyAlignment="1" applyProtection="1">
      <alignment horizontal="left" vertical="center" wrapText="1"/>
      <protection locked="0"/>
    </xf>
    <xf numFmtId="176" fontId="25" fillId="0" borderId="0" xfId="5" applyNumberFormat="1" applyFont="1" applyBorder="1" applyAlignment="1" applyProtection="1">
      <alignment horizontal="center" vertical="center" wrapText="1"/>
      <protection locked="0"/>
    </xf>
    <xf numFmtId="1" fontId="25" fillId="0" borderId="0" xfId="5" applyNumberFormat="1" applyFont="1" applyBorder="1" applyAlignment="1" applyProtection="1">
      <alignment horizontal="center" vertical="center" wrapText="1"/>
      <protection locked="0"/>
    </xf>
    <xf numFmtId="165" fontId="25" fillId="0" borderId="0" xfId="5" applyNumberFormat="1" applyFont="1" applyBorder="1" applyAlignment="1" applyProtection="1">
      <alignment horizontal="center" vertical="center" wrapText="1"/>
      <protection locked="0"/>
    </xf>
    <xf numFmtId="9" fontId="25" fillId="21" borderId="69" xfId="1" applyNumberFormat="1" applyFont="1" applyFill="1" applyBorder="1" applyAlignment="1" applyProtection="1">
      <alignment horizontal="center" vertical="center" wrapText="1"/>
      <protection locked="0"/>
    </xf>
    <xf numFmtId="9" fontId="25" fillId="0" borderId="0" xfId="1" applyNumberFormat="1" applyFont="1" applyFill="1" applyBorder="1" applyAlignment="1" applyProtection="1">
      <alignment horizontal="center" vertical="center" wrapText="1"/>
      <protection locked="0"/>
    </xf>
    <xf numFmtId="0" fontId="25" fillId="0" borderId="0" xfId="5" applyNumberFormat="1" applyFont="1" applyFill="1" applyBorder="1" applyAlignment="1" applyProtection="1">
      <alignment horizontal="left" vertical="center"/>
      <protection locked="0"/>
    </xf>
    <xf numFmtId="0" fontId="30" fillId="0" borderId="0" xfId="5" applyNumberFormat="1" applyFont="1" applyFill="1" applyBorder="1" applyAlignment="1" applyProtection="1">
      <alignment horizontal="left" vertical="center"/>
      <protection locked="0"/>
    </xf>
    <xf numFmtId="0" fontId="30" fillId="0" borderId="0" xfId="5" applyNumberFormat="1" applyFont="1" applyFill="1" applyBorder="1" applyAlignment="1" applyProtection="1">
      <alignment horizontal="left" vertical="center" wrapText="1"/>
      <protection locked="0"/>
    </xf>
    <xf numFmtId="0" fontId="25" fillId="0" borderId="0" xfId="5" applyNumberFormat="1" applyFont="1" applyFill="1" applyBorder="1" applyAlignment="1" applyProtection="1">
      <alignment horizontal="left" vertical="center" wrapText="1"/>
      <protection locked="0"/>
    </xf>
    <xf numFmtId="1" fontId="30" fillId="0" borderId="0" xfId="5" applyNumberFormat="1" applyFont="1" applyFill="1" applyBorder="1" applyAlignment="1" applyProtection="1">
      <alignment horizontal="center" vertical="center" wrapText="1"/>
      <protection locked="0"/>
    </xf>
    <xf numFmtId="165" fontId="25" fillId="0" borderId="0" xfId="5" applyNumberFormat="1" applyFont="1" applyFill="1" applyBorder="1" applyAlignment="1" applyProtection="1">
      <alignment horizontal="center" vertical="center" wrapText="1"/>
      <protection locked="0"/>
    </xf>
    <xf numFmtId="0" fontId="27" fillId="0" borderId="0" xfId="5" applyNumberFormat="1" applyFont="1" applyFill="1" applyBorder="1" applyAlignment="1" applyProtection="1">
      <alignment horizontal="left" vertical="center"/>
      <protection locked="0"/>
    </xf>
    <xf numFmtId="165" fontId="27" fillId="0" borderId="0" xfId="5" applyNumberFormat="1" applyFont="1" applyFill="1" applyBorder="1" applyAlignment="1" applyProtection="1">
      <alignment horizontal="center" vertical="center" wrapText="1"/>
      <protection locked="0"/>
    </xf>
    <xf numFmtId="165" fontId="26" fillId="0" borderId="0" xfId="5" applyNumberFormat="1" applyFont="1" applyFill="1" applyBorder="1" applyAlignment="1" applyProtection="1">
      <alignment horizontal="center" vertical="center"/>
      <protection locked="0"/>
    </xf>
    <xf numFmtId="0" fontId="27" fillId="22" borderId="0" xfId="5" applyNumberFormat="1" applyFont="1" applyFill="1" applyBorder="1" applyAlignment="1" applyProtection="1">
      <alignment horizontal="left" vertical="center"/>
      <protection locked="0"/>
    </xf>
    <xf numFmtId="165" fontId="26" fillId="22" borderId="0" xfId="5" applyNumberFormat="1" applyFont="1" applyFill="1" applyBorder="1" applyAlignment="1" applyProtection="1">
      <alignment horizontal="center" vertical="center"/>
      <protection locked="0"/>
    </xf>
    <xf numFmtId="0" fontId="49" fillId="0" borderId="0" xfId="5" applyNumberFormat="1" applyFont="1" applyBorder="1" applyAlignment="1" applyProtection="1">
      <alignment horizontal="left"/>
      <protection locked="0"/>
    </xf>
    <xf numFmtId="0" fontId="35" fillId="0" borderId="0" xfId="5" applyFont="1" applyBorder="1" applyProtection="1">
      <protection locked="0"/>
    </xf>
    <xf numFmtId="176" fontId="49" fillId="22" borderId="0" xfId="5" applyNumberFormat="1" applyFont="1" applyFill="1" applyBorder="1" applyAlignment="1" applyProtection="1">
      <alignment horizontal="center" vertical="center"/>
      <protection locked="0"/>
    </xf>
    <xf numFmtId="1" fontId="35" fillId="22" borderId="0" xfId="5" applyNumberFormat="1" applyFont="1" applyFill="1" applyBorder="1" applyAlignment="1" applyProtection="1">
      <alignment horizontal="center" vertical="center"/>
      <protection locked="0"/>
    </xf>
    <xf numFmtId="176" fontId="35" fillId="22" borderId="0" xfId="5" applyNumberFormat="1" applyFont="1" applyFill="1" applyBorder="1" applyAlignment="1" applyProtection="1">
      <alignment horizontal="center"/>
      <protection locked="0"/>
    </xf>
    <xf numFmtId="176" fontId="35" fillId="22" borderId="0" xfId="5" applyNumberFormat="1" applyFont="1" applyFill="1" applyBorder="1" applyAlignment="1" applyProtection="1">
      <alignment horizontal="center" vertical="center"/>
      <protection locked="0"/>
    </xf>
    <xf numFmtId="172" fontId="10" fillId="0" borderId="0" xfId="5" applyNumberFormat="1" applyBorder="1" applyAlignment="1" applyProtection="1">
      <alignment horizontal="center" vertical="center"/>
      <protection locked="0"/>
    </xf>
    <xf numFmtId="173" fontId="35" fillId="0" borderId="0" xfId="1" applyNumberFormat="1" applyFont="1" applyFill="1" applyBorder="1" applyAlignment="1" applyProtection="1">
      <alignment horizontal="center" vertical="center"/>
      <protection locked="0"/>
    </xf>
    <xf numFmtId="0" fontId="50" fillId="0" borderId="0" xfId="5" applyNumberFormat="1" applyFont="1" applyBorder="1" applyAlignment="1" applyProtection="1">
      <alignment horizontal="left"/>
      <protection locked="0"/>
    </xf>
    <xf numFmtId="0" fontId="10" fillId="0" borderId="0" xfId="5" applyBorder="1" applyProtection="1">
      <protection locked="0"/>
    </xf>
    <xf numFmtId="176" fontId="50" fillId="0" borderId="0" xfId="5" applyNumberFormat="1" applyFont="1" applyBorder="1" applyAlignment="1" applyProtection="1">
      <alignment horizontal="center"/>
      <protection locked="0"/>
    </xf>
    <xf numFmtId="1" fontId="10" fillId="0" borderId="0" xfId="5" applyNumberFormat="1" applyBorder="1" applyProtection="1">
      <protection locked="0"/>
    </xf>
    <xf numFmtId="176" fontId="10" fillId="0" borderId="0" xfId="5" applyNumberFormat="1" applyBorder="1" applyAlignment="1" applyProtection="1">
      <alignment horizontal="center"/>
      <protection locked="0"/>
    </xf>
    <xf numFmtId="176" fontId="10" fillId="0" borderId="0" xfId="5" applyNumberFormat="1" applyBorder="1" applyAlignment="1" applyProtection="1">
      <alignment horizontal="center" vertical="center"/>
      <protection locked="0"/>
    </xf>
    <xf numFmtId="173" fontId="10" fillId="0" borderId="0" xfId="5" applyNumberFormat="1" applyFill="1" applyBorder="1" applyProtection="1">
      <protection locked="0"/>
    </xf>
    <xf numFmtId="0" fontId="30" fillId="0" borderId="0" xfId="5" applyNumberFormat="1" applyFont="1" applyBorder="1" applyAlignment="1" applyProtection="1">
      <alignment horizontal="center" vertical="center" wrapText="1"/>
    </xf>
    <xf numFmtId="1" fontId="29" fillId="0" borderId="0" xfId="5" applyNumberFormat="1" applyFont="1" applyFill="1" applyBorder="1" applyAlignment="1" applyProtection="1">
      <alignment horizontal="center" vertical="center"/>
    </xf>
    <xf numFmtId="0" fontId="30" fillId="0" borderId="0" xfId="5" applyFont="1" applyFill="1" applyBorder="1" applyAlignment="1" applyProtection="1">
      <alignment horizontal="center" vertical="center" wrapText="1"/>
    </xf>
    <xf numFmtId="0" fontId="26" fillId="0" borderId="0" xfId="5" applyFont="1" applyFill="1" applyBorder="1" applyAlignment="1" applyProtection="1">
      <alignment horizontal="center" vertical="center"/>
    </xf>
  </cellXfs>
  <cellStyles count="9">
    <cellStyle name="Currency" xfId="8" builtinId="4"/>
    <cellStyle name="Currency 2" xfId="4" xr:uid="{00000000-0005-0000-0000-000001000000}"/>
    <cellStyle name="Hyperlink 2" xfId="6" xr:uid="{00000000-0005-0000-0000-000002000000}"/>
    <cellStyle name="Normal" xfId="0" builtinId="0"/>
    <cellStyle name="Normal 2" xfId="2" xr:uid="{00000000-0005-0000-0000-000004000000}"/>
    <cellStyle name="Normal 3" xfId="5" xr:uid="{00000000-0005-0000-0000-000005000000}"/>
    <cellStyle name="Percent" xfId="1" builtinId="5"/>
    <cellStyle name="Percent 2" xfId="3" xr:uid="{00000000-0005-0000-0000-000007000000}"/>
    <cellStyle name="Percent 3" xfId="7" xr:uid="{00000000-0005-0000-0000-000008000000}"/>
  </cellStyles>
  <dxfs count="58">
    <dxf>
      <border>
        <bottom style="thin">
          <color auto="1"/>
        </bottom>
        <vertical/>
        <horizontal/>
      </border>
    </dxf>
    <dxf>
      <fill>
        <patternFill>
          <bgColor theme="0" tint="-0.24994659260841701"/>
        </patternFill>
      </fill>
    </dxf>
    <dxf>
      <fill>
        <patternFill>
          <bgColor theme="0" tint="-4.9989318521683403E-2"/>
        </patternFill>
      </fill>
    </dxf>
    <dxf>
      <fill>
        <patternFill>
          <bgColor theme="0"/>
        </patternFill>
      </fill>
    </dxf>
    <dxf>
      <border>
        <top style="thin">
          <color theme="0" tint="-0.14996795556505021"/>
        </top>
        <vertical/>
        <horizontal/>
      </border>
    </dxf>
    <dxf>
      <border>
        <left style="thin">
          <color theme="0" tint="-0.499984740745262"/>
        </left>
      </border>
    </dxf>
    <dxf>
      <border>
        <right style="thin">
          <color theme="0" tint="-0.499984740745262"/>
        </right>
        <vertical/>
        <horizontal/>
      </border>
    </dxf>
    <dxf>
      <border>
        <left style="thin">
          <color rgb="FFC00000"/>
        </left>
        <right style="thin">
          <color rgb="FFC00000"/>
        </right>
        <vertical/>
        <horizontal/>
      </border>
    </dxf>
    <dxf>
      <fill>
        <patternFill>
          <bgColor theme="0" tint="-0.14996795556505021"/>
        </patternFill>
      </fill>
    </dxf>
    <dxf>
      <fill>
        <patternFill>
          <bgColor theme="9" tint="-0.24994659260841701"/>
        </patternFill>
      </fill>
    </dxf>
    <dxf>
      <fill>
        <patternFill>
          <bgColor theme="0" tint="-0.499984740745262"/>
        </patternFill>
      </fill>
    </dxf>
    <dxf>
      <border>
        <left style="thin">
          <color theme="1"/>
        </left>
        <right style="thin">
          <color theme="1"/>
        </right>
        <vertical/>
        <horizontal/>
      </border>
    </dxf>
    <dxf>
      <border>
        <right style="thin">
          <color theme="1"/>
        </right>
        <vertical/>
        <horizontal/>
      </border>
    </dxf>
    <dxf>
      <border>
        <top style="thin">
          <color theme="0" tint="-0.14996795556505021"/>
        </top>
        <vertical/>
        <horizontal/>
      </border>
    </dxf>
    <dxf>
      <font>
        <color theme="0"/>
      </font>
      <fill>
        <patternFill>
          <bgColor theme="5"/>
        </patternFill>
      </fill>
    </dxf>
    <dxf>
      <font>
        <b/>
        <i val="0"/>
        <strike val="0"/>
        <condense val="0"/>
        <extend val="0"/>
        <outline val="0"/>
        <shadow val="0"/>
        <u val="none"/>
        <vertAlign val="baseline"/>
        <sz val="9"/>
        <color rgb="FF008000"/>
        <name val="Calibri"/>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indexed="64"/>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scheme val="minor"/>
      </font>
      <numFmt numFmtId="30" formatCode="@"/>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border outline="0">
        <right style="thin">
          <color theme="9" tint="0.59996337778862885"/>
        </right>
        <top style="thin">
          <color theme="9" tint="0.59996337778862885"/>
        </top>
        <bottom style="thin">
          <color theme="9" tint="0.59996337778862885"/>
        </bottom>
      </border>
    </dxf>
    <dxf>
      <font>
        <b/>
        <i val="0"/>
        <strike val="0"/>
        <condense val="0"/>
        <extend val="0"/>
        <outline val="0"/>
        <shadow val="0"/>
        <u val="none"/>
        <vertAlign val="baseline"/>
        <sz val="9"/>
        <color rgb="FF008000"/>
        <name val="Calibri"/>
        <scheme val="minor"/>
      </font>
      <fill>
        <patternFill patternType="solid">
          <fgColor rgb="FFD6F4D9"/>
          <bgColor theme="9" tint="0.79998168889431442"/>
        </patternFill>
      </fill>
      <alignment horizontal="center" vertical="center" textRotation="0" wrapText="1" indent="0" justifyLastLine="0" shrinkToFit="0" readingOrder="0"/>
    </dxf>
    <dxf>
      <font>
        <b/>
        <i val="0"/>
        <strike val="0"/>
        <condense val="0"/>
        <extend val="0"/>
        <outline val="0"/>
        <shadow val="0"/>
        <u val="none"/>
        <vertAlign val="baseline"/>
        <sz val="10"/>
        <color theme="0"/>
        <name val="Arial"/>
        <scheme val="none"/>
      </font>
      <fill>
        <patternFill patternType="solid">
          <fgColor indexed="64"/>
          <bgColor rgb="FF008000"/>
        </patternFill>
      </fill>
      <alignment horizontal="center" vertical="center" textRotation="0" wrapText="1" indent="0" justifyLastLine="0" shrinkToFit="0" readingOrder="0"/>
      <border diagonalUp="0" diagonalDown="0" outline="0">
        <left style="thin">
          <color theme="9" tint="0.59996337778862885"/>
        </left>
        <right style="thin">
          <color theme="9" tint="0.59996337778862885"/>
        </right>
        <top/>
        <bottom/>
      </border>
    </dxf>
    <dxf>
      <alignment horizontal="center" vertical="center" textRotation="0" wrapText="0" indent="0" justifyLastLine="0" shrinkToFit="0" readingOrder="0"/>
    </dxf>
    <dxf>
      <numFmt numFmtId="174" formatCode="[$-3409]dd\-mmm\-yy;@"/>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4" formatCode="[$-3409]dd\-mmm\-yy;@"/>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s>
  <tableStyles count="0" defaultTableStyle="TableStyleMedium2" defaultPivotStyle="PivotStyleLight16"/>
  <colors>
    <mruColors>
      <color rgb="FF121F3A"/>
      <color rgb="FF333F56"/>
      <color rgb="FF161D20"/>
      <color rgb="FFFFFFFF"/>
      <color rgb="FF203864"/>
      <color rgb="FF000066"/>
      <color rgb="FFECF5E7"/>
      <color rgb="FF0D1629"/>
      <color rgb="FF007E3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275877306831805"/>
          <c:y val="8.5261240570758165E-2"/>
          <c:w val="0.67386072174633194"/>
          <c:h val="0.87431015252900179"/>
        </c:manualLayout>
      </c:layout>
      <c:barChart>
        <c:barDir val="bar"/>
        <c:grouping val="stacked"/>
        <c:varyColors val="0"/>
        <c:ser>
          <c:idx val="0"/>
          <c:order val="0"/>
          <c:tx>
            <c:v>Start Date</c:v>
          </c:tx>
          <c:spPr>
            <a:noFill/>
            <a:ln>
              <a:noFill/>
            </a:ln>
            <a:effectLst/>
          </c:spPr>
          <c:invertIfNegative val="0"/>
          <c:cat>
            <c:strRef>
              <c:f>'Project Data'!$AS$4:$AS$16</c:f>
              <c:strCache>
                <c:ptCount val="13"/>
                <c:pt idx="0">
                  <c:v>Project Kick-off</c:v>
                </c:pt>
                <c:pt idx="1">
                  <c:v>Data Sanitation and training content creation</c:v>
                </c:pt>
                <c:pt idx="2">
                  <c:v>Development</c:v>
                </c:pt>
                <c:pt idx="3">
                  <c:v>System Integration Testing</c:v>
                </c:pt>
                <c:pt idx="4">
                  <c:v>Training</c:v>
                </c:pt>
                <c:pt idx="5">
                  <c:v>PRG Business Process Creation - BRD</c:v>
                </c:pt>
                <c:pt idx="6">
                  <c:v>Configuration and Migration</c:v>
                </c:pt>
                <c:pt idx="7">
                  <c:v>Data Migration</c:v>
                </c:pt>
                <c:pt idx="8">
                  <c:v>Infrastructure</c:v>
                </c:pt>
                <c:pt idx="9">
                  <c:v>Pre Live Checklist/Preparation</c:v>
                </c:pt>
                <c:pt idx="10">
                  <c:v>Dry Run</c:v>
                </c:pt>
                <c:pt idx="11">
                  <c:v>Marketing Advertisements/Promotions</c:v>
                </c:pt>
                <c:pt idx="12">
                  <c:v>Go Live </c:v>
                </c:pt>
              </c:strCache>
            </c:strRef>
          </c:cat>
          <c:val>
            <c:numRef>
              <c:f>'Project Data'!$AT$4:$AT$16</c:f>
              <c:numCache>
                <c:formatCode>[$-3409]dd\-mmm\-yy;@</c:formatCode>
                <c:ptCount val="13"/>
                <c:pt idx="0">
                  <c:v>43915</c:v>
                </c:pt>
                <c:pt idx="1">
                  <c:v>43934</c:v>
                </c:pt>
                <c:pt idx="2">
                  <c:v>43929</c:v>
                </c:pt>
                <c:pt idx="3">
                  <c:v>43952</c:v>
                </c:pt>
                <c:pt idx="4">
                  <c:v>43958</c:v>
                </c:pt>
                <c:pt idx="5">
                  <c:v>43938</c:v>
                </c:pt>
                <c:pt idx="6">
                  <c:v>43962</c:v>
                </c:pt>
                <c:pt idx="7">
                  <c:v>43962</c:v>
                </c:pt>
                <c:pt idx="8">
                  <c:v>43951</c:v>
                </c:pt>
                <c:pt idx="9">
                  <c:v>43962</c:v>
                </c:pt>
                <c:pt idx="10">
                  <c:v>43962</c:v>
                </c:pt>
                <c:pt idx="11">
                  <c:v>43979</c:v>
                </c:pt>
                <c:pt idx="12">
                  <c:v>43966</c:v>
                </c:pt>
              </c:numCache>
            </c:numRef>
          </c:val>
          <c:extLst>
            <c:ext xmlns:c16="http://schemas.microsoft.com/office/drawing/2014/chart" uri="{C3380CC4-5D6E-409C-BE32-E72D297353CC}">
              <c16:uniqueId val="{00000000-F19A-4040-8699-083266C6420B}"/>
            </c:ext>
          </c:extLst>
        </c:ser>
        <c:ser>
          <c:idx val="1"/>
          <c:order val="1"/>
          <c:tx>
            <c:v>Duration</c:v>
          </c:tx>
          <c:spPr>
            <a:solidFill>
              <a:schemeClr val="accent4">
                <a:lumMod val="40000"/>
                <a:lumOff val="60000"/>
              </a:schemeClr>
            </a:solidFill>
            <a:ln>
              <a:noFill/>
            </a:ln>
            <a:effectLst/>
          </c:spPr>
          <c:invertIfNegative val="0"/>
          <c:cat>
            <c:strRef>
              <c:f>'Project Data'!$AS$4:$AS$16</c:f>
              <c:strCache>
                <c:ptCount val="13"/>
                <c:pt idx="0">
                  <c:v>Project Kick-off</c:v>
                </c:pt>
                <c:pt idx="1">
                  <c:v>Data Sanitation and training content creation</c:v>
                </c:pt>
                <c:pt idx="2">
                  <c:v>Development</c:v>
                </c:pt>
                <c:pt idx="3">
                  <c:v>System Integration Testing</c:v>
                </c:pt>
                <c:pt idx="4">
                  <c:v>Training</c:v>
                </c:pt>
                <c:pt idx="5">
                  <c:v>PRG Business Process Creation - BRD</c:v>
                </c:pt>
                <c:pt idx="6">
                  <c:v>Configuration and Migration</c:v>
                </c:pt>
                <c:pt idx="7">
                  <c:v>Data Migration</c:v>
                </c:pt>
                <c:pt idx="8">
                  <c:v>Infrastructure</c:v>
                </c:pt>
                <c:pt idx="9">
                  <c:v>Pre Live Checklist/Preparation</c:v>
                </c:pt>
                <c:pt idx="10">
                  <c:v>Dry Run</c:v>
                </c:pt>
                <c:pt idx="11">
                  <c:v>Marketing Advertisements/Promotions</c:v>
                </c:pt>
                <c:pt idx="12">
                  <c:v>Go Live </c:v>
                </c:pt>
              </c:strCache>
            </c:strRef>
          </c:cat>
          <c:val>
            <c:numRef>
              <c:f>'Project Data'!$AU$4:$AU$16</c:f>
              <c:numCache>
                <c:formatCode>General</c:formatCode>
                <c:ptCount val="13"/>
                <c:pt idx="0">
                  <c:v>4</c:v>
                </c:pt>
                <c:pt idx="1">
                  <c:v>29</c:v>
                </c:pt>
                <c:pt idx="2">
                  <c:v>30</c:v>
                </c:pt>
                <c:pt idx="3">
                  <c:v>10</c:v>
                </c:pt>
                <c:pt idx="4">
                  <c:v>5</c:v>
                </c:pt>
                <c:pt idx="5">
                  <c:v>26</c:v>
                </c:pt>
                <c:pt idx="6">
                  <c:v>4</c:v>
                </c:pt>
                <c:pt idx="7">
                  <c:v>4</c:v>
                </c:pt>
                <c:pt idx="8">
                  <c:v>12</c:v>
                </c:pt>
                <c:pt idx="9">
                  <c:v>4</c:v>
                </c:pt>
                <c:pt idx="10">
                  <c:v>15</c:v>
                </c:pt>
                <c:pt idx="11">
                  <c:v>1</c:v>
                </c:pt>
                <c:pt idx="12">
                  <c:v>206</c:v>
                </c:pt>
              </c:numCache>
            </c:numRef>
          </c:val>
          <c:extLst>
            <c:ext xmlns:c16="http://schemas.microsoft.com/office/drawing/2014/chart" uri="{C3380CC4-5D6E-409C-BE32-E72D297353CC}">
              <c16:uniqueId val="{00000001-F19A-4040-8699-083266C6420B}"/>
            </c:ext>
          </c:extLst>
        </c:ser>
        <c:dLbls>
          <c:showLegendKey val="0"/>
          <c:showVal val="0"/>
          <c:showCatName val="0"/>
          <c:showSerName val="0"/>
          <c:showPercent val="0"/>
          <c:showBubbleSize val="0"/>
        </c:dLbls>
        <c:gapWidth val="150"/>
        <c:overlap val="100"/>
        <c:axId val="540994984"/>
        <c:axId val="540994656"/>
      </c:barChart>
      <c:catAx>
        <c:axId val="540994984"/>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lumMod val="85000"/>
                  </a:schemeClr>
                </a:solidFill>
                <a:latin typeface="+mn-lt"/>
                <a:ea typeface="+mn-ea"/>
                <a:cs typeface="+mn-cs"/>
              </a:defRPr>
            </a:pPr>
            <a:endParaRPr lang="en-US"/>
          </a:p>
        </c:txPr>
        <c:crossAx val="540994656"/>
        <c:crosses val="autoZero"/>
        <c:auto val="1"/>
        <c:lblAlgn val="ctr"/>
        <c:lblOffset val="100"/>
        <c:noMultiLvlLbl val="0"/>
      </c:catAx>
      <c:valAx>
        <c:axId val="540994656"/>
        <c:scaling>
          <c:orientation val="minMax"/>
        </c:scaling>
        <c:delete val="0"/>
        <c:axPos val="t"/>
        <c:majorGridlines>
          <c:spPr>
            <a:ln w="9525" cap="flat" cmpd="sng" algn="ctr">
              <a:solidFill>
                <a:schemeClr val="tx1">
                  <a:lumMod val="15000"/>
                  <a:lumOff val="85000"/>
                </a:schemeClr>
              </a:solidFill>
              <a:round/>
            </a:ln>
            <a:effectLst/>
          </c:spPr>
        </c:majorGridlines>
        <c:numFmt formatCode="[$-3409]dd\-mmm\-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5">
                    <a:lumMod val="20000"/>
                    <a:lumOff val="80000"/>
                  </a:schemeClr>
                </a:solidFill>
                <a:latin typeface="+mn-lt"/>
                <a:ea typeface="+mn-ea"/>
                <a:cs typeface="+mn-cs"/>
              </a:defRPr>
            </a:pPr>
            <a:endParaRPr lang="en-US"/>
          </a:p>
        </c:txPr>
        <c:crossAx val="540994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406533984811045E-2"/>
          <c:y val="6.3893265961350589E-4"/>
          <c:w val="0.95601523282218581"/>
          <c:h val="0.99696792054643235"/>
        </c:manualLayout>
      </c:layout>
      <c:scatterChart>
        <c:scatterStyle val="lineMarker"/>
        <c:varyColors val="0"/>
        <c:ser>
          <c:idx val="0"/>
          <c:order val="0"/>
          <c:tx>
            <c:strRef>
              <c:f>'Project Data'!$AU$1</c:f>
              <c:strCache>
                <c:ptCount val="1"/>
                <c:pt idx="0">
                  <c:v>DURATION</c:v>
                </c:pt>
              </c:strCache>
            </c:strRef>
          </c:tx>
          <c:spPr>
            <a:ln w="25400" cap="rnd">
              <a:noFill/>
              <a:round/>
            </a:ln>
            <a:effectLst/>
          </c:spPr>
          <c:marker>
            <c:symbol val="diamond"/>
            <c:size val="10"/>
            <c:spPr>
              <a:solidFill>
                <a:schemeClr val="accent6">
                  <a:lumMod val="75000"/>
                </a:schemeClr>
              </a:solidFill>
              <a:ln w="9525">
                <a:solidFill>
                  <a:schemeClr val="accent1"/>
                </a:solidFill>
              </a:ln>
              <a:effectLst/>
            </c:spPr>
          </c:marker>
          <c:dLbls>
            <c:dLbl>
              <c:idx val="0"/>
              <c:tx>
                <c:rich>
                  <a:bodyPr/>
                  <a:lstStyle/>
                  <a:p>
                    <a:r>
                      <a:rPr lang="en-US"/>
                      <a:t>Project</a:t>
                    </a:r>
                    <a:r>
                      <a:rPr lang="en-US" baseline="0"/>
                      <a:t> Kick-off</a:t>
                    </a:r>
                    <a:endParaRPr lang="en-US"/>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A2E-4731-AFDA-3CE0BCBB1988}"/>
                </c:ext>
              </c:extLst>
            </c:dLbl>
            <c:dLbl>
              <c:idx val="1"/>
              <c:tx>
                <c:rich>
                  <a:bodyPr/>
                  <a:lstStyle/>
                  <a:p>
                    <a:r>
                      <a:rPr lang="en-US"/>
                      <a:t>Data Sanitation</a:t>
                    </a:r>
                    <a:r>
                      <a:rPr lang="en-US" baseline="0"/>
                      <a:t> and training content creation</a:t>
                    </a:r>
                    <a:endParaRPr lang="en-US"/>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A2E-4731-AFDA-3CE0BCBB1988}"/>
                </c:ext>
              </c:extLst>
            </c:dLbl>
            <c:dLbl>
              <c:idx val="2"/>
              <c:tx>
                <c:rich>
                  <a:bodyPr/>
                  <a:lstStyle/>
                  <a:p>
                    <a:r>
                      <a:rPr lang="en-US"/>
                      <a:t>Development</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A2E-4731-AFDA-3CE0BCBB1988}"/>
                </c:ext>
              </c:extLst>
            </c:dLbl>
            <c:dLbl>
              <c:idx val="3"/>
              <c:tx>
                <c:rich>
                  <a:bodyPr/>
                  <a:lstStyle/>
                  <a:p>
                    <a:r>
                      <a:rPr lang="en-US"/>
                      <a:t>System</a:t>
                    </a:r>
                    <a:r>
                      <a:rPr lang="en-US" baseline="0"/>
                      <a:t> Integration Testing</a:t>
                    </a:r>
                    <a:endParaRPr lang="en-US"/>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A2E-4731-AFDA-3CE0BCBB1988}"/>
                </c:ext>
              </c:extLst>
            </c:dLbl>
            <c:dLbl>
              <c:idx val="4"/>
              <c:tx>
                <c:rich>
                  <a:bodyPr/>
                  <a:lstStyle/>
                  <a:p>
                    <a:r>
                      <a:rPr lang="en-US"/>
                      <a:t>Training</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AA2E-4731-AFDA-3CE0BCBB198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y"/>
            <c:errBarType val="minus"/>
            <c:errValType val="percentage"/>
            <c:noEndCap val="1"/>
            <c:val val="100"/>
            <c:spPr>
              <a:noFill/>
              <a:ln w="12700" cap="flat" cmpd="sng" algn="ctr">
                <a:solidFill>
                  <a:schemeClr val="accent1">
                    <a:lumMod val="75000"/>
                  </a:schemeClr>
                </a:solidFill>
                <a:prstDash val="dash"/>
                <a:round/>
              </a:ln>
              <a:effectLst/>
            </c:spPr>
          </c:errBars>
          <c:errBars>
            <c:errDir val="x"/>
            <c:errBarType val="plus"/>
            <c:errValType val="cust"/>
            <c:noEndCap val="0"/>
            <c:plus>
              <c:numRef>
                <c:f>'Project Data'!$AU$4:$AU$16</c:f>
                <c:numCache>
                  <c:formatCode>General</c:formatCode>
                  <c:ptCount val="13"/>
                  <c:pt idx="0">
                    <c:v>4</c:v>
                  </c:pt>
                  <c:pt idx="1">
                    <c:v>29</c:v>
                  </c:pt>
                  <c:pt idx="2">
                    <c:v>30</c:v>
                  </c:pt>
                  <c:pt idx="3">
                    <c:v>10</c:v>
                  </c:pt>
                  <c:pt idx="4">
                    <c:v>5</c:v>
                  </c:pt>
                  <c:pt idx="5">
                    <c:v>26</c:v>
                  </c:pt>
                  <c:pt idx="6">
                    <c:v>4</c:v>
                  </c:pt>
                  <c:pt idx="7">
                    <c:v>4</c:v>
                  </c:pt>
                  <c:pt idx="8">
                    <c:v>12</c:v>
                  </c:pt>
                  <c:pt idx="9">
                    <c:v>4</c:v>
                  </c:pt>
                  <c:pt idx="10">
                    <c:v>15</c:v>
                  </c:pt>
                  <c:pt idx="11">
                    <c:v>1</c:v>
                  </c:pt>
                  <c:pt idx="12">
                    <c:v>206</c:v>
                  </c:pt>
                </c:numCache>
              </c:numRef>
            </c:plus>
            <c:minus>
              <c:numLit>
                <c:formatCode>General</c:formatCode>
                <c:ptCount val="1"/>
                <c:pt idx="0">
                  <c:v>1</c:v>
                </c:pt>
              </c:numLit>
            </c:minus>
            <c:spPr>
              <a:noFill/>
              <a:ln w="101600" cap="flat" cmpd="sng" algn="ctr">
                <a:solidFill>
                  <a:schemeClr val="accent1">
                    <a:lumMod val="75000"/>
                  </a:schemeClr>
                </a:solidFill>
                <a:round/>
              </a:ln>
              <a:effectLst/>
            </c:spPr>
          </c:errBars>
          <c:xVal>
            <c:numRef>
              <c:f>'Project Data'!$AT$4:$AT$16</c:f>
              <c:numCache>
                <c:formatCode>[$-3409]dd\-mmm\-yy;@</c:formatCode>
                <c:ptCount val="13"/>
                <c:pt idx="0">
                  <c:v>43915</c:v>
                </c:pt>
                <c:pt idx="1">
                  <c:v>43934</c:v>
                </c:pt>
                <c:pt idx="2">
                  <c:v>43929</c:v>
                </c:pt>
                <c:pt idx="3">
                  <c:v>43952</c:v>
                </c:pt>
                <c:pt idx="4">
                  <c:v>43958</c:v>
                </c:pt>
                <c:pt idx="5">
                  <c:v>43938</c:v>
                </c:pt>
                <c:pt idx="6">
                  <c:v>43962</c:v>
                </c:pt>
                <c:pt idx="7">
                  <c:v>43962</c:v>
                </c:pt>
                <c:pt idx="8">
                  <c:v>43951</c:v>
                </c:pt>
                <c:pt idx="9">
                  <c:v>43962</c:v>
                </c:pt>
                <c:pt idx="10">
                  <c:v>43962</c:v>
                </c:pt>
                <c:pt idx="11">
                  <c:v>43979</c:v>
                </c:pt>
                <c:pt idx="12">
                  <c:v>43966</c:v>
                </c:pt>
              </c:numCache>
            </c:numRef>
          </c:xVal>
          <c:yVal>
            <c:numRef>
              <c:f>'Project Data'!$AX$4:$AX$16</c:f>
              <c:numCache>
                <c:formatCode>General</c:formatCode>
                <c:ptCount val="13"/>
                <c:pt idx="0">
                  <c:v>120</c:v>
                </c:pt>
                <c:pt idx="1">
                  <c:v>100</c:v>
                </c:pt>
                <c:pt idx="2">
                  <c:v>80</c:v>
                </c:pt>
                <c:pt idx="3">
                  <c:v>60</c:v>
                </c:pt>
                <c:pt idx="4">
                  <c:v>40</c:v>
                </c:pt>
                <c:pt idx="5">
                  <c:v>20</c:v>
                </c:pt>
                <c:pt idx="6">
                  <c:v>-40</c:v>
                </c:pt>
                <c:pt idx="7">
                  <c:v>-60</c:v>
                </c:pt>
                <c:pt idx="8">
                  <c:v>-80</c:v>
                </c:pt>
                <c:pt idx="9">
                  <c:v>-100</c:v>
                </c:pt>
                <c:pt idx="10">
                  <c:v>-120</c:v>
                </c:pt>
                <c:pt idx="11">
                  <c:v>-140</c:v>
                </c:pt>
                <c:pt idx="12">
                  <c:v>-160</c:v>
                </c:pt>
              </c:numCache>
            </c:numRef>
          </c:yVal>
          <c:smooth val="0"/>
          <c:extLst>
            <c:ext xmlns:c16="http://schemas.microsoft.com/office/drawing/2014/chart" uri="{C3380CC4-5D6E-409C-BE32-E72D297353CC}">
              <c16:uniqueId val="{00000000-4BA6-4C40-9797-5850699EF70E}"/>
            </c:ext>
          </c:extLst>
        </c:ser>
        <c:ser>
          <c:idx val="1"/>
          <c:order val="1"/>
          <c:tx>
            <c:strRef>
              <c:f>'Project Data'!$AW$1</c:f>
              <c:strCache>
                <c:ptCount val="1"/>
                <c:pt idx="0">
                  <c:v>COMPLETION</c:v>
                </c:pt>
              </c:strCache>
            </c:strRef>
          </c:tx>
          <c:spPr>
            <a:ln w="25400" cap="rnd">
              <a:noFill/>
              <a:round/>
            </a:ln>
            <a:effectLst/>
          </c:spPr>
          <c:marker>
            <c:symbol val="dot"/>
            <c:size val="4"/>
            <c:spPr>
              <a:solidFill>
                <a:schemeClr val="accent4">
                  <a:lumMod val="75000"/>
                </a:schemeClr>
              </a:solidFill>
              <a:ln w="9525">
                <a:noFill/>
              </a:ln>
              <a:effectLst/>
            </c:spPr>
          </c:marker>
          <c:dLbls>
            <c:delete val="1"/>
          </c:dLbls>
          <c:errBars>
            <c:errDir val="y"/>
            <c:errBarType val="both"/>
            <c:errValType val="fixedVal"/>
            <c:noEndCap val="0"/>
            <c:val val="0"/>
            <c:spPr>
              <a:noFill/>
              <a:ln w="9525" cap="flat" cmpd="sng" algn="ctr">
                <a:solidFill>
                  <a:schemeClr val="tx1">
                    <a:lumMod val="65000"/>
                    <a:lumOff val="35000"/>
                  </a:schemeClr>
                </a:solidFill>
                <a:round/>
              </a:ln>
              <a:effectLst/>
            </c:spPr>
          </c:errBars>
          <c:errBars>
            <c:errDir val="x"/>
            <c:errBarType val="plus"/>
            <c:errValType val="cust"/>
            <c:noEndCap val="1"/>
            <c:plus>
              <c:numRef>
                <c:f>'Project Data'!$AV$4:$AV$16</c:f>
                <c:numCache>
                  <c:formatCode>General</c:formatCode>
                  <c:ptCount val="13"/>
                  <c:pt idx="0">
                    <c:v>40</c:v>
                  </c:pt>
                  <c:pt idx="1">
                    <c:v>50</c:v>
                  </c:pt>
                  <c:pt idx="2">
                    <c:v>80</c:v>
                  </c:pt>
                  <c:pt idx="3">
                    <c:v>90</c:v>
                  </c:pt>
                  <c:pt idx="4">
                    <c:v>100</c:v>
                  </c:pt>
                  <c:pt idx="5">
                    <c:v>100</c:v>
                  </c:pt>
                  <c:pt idx="6">
                    <c:v>100</c:v>
                  </c:pt>
                  <c:pt idx="7">
                    <c:v>100</c:v>
                  </c:pt>
                  <c:pt idx="8">
                    <c:v>100</c:v>
                  </c:pt>
                  <c:pt idx="9">
                    <c:v>100</c:v>
                  </c:pt>
                  <c:pt idx="10">
                    <c:v>10</c:v>
                  </c:pt>
                  <c:pt idx="11">
                    <c:v>100</c:v>
                  </c:pt>
                  <c:pt idx="12">
                    <c:v>100</c:v>
                  </c:pt>
                </c:numCache>
              </c:numRef>
            </c:plus>
            <c:minus>
              <c:numLit>
                <c:formatCode>General</c:formatCode>
                <c:ptCount val="1"/>
                <c:pt idx="0">
                  <c:v>1</c:v>
                </c:pt>
              </c:numLit>
            </c:minus>
            <c:spPr>
              <a:noFill/>
              <a:ln w="63500" cap="flat" cmpd="sng" algn="ctr">
                <a:solidFill>
                  <a:schemeClr val="accent1">
                    <a:lumMod val="50000"/>
                  </a:schemeClr>
                </a:solidFill>
                <a:round/>
              </a:ln>
              <a:effectLst/>
            </c:spPr>
          </c:errBars>
          <c:xVal>
            <c:numRef>
              <c:f>'Project Data'!$AT$4:$AT$16</c:f>
              <c:numCache>
                <c:formatCode>[$-3409]dd\-mmm\-yy;@</c:formatCode>
                <c:ptCount val="13"/>
                <c:pt idx="0">
                  <c:v>43915</c:v>
                </c:pt>
                <c:pt idx="1">
                  <c:v>43934</c:v>
                </c:pt>
                <c:pt idx="2">
                  <c:v>43929</c:v>
                </c:pt>
                <c:pt idx="3">
                  <c:v>43952</c:v>
                </c:pt>
                <c:pt idx="4">
                  <c:v>43958</c:v>
                </c:pt>
                <c:pt idx="5">
                  <c:v>43938</c:v>
                </c:pt>
                <c:pt idx="6">
                  <c:v>43962</c:v>
                </c:pt>
                <c:pt idx="7">
                  <c:v>43962</c:v>
                </c:pt>
                <c:pt idx="8">
                  <c:v>43951</c:v>
                </c:pt>
                <c:pt idx="9">
                  <c:v>43962</c:v>
                </c:pt>
                <c:pt idx="10">
                  <c:v>43962</c:v>
                </c:pt>
                <c:pt idx="11">
                  <c:v>43979</c:v>
                </c:pt>
                <c:pt idx="12">
                  <c:v>43966</c:v>
                </c:pt>
              </c:numCache>
            </c:numRef>
          </c:xVal>
          <c:yVal>
            <c:numRef>
              <c:f>'Project Data'!$AX$4:$AX$16</c:f>
              <c:numCache>
                <c:formatCode>General</c:formatCode>
                <c:ptCount val="13"/>
                <c:pt idx="0">
                  <c:v>120</c:v>
                </c:pt>
                <c:pt idx="1">
                  <c:v>100</c:v>
                </c:pt>
                <c:pt idx="2">
                  <c:v>80</c:v>
                </c:pt>
                <c:pt idx="3">
                  <c:v>60</c:v>
                </c:pt>
                <c:pt idx="4">
                  <c:v>40</c:v>
                </c:pt>
                <c:pt idx="5">
                  <c:v>20</c:v>
                </c:pt>
                <c:pt idx="6">
                  <c:v>-40</c:v>
                </c:pt>
                <c:pt idx="7">
                  <c:v>-60</c:v>
                </c:pt>
                <c:pt idx="8">
                  <c:v>-80</c:v>
                </c:pt>
                <c:pt idx="9">
                  <c:v>-100</c:v>
                </c:pt>
                <c:pt idx="10">
                  <c:v>-120</c:v>
                </c:pt>
                <c:pt idx="11">
                  <c:v>-140</c:v>
                </c:pt>
                <c:pt idx="12">
                  <c:v>-160</c:v>
                </c:pt>
              </c:numCache>
            </c:numRef>
          </c:yVal>
          <c:smooth val="0"/>
          <c:extLst>
            <c:ext xmlns:c16="http://schemas.microsoft.com/office/drawing/2014/chart" uri="{C3380CC4-5D6E-409C-BE32-E72D297353CC}">
              <c16:uniqueId val="{00000001-4BA6-4C40-9797-5850699EF70E}"/>
            </c:ext>
          </c:extLst>
        </c:ser>
        <c:ser>
          <c:idx val="2"/>
          <c:order val="2"/>
          <c:tx>
            <c:strRef>
              <c:f>'Project Data'!$AS$2</c:f>
              <c:strCache>
                <c:ptCount val="1"/>
                <c:pt idx="0">
                  <c:v>TODAY</c:v>
                </c:pt>
              </c:strCache>
            </c:strRef>
          </c:tx>
          <c:spPr>
            <a:ln w="25400" cap="rnd">
              <a:noFill/>
              <a:round/>
            </a:ln>
            <a:effectLst/>
          </c:spPr>
          <c:marker>
            <c:symbol val="triangle"/>
            <c:size val="8"/>
            <c:spPr>
              <a:solidFill>
                <a:srgbClr val="C00000"/>
              </a:solidFill>
              <a:ln w="9525">
                <a:solidFill>
                  <a:schemeClr val="accent3"/>
                </a:solidFill>
              </a:ln>
              <a:effectLst/>
            </c:spPr>
          </c:marker>
          <c:dLbls>
            <c:dLbl>
              <c:idx val="0"/>
              <c:tx>
                <c:rich>
                  <a:bodyPr/>
                  <a:lstStyle/>
                  <a:p>
                    <a:r>
                      <a:rPr lang="en-US"/>
                      <a:t>TODAY</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BA6-4C40-9797-5850699EF70E}"/>
                </c:ext>
              </c:extLst>
            </c:dLbl>
            <c:dLbl>
              <c:idx val="1"/>
              <c:delete val="1"/>
              <c:extLst>
                <c:ext xmlns:c15="http://schemas.microsoft.com/office/drawing/2012/chart" uri="{CE6537A1-D6FC-4f65-9D91-7224C49458BB}"/>
                <c:ext xmlns:c16="http://schemas.microsoft.com/office/drawing/2014/chart" uri="{C3380CC4-5D6E-409C-BE32-E72D297353CC}">
                  <c16:uniqueId val="{00000003-4BA6-4C40-9797-5850699EF7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y"/>
            <c:errBarType val="minus"/>
            <c:errValType val="percentage"/>
            <c:noEndCap val="1"/>
            <c:val val="100"/>
            <c:spPr>
              <a:noFill/>
              <a:ln w="12700" cap="flat" cmpd="sng" algn="ctr">
                <a:solidFill>
                  <a:schemeClr val="bg2">
                    <a:lumMod val="50000"/>
                  </a:schemeClr>
                </a:solidFill>
                <a:prstDash val="lgDash"/>
                <a:round/>
              </a:ln>
              <a:effectLst/>
            </c:spPr>
          </c:errBars>
          <c:errBars>
            <c:errDir val="x"/>
            <c:errBarType val="both"/>
            <c:errValType val="fixedVal"/>
            <c:noEndCap val="0"/>
            <c:val val="1"/>
            <c:spPr>
              <a:noFill/>
              <a:ln w="9525" cap="flat" cmpd="sng" algn="ctr">
                <a:solidFill>
                  <a:schemeClr val="tx1">
                    <a:lumMod val="65000"/>
                    <a:lumOff val="35000"/>
                  </a:schemeClr>
                </a:solidFill>
                <a:round/>
              </a:ln>
              <a:effectLst/>
            </c:spPr>
          </c:errBars>
          <c:xVal>
            <c:numRef>
              <c:f>'Project Data'!$AT$2:$AT$3</c:f>
              <c:numCache>
                <c:formatCode>[$-3409]dd\-mmm\-yy;@</c:formatCode>
                <c:ptCount val="2"/>
                <c:pt idx="0">
                  <c:v>43941</c:v>
                </c:pt>
                <c:pt idx="1">
                  <c:v>43941</c:v>
                </c:pt>
              </c:numCache>
            </c:numRef>
          </c:xVal>
          <c:yVal>
            <c:numRef>
              <c:f>'Project Data'!$AX$2:$AX$3</c:f>
              <c:numCache>
                <c:formatCode>General</c:formatCode>
                <c:ptCount val="2"/>
                <c:pt idx="0">
                  <c:v>140</c:v>
                </c:pt>
                <c:pt idx="1">
                  <c:v>-140</c:v>
                </c:pt>
              </c:numCache>
            </c:numRef>
          </c:yVal>
          <c:smooth val="0"/>
          <c:extLst>
            <c:ext xmlns:c16="http://schemas.microsoft.com/office/drawing/2014/chart" uri="{C3380CC4-5D6E-409C-BE32-E72D297353CC}">
              <c16:uniqueId val="{00000004-4BA6-4C40-9797-5850699EF70E}"/>
            </c:ext>
          </c:extLst>
        </c:ser>
        <c:dLbls>
          <c:dLblPos val="l"/>
          <c:showLegendKey val="0"/>
          <c:showVal val="1"/>
          <c:showCatName val="0"/>
          <c:showSerName val="0"/>
          <c:showPercent val="0"/>
          <c:showBubbleSize val="0"/>
        </c:dLbls>
        <c:axId val="540938240"/>
        <c:axId val="540944472"/>
      </c:scatterChart>
      <c:valAx>
        <c:axId val="540938240"/>
        <c:scaling>
          <c:orientation val="minMax"/>
          <c:max val="44100"/>
        </c:scaling>
        <c:delete val="0"/>
        <c:axPos val="b"/>
        <c:numFmt formatCode="[$-3409]dd\-mmm\-yy;@" sourceLinked="1"/>
        <c:majorTickMark val="none"/>
        <c:minorTickMark val="cross"/>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bg1">
                    <a:lumMod val="65000"/>
                  </a:schemeClr>
                </a:solidFill>
                <a:latin typeface="+mn-lt"/>
                <a:ea typeface="+mn-ea"/>
                <a:cs typeface="+mn-cs"/>
              </a:defRPr>
            </a:pPr>
            <a:endParaRPr lang="en-US"/>
          </a:p>
        </c:txPr>
        <c:crossAx val="540944472"/>
        <c:crosses val="autoZero"/>
        <c:crossBetween val="midCat"/>
      </c:valAx>
      <c:valAx>
        <c:axId val="540944472"/>
        <c:scaling>
          <c:orientation val="minMax"/>
        </c:scaling>
        <c:delete val="1"/>
        <c:axPos val="l"/>
        <c:numFmt formatCode="General" sourceLinked="1"/>
        <c:majorTickMark val="none"/>
        <c:minorTickMark val="none"/>
        <c:tickLblPos val="nextTo"/>
        <c:crossAx val="5409382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22-44B8-A32D-4796126E2F7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22-44B8-A32D-4796126E2F7B}"/>
              </c:ext>
            </c:extLst>
          </c:dPt>
          <c:val>
            <c:numRef>
              <c:f>('Project Data'!$X$6,'Project Data'!$X$8)</c:f>
              <c:numCache>
                <c:formatCode>0%</c:formatCode>
                <c:ptCount val="2"/>
                <c:pt idx="0">
                  <c:v>0.47619047619047616</c:v>
                </c:pt>
                <c:pt idx="1">
                  <c:v>0.52380952380952384</c:v>
                </c:pt>
              </c:numCache>
            </c:numRef>
          </c:val>
          <c:extLst>
            <c:ext xmlns:c16="http://schemas.microsoft.com/office/drawing/2014/chart" uri="{C3380CC4-5D6E-409C-BE32-E72D297353CC}">
              <c16:uniqueId val="{00000004-4529-4BE8-9132-651743BA2119}"/>
            </c:ext>
          </c:extLst>
        </c:ser>
        <c:dLbls>
          <c:showLegendKey val="0"/>
          <c:showVal val="0"/>
          <c:showCatName val="0"/>
          <c:showSerName val="0"/>
          <c:showPercent val="0"/>
          <c:showBubbleSize val="0"/>
          <c:showLeaderLines val="1"/>
        </c:dLbls>
        <c:firstSliceAng val="18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r">
              <a:defRPr sz="1200" b="1" i="0" u="none" strike="noStrike" kern="1200" spc="0" baseline="0">
                <a:solidFill>
                  <a:schemeClr val="bg1">
                    <a:lumMod val="95000"/>
                  </a:schemeClr>
                </a:solidFill>
                <a:latin typeface="+mn-lt"/>
                <a:ea typeface="+mn-ea"/>
                <a:cs typeface="+mn-cs"/>
              </a:defRPr>
            </a:pPr>
            <a:r>
              <a:rPr lang="en-PH" sz="1200" b="1">
                <a:solidFill>
                  <a:schemeClr val="bg1">
                    <a:lumMod val="95000"/>
                  </a:schemeClr>
                </a:solidFill>
              </a:rPr>
              <a:t>TASKS</a:t>
            </a:r>
          </a:p>
        </c:rich>
      </c:tx>
      <c:layout>
        <c:manualLayout>
          <c:xMode val="edge"/>
          <c:yMode val="edge"/>
          <c:x val="4.6205711659683513E-2"/>
          <c:y val="0.28212973963691157"/>
        </c:manualLayout>
      </c:layout>
      <c:overlay val="0"/>
      <c:spPr>
        <a:noFill/>
        <a:ln>
          <a:noFill/>
        </a:ln>
        <a:effectLst/>
      </c:spPr>
      <c:txPr>
        <a:bodyPr rot="0" spcFirstLastPara="1" vertOverflow="ellipsis" vert="horz" wrap="square" anchor="ctr" anchorCtr="1"/>
        <a:lstStyle/>
        <a:p>
          <a:pPr algn="r">
            <a:defRPr sz="1200" b="1" i="0" u="none" strike="noStrike" kern="1200" spc="0" baseline="0">
              <a:solidFill>
                <a:schemeClr val="bg1">
                  <a:lumMod val="95000"/>
                </a:schemeClr>
              </a:solidFill>
              <a:latin typeface="+mn-lt"/>
              <a:ea typeface="+mn-ea"/>
              <a:cs typeface="+mn-cs"/>
            </a:defRPr>
          </a:pPr>
          <a:endParaRPr lang="en-US"/>
        </a:p>
      </c:txPr>
    </c:title>
    <c:autoTitleDeleted val="0"/>
    <c:plotArea>
      <c:layout>
        <c:manualLayout>
          <c:layoutTarget val="inner"/>
          <c:xMode val="edge"/>
          <c:yMode val="edge"/>
          <c:x val="0.14340747593321926"/>
          <c:y val="0.15651215607296542"/>
          <c:w val="0.6541699786089693"/>
          <c:h val="0.46223903990799736"/>
        </c:manualLayout>
      </c:layout>
      <c:barChart>
        <c:barDir val="bar"/>
        <c:grouping val="stacked"/>
        <c:varyColors val="0"/>
        <c:ser>
          <c:idx val="0"/>
          <c:order val="0"/>
          <c:tx>
            <c:strRef>
              <c:f>'Project Data'!$V$3</c:f>
              <c:strCache>
                <c:ptCount val="1"/>
                <c:pt idx="0">
                  <c:v>NOT STARTED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Data'!$W$3</c:f>
              <c:numCache>
                <c:formatCode>#,#00;;;</c:formatCode>
                <c:ptCount val="1"/>
                <c:pt idx="0">
                  <c:v>4</c:v>
                </c:pt>
              </c:numCache>
            </c:numRef>
          </c:val>
          <c:extLst>
            <c:ext xmlns:c16="http://schemas.microsoft.com/office/drawing/2014/chart" uri="{C3380CC4-5D6E-409C-BE32-E72D297353CC}">
              <c16:uniqueId val="{00000000-DA32-4383-A0EC-1F27AB947318}"/>
            </c:ext>
          </c:extLst>
        </c:ser>
        <c:ser>
          <c:idx val="1"/>
          <c:order val="1"/>
          <c:tx>
            <c:strRef>
              <c:f>'Project Data'!$V$4</c:f>
              <c:strCache>
                <c:ptCount val="1"/>
                <c:pt idx="0">
                  <c:v>IN PROGRESS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Data'!$W$4</c:f>
              <c:numCache>
                <c:formatCode>#,#00;;;</c:formatCode>
                <c:ptCount val="1"/>
                <c:pt idx="0">
                  <c:v>8</c:v>
                </c:pt>
              </c:numCache>
            </c:numRef>
          </c:val>
          <c:extLst>
            <c:ext xmlns:c16="http://schemas.microsoft.com/office/drawing/2014/chart" uri="{C3380CC4-5D6E-409C-BE32-E72D297353CC}">
              <c16:uniqueId val="{00000001-DA32-4383-A0EC-1F27AB947318}"/>
            </c:ext>
          </c:extLst>
        </c:ser>
        <c:ser>
          <c:idx val="3"/>
          <c:order val="2"/>
          <c:tx>
            <c:strRef>
              <c:f>'Project Data'!$V$6</c:f>
              <c:strCache>
                <c:ptCount val="1"/>
                <c:pt idx="0">
                  <c:v>COMPLETE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Data'!$W$6</c:f>
              <c:numCache>
                <c:formatCode>#,#00;;;</c:formatCode>
                <c:ptCount val="1"/>
                <c:pt idx="0">
                  <c:v>20</c:v>
                </c:pt>
              </c:numCache>
            </c:numRef>
          </c:val>
          <c:extLst>
            <c:ext xmlns:c16="http://schemas.microsoft.com/office/drawing/2014/chart" uri="{C3380CC4-5D6E-409C-BE32-E72D297353CC}">
              <c16:uniqueId val="{00000003-DA32-4383-A0EC-1F27AB947318}"/>
            </c:ext>
          </c:extLst>
        </c:ser>
        <c:ser>
          <c:idx val="2"/>
          <c:order val="3"/>
          <c:tx>
            <c:strRef>
              <c:f>'Project Data'!$V$5</c:f>
              <c:strCache>
                <c:ptCount val="1"/>
                <c:pt idx="0">
                  <c:v>OVERDUE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Data'!$W$5</c:f>
              <c:numCache>
                <c:formatCode>#,#00;;;</c:formatCode>
                <c:ptCount val="1"/>
                <c:pt idx="0">
                  <c:v>10</c:v>
                </c:pt>
              </c:numCache>
            </c:numRef>
          </c:val>
          <c:extLst>
            <c:ext xmlns:c16="http://schemas.microsoft.com/office/drawing/2014/chart" uri="{C3380CC4-5D6E-409C-BE32-E72D297353CC}">
              <c16:uniqueId val="{00000002-DA32-4383-A0EC-1F27AB947318}"/>
            </c:ext>
          </c:extLst>
        </c:ser>
        <c:dLbls>
          <c:dLblPos val="ctr"/>
          <c:showLegendKey val="0"/>
          <c:showVal val="1"/>
          <c:showCatName val="0"/>
          <c:showSerName val="0"/>
          <c:showPercent val="0"/>
          <c:showBubbleSize val="0"/>
        </c:dLbls>
        <c:gapWidth val="150"/>
        <c:overlap val="100"/>
        <c:axId val="510650688"/>
        <c:axId val="510648064"/>
      </c:barChart>
      <c:catAx>
        <c:axId val="510650688"/>
        <c:scaling>
          <c:orientation val="minMax"/>
        </c:scaling>
        <c:delete val="1"/>
        <c:axPos val="l"/>
        <c:numFmt formatCode="General" sourceLinked="1"/>
        <c:majorTickMark val="out"/>
        <c:minorTickMark val="none"/>
        <c:tickLblPos val="nextTo"/>
        <c:crossAx val="510648064"/>
        <c:crosses val="autoZero"/>
        <c:auto val="1"/>
        <c:lblAlgn val="ctr"/>
        <c:lblOffset val="100"/>
        <c:noMultiLvlLbl val="0"/>
      </c:catAx>
      <c:valAx>
        <c:axId val="510648064"/>
        <c:scaling>
          <c:orientation val="minMax"/>
        </c:scaling>
        <c:delete val="1"/>
        <c:axPos val="b"/>
        <c:numFmt formatCode="#,#00;;;" sourceLinked="1"/>
        <c:majorTickMark val="out"/>
        <c:minorTickMark val="none"/>
        <c:tickLblPos val="nextTo"/>
        <c:crossAx val="510650688"/>
        <c:crosses val="autoZero"/>
        <c:crossBetween val="between"/>
      </c:valAx>
      <c:spPr>
        <a:noFill/>
        <a:ln>
          <a:noFill/>
        </a:ln>
        <a:effectLst/>
      </c:spPr>
    </c:plotArea>
    <c:legend>
      <c:legendPos val="r"/>
      <c:layout>
        <c:manualLayout>
          <c:xMode val="edge"/>
          <c:yMode val="edge"/>
          <c:x val="0.66304411282608589"/>
          <c:y val="0.1765709442327475"/>
          <c:w val="0.27470531180359081"/>
          <c:h val="0.425413431712644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766451602411E-3"/>
          <c:y val="0"/>
          <c:w val="0.80342355776543206"/>
          <c:h val="1"/>
        </c:manualLayout>
      </c:layout>
      <c:barChart>
        <c:barDir val="bar"/>
        <c:grouping val="stacked"/>
        <c:varyColors val="0"/>
        <c:ser>
          <c:idx val="0"/>
          <c:order val="0"/>
          <c:spPr>
            <a:solidFill>
              <a:schemeClr val="accent1"/>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3-F95B-47B8-AC8A-93AB365DFB49}"/>
              </c:ext>
            </c:extLst>
          </c:dPt>
          <c:val>
            <c:numRef>
              <c:f>'Project Data'!$X$6</c:f>
              <c:numCache>
                <c:formatCode>0%</c:formatCode>
                <c:ptCount val="1"/>
                <c:pt idx="0">
                  <c:v>0.47619047619047616</c:v>
                </c:pt>
              </c:numCache>
            </c:numRef>
          </c:val>
          <c:extLst>
            <c:ext xmlns:c16="http://schemas.microsoft.com/office/drawing/2014/chart" uri="{C3380CC4-5D6E-409C-BE32-E72D297353CC}">
              <c16:uniqueId val="{00000000-F95B-47B8-AC8A-93AB365DFB49}"/>
            </c:ext>
          </c:extLst>
        </c:ser>
        <c:ser>
          <c:idx val="1"/>
          <c:order val="1"/>
          <c:spPr>
            <a:solidFill>
              <a:schemeClr val="accent1">
                <a:lumMod val="50000"/>
              </a:schemeClr>
            </a:solidFill>
            <a:ln>
              <a:noFill/>
            </a:ln>
            <a:effectLst/>
          </c:spPr>
          <c:invertIfNegative val="0"/>
          <c:val>
            <c:numRef>
              <c:f>'Project Data'!$X$8</c:f>
              <c:numCache>
                <c:formatCode>0%</c:formatCode>
                <c:ptCount val="1"/>
                <c:pt idx="0">
                  <c:v>0.52380952380952384</c:v>
                </c:pt>
              </c:numCache>
            </c:numRef>
          </c:val>
          <c:extLst>
            <c:ext xmlns:c16="http://schemas.microsoft.com/office/drawing/2014/chart" uri="{C3380CC4-5D6E-409C-BE32-E72D297353CC}">
              <c16:uniqueId val="{00000001-F95B-47B8-AC8A-93AB365DFB49}"/>
            </c:ext>
          </c:extLst>
        </c:ser>
        <c:dLbls>
          <c:showLegendKey val="0"/>
          <c:showVal val="0"/>
          <c:showCatName val="0"/>
          <c:showSerName val="0"/>
          <c:showPercent val="0"/>
          <c:showBubbleSize val="0"/>
        </c:dLbls>
        <c:gapWidth val="283"/>
        <c:overlap val="100"/>
        <c:axId val="553807840"/>
        <c:axId val="553811448"/>
      </c:barChart>
      <c:catAx>
        <c:axId val="553807840"/>
        <c:scaling>
          <c:orientation val="minMax"/>
        </c:scaling>
        <c:delete val="1"/>
        <c:axPos val="l"/>
        <c:numFmt formatCode="General" sourceLinked="1"/>
        <c:majorTickMark val="none"/>
        <c:minorTickMark val="none"/>
        <c:tickLblPos val="nextTo"/>
        <c:crossAx val="553811448"/>
        <c:crosses val="autoZero"/>
        <c:auto val="1"/>
        <c:lblAlgn val="ctr"/>
        <c:lblOffset val="100"/>
        <c:noMultiLvlLbl val="0"/>
      </c:catAx>
      <c:valAx>
        <c:axId val="553811448"/>
        <c:scaling>
          <c:orientation val="minMax"/>
        </c:scaling>
        <c:delete val="1"/>
        <c:axPos val="b"/>
        <c:numFmt formatCode="0%" sourceLinked="1"/>
        <c:majorTickMark val="none"/>
        <c:minorTickMark val="none"/>
        <c:tickLblPos val="nextTo"/>
        <c:crossAx val="5538078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8870210742827782"/>
          <c:y val="0.31934130552704215"/>
          <c:w val="0.51957259542749168"/>
          <c:h val="0.68065853273624666"/>
        </c:manualLayout>
      </c:layout>
      <c:doughnutChart>
        <c:varyColors val="1"/>
        <c:ser>
          <c:idx val="0"/>
          <c:order val="0"/>
          <c:dPt>
            <c:idx val="0"/>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4B65-4E5B-83D9-ECB313A59CEC}"/>
              </c:ext>
            </c:extLst>
          </c:dPt>
          <c:dPt>
            <c:idx val="1"/>
            <c:bubble3D val="0"/>
            <c:spPr>
              <a:solidFill>
                <a:schemeClr val="accent6">
                  <a:lumMod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B65-4E5B-83D9-ECB313A59CEC}"/>
              </c:ext>
            </c:extLst>
          </c:dPt>
          <c:dLbls>
            <c:dLbl>
              <c:idx val="0"/>
              <c:layout>
                <c:manualLayout>
                  <c:x val="-0.3885250006804758"/>
                  <c:y val="0.10667617255674612"/>
                </c:manualLayout>
              </c:layout>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7889755283518205E-2"/>
                      <c:h val="0.10777376830732883"/>
                    </c:manualLayout>
                  </c15:layout>
                </c:ext>
                <c:ext xmlns:c16="http://schemas.microsoft.com/office/drawing/2014/chart" uri="{C3380CC4-5D6E-409C-BE32-E72D297353CC}">
                  <c16:uniqueId val="{00000002-4B65-4E5B-83D9-ECB313A59CEC}"/>
                </c:ext>
              </c:extLst>
            </c:dLbl>
            <c:dLbl>
              <c:idx val="1"/>
              <c:layout>
                <c:manualLayout>
                  <c:x val="0.12134105722384043"/>
                  <c:y val="0.12219355511251841"/>
                </c:manualLayout>
              </c:layout>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B65-4E5B-83D9-ECB313A59CEC}"/>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2"/>
              <c:pt idx="0">
                <c:v>Actual </c:v>
              </c:pt>
              <c:pt idx="1">
                <c:v>Budget </c:v>
              </c:pt>
            </c:strLit>
          </c:cat>
          <c:val>
            <c:numRef>
              <c:f>'Project Data'!$AA$3:$AB$3</c:f>
              <c:numCache>
                <c:formatCode>_("₱"* #,##0.00_);_("₱"* \(#,##0.00\);_("₱"* "-"??_);_(@_)</c:formatCode>
                <c:ptCount val="2"/>
                <c:pt idx="0">
                  <c:v>1000</c:v>
                </c:pt>
                <c:pt idx="1">
                  <c:v>4000</c:v>
                </c:pt>
              </c:numCache>
            </c:numRef>
          </c:val>
          <c:extLst>
            <c:ext xmlns:c16="http://schemas.microsoft.com/office/drawing/2014/chart" uri="{C3380CC4-5D6E-409C-BE32-E72D297353CC}">
              <c16:uniqueId val="{00000004-9D37-4B29-AF02-A70FD853667F}"/>
            </c:ext>
          </c:extLst>
        </c:ser>
        <c:dLbls>
          <c:showLegendKey val="0"/>
          <c:showVal val="0"/>
          <c:showCatName val="0"/>
          <c:showSerName val="0"/>
          <c:showPercent val="1"/>
          <c:showBubbleSize val="0"/>
          <c:showLeaderLines val="1"/>
        </c:dLbls>
        <c:firstSliceAng val="27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cat>
            <c:strRef>
              <c:f>'Project Data'!$AE$2:$AG$2</c:f>
              <c:strCache>
                <c:ptCount val="3"/>
                <c:pt idx="0">
                  <c:v>HIGH</c:v>
                </c:pt>
                <c:pt idx="1">
                  <c:v>MEDIUM</c:v>
                </c:pt>
                <c:pt idx="2">
                  <c:v>LOW</c:v>
                </c:pt>
              </c:strCache>
            </c:strRef>
          </c:cat>
          <c:val>
            <c:numRef>
              <c:f>'Project Data'!$AE$9:$AG$9</c:f>
              <c:numCache>
                <c:formatCode>General</c:formatCode>
                <c:ptCount val="3"/>
              </c:numCache>
              <c:extLst xmlns:c15="http://schemas.microsoft.com/office/drawing/2012/chart"/>
            </c:numRef>
          </c:val>
          <c:extLst xmlns:c15="http://schemas.microsoft.com/office/drawing/2012/chart">
            <c:ext xmlns:c16="http://schemas.microsoft.com/office/drawing/2014/chart" uri="{C3380CC4-5D6E-409C-BE32-E72D297353CC}">
              <c16:uniqueId val="{00000036-303A-4DFC-8CCC-6232CCCDDDA6}"/>
            </c:ext>
          </c:extLst>
        </c:ser>
        <c:ser>
          <c:idx val="0"/>
          <c:order val="1"/>
          <c:spPr>
            <a:solidFill>
              <a:schemeClr val="accent1">
                <a:lumMod val="60000"/>
                <a:lumOff val="40000"/>
              </a:schemeClr>
            </a:solidFill>
          </c:spPr>
          <c:dPt>
            <c:idx val="0"/>
            <c:bubble3D val="0"/>
            <c:spPr>
              <a:solidFill>
                <a:schemeClr val="accent2">
                  <a:lumMod val="60000"/>
                  <a:lumOff val="40000"/>
                </a:schemeClr>
              </a:solidFill>
            </c:spPr>
            <c:extLst>
              <c:ext xmlns:c16="http://schemas.microsoft.com/office/drawing/2014/chart" uri="{C3380CC4-5D6E-409C-BE32-E72D297353CC}">
                <c16:uniqueId val="{00000001-08BB-4826-821B-A9EA43FA2A60}"/>
              </c:ext>
            </c:extLst>
          </c:dPt>
          <c:dPt>
            <c:idx val="1"/>
            <c:bubble3D val="0"/>
            <c:spPr>
              <a:solidFill>
                <a:schemeClr val="accent2">
                  <a:lumMod val="50000"/>
                </a:schemeClr>
              </a:solidFill>
            </c:spPr>
            <c:extLst>
              <c:ext xmlns:c16="http://schemas.microsoft.com/office/drawing/2014/chart" uri="{C3380CC4-5D6E-409C-BE32-E72D297353CC}">
                <c16:uniqueId val="{00000003-08BB-4826-821B-A9EA43FA2A60}"/>
              </c:ext>
            </c:extLst>
          </c:dPt>
          <c:dPt>
            <c:idx val="2"/>
            <c:bubble3D val="0"/>
            <c:spPr>
              <a:solidFill>
                <a:schemeClr val="accent2">
                  <a:lumMod val="75000"/>
                </a:schemeClr>
              </a:solidFill>
            </c:spPr>
            <c:extLst>
              <c:ext xmlns:c16="http://schemas.microsoft.com/office/drawing/2014/chart" uri="{C3380CC4-5D6E-409C-BE32-E72D297353CC}">
                <c16:uniqueId val="{00000002-08BB-4826-821B-A9EA43FA2A60}"/>
              </c:ext>
            </c:extLst>
          </c:dPt>
          <c:dLbls>
            <c:dLbl>
              <c:idx val="0"/>
              <c:spPr>
                <a:noFill/>
                <a:ln>
                  <a:noFill/>
                </a:ln>
                <a:effectLst/>
              </c:spPr>
              <c:txPr>
                <a:bodyPr wrap="square" lIns="38100" tIns="19050" rIns="38100" bIns="19050" anchor="ctr">
                  <a:spAutoFit/>
                </a:bodyPr>
                <a:lstStyle/>
                <a:p>
                  <a:pPr>
                    <a:defRPr>
                      <a:solidFill>
                        <a:schemeClr val="accent2">
                          <a:lumMod val="50000"/>
                        </a:schemeClr>
                      </a:solidFill>
                    </a:defRPr>
                  </a:pPr>
                  <a:endParaRPr lang="en-US"/>
                </a:p>
              </c:txPr>
              <c:showLegendKey val="0"/>
              <c:showVal val="1"/>
              <c:showCatName val="0"/>
              <c:showSerName val="0"/>
              <c:showPercent val="0"/>
              <c:showBubbleSize val="0"/>
              <c:extLst>
                <c:ext xmlns:c16="http://schemas.microsoft.com/office/drawing/2014/chart" uri="{C3380CC4-5D6E-409C-BE32-E72D297353CC}">
                  <c16:uniqueId val="{00000001-08BB-4826-821B-A9EA43FA2A60}"/>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'Project Data'!$AE$2:$AG$2</c:f>
              <c:strCache>
                <c:ptCount val="3"/>
                <c:pt idx="0">
                  <c:v>HIGH</c:v>
                </c:pt>
                <c:pt idx="1">
                  <c:v>MEDIUM</c:v>
                </c:pt>
                <c:pt idx="2">
                  <c:v>LOW</c:v>
                </c:pt>
              </c:strCache>
            </c:strRef>
          </c:cat>
          <c:val>
            <c:numRef>
              <c:f>'Project Data'!$AE$3:$AG$3</c:f>
              <c:numCache>
                <c:formatCode>General</c:formatCode>
                <c:ptCount val="3"/>
                <c:pt idx="0">
                  <c:v>2</c:v>
                </c:pt>
                <c:pt idx="1">
                  <c:v>5</c:v>
                </c:pt>
                <c:pt idx="2">
                  <c:v>8</c:v>
                </c:pt>
              </c:numCache>
            </c:numRef>
          </c:val>
          <c:extLst>
            <c:ext xmlns:c16="http://schemas.microsoft.com/office/drawing/2014/chart" uri="{C3380CC4-5D6E-409C-BE32-E72D297353CC}">
              <c16:uniqueId val="{0000003B-303A-4DFC-8CCC-6232CCCDDDA6}"/>
            </c:ext>
          </c:extLst>
        </c:ser>
        <c:dLbls>
          <c:showLegendKey val="0"/>
          <c:showVal val="0"/>
          <c:showCatName val="0"/>
          <c:showSerName val="0"/>
          <c:showPercent val="0"/>
          <c:showBubbleSize val="0"/>
          <c:showLeaderLines val="1"/>
        </c:dLbls>
        <c:firstSliceAng val="0"/>
        <c:holeSize val="12"/>
        <c:extLst/>
      </c:doughnutChart>
      <c:spPr>
        <a:noFill/>
        <a:ln>
          <a:noFill/>
        </a:ln>
        <a:effectLst/>
      </c:spPr>
    </c:plotArea>
    <c:plotVisOnly val="1"/>
    <c:dispBlanksAs val="gap"/>
    <c:showDLblsOverMax val="0"/>
    <c:extLst/>
  </c:chart>
  <c:spPr>
    <a:noFill/>
    <a:ln>
      <a:noFill/>
    </a:ln>
    <a:effectLst/>
  </c:spPr>
  <c:txPr>
    <a:bodyPr/>
    <a:lstStyle/>
    <a:p>
      <a:pPr>
        <a:defRPr sz="1200">
          <a:solidFill>
            <a:schemeClr val="bg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dPt>
            <c:idx val="0"/>
            <c:bubble3D val="0"/>
            <c:spPr>
              <a:solidFill>
                <a:schemeClr val="accent4">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1C7-4172-A811-12DB4F87B445}"/>
              </c:ext>
            </c:extLst>
          </c:dPt>
          <c:dPt>
            <c:idx val="1"/>
            <c:bubble3D val="0"/>
            <c:spPr>
              <a:solidFill>
                <a:schemeClr val="accent4">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81C7-4172-A811-12DB4F87B445}"/>
              </c:ext>
            </c:extLst>
          </c:dPt>
          <c:dPt>
            <c:idx val="2"/>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1C7-4172-A811-12DB4F87B445}"/>
              </c:ext>
            </c:extLst>
          </c:dPt>
          <c:dLbls>
            <c:dLbl>
              <c:idx val="2"/>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4">
                          <a:lumMod val="50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1-81C7-4172-A811-12DB4F87B44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'Project Data'!$AE$2:$AG$9</c:f>
              <c:multiLvlStrCache>
                <c:ptCount val="3"/>
                <c:lvl>
                  <c:pt idx="0">
                    <c:v>160</c:v>
                  </c:pt>
                  <c:pt idx="1">
                    <c:v>76</c:v>
                  </c:pt>
                  <c:pt idx="2">
                    <c:v>268</c:v>
                  </c:pt>
                </c:lvl>
                <c:lvl>
                  <c:pt idx="0">
                    <c:v>8</c:v>
                  </c:pt>
                  <c:pt idx="1">
                    <c:v>9</c:v>
                  </c:pt>
                  <c:pt idx="2">
                    <c:v>238</c:v>
                  </c:pt>
                </c:lvl>
                <c:lvl>
                  <c:pt idx="0">
                    <c:v>150</c:v>
                  </c:pt>
                  <c:pt idx="1">
                    <c:v>62</c:v>
                  </c:pt>
                  <c:pt idx="2">
                    <c:v>22</c:v>
                  </c:pt>
                </c:lvl>
                <c:lvl>
                  <c:pt idx="0">
                    <c:v>2</c:v>
                  </c:pt>
                  <c:pt idx="1">
                    <c:v>5</c:v>
                  </c:pt>
                  <c:pt idx="2">
                    <c:v>8</c:v>
                  </c:pt>
                </c:lvl>
                <c:lvl>
                  <c:pt idx="0">
                    <c:v>HIGH</c:v>
                  </c:pt>
                  <c:pt idx="1">
                    <c:v>MEDIUM</c:v>
                  </c:pt>
                  <c:pt idx="2">
                    <c:v>LOW</c:v>
                  </c:pt>
                </c:lvl>
              </c:multiLvlStrCache>
            </c:multiLvlStrRef>
          </c:cat>
          <c:val>
            <c:numRef>
              <c:f>'Project Data'!$AE$4:$AG$4</c:f>
              <c:numCache>
                <c:formatCode>General</c:formatCode>
                <c:ptCount val="3"/>
                <c:pt idx="0">
                  <c:v>150</c:v>
                </c:pt>
                <c:pt idx="1">
                  <c:v>62</c:v>
                </c:pt>
                <c:pt idx="2">
                  <c:v>22</c:v>
                </c:pt>
              </c:numCache>
            </c:numRef>
          </c:val>
          <c:extLst>
            <c:ext xmlns:c16="http://schemas.microsoft.com/office/drawing/2014/chart" uri="{C3380CC4-5D6E-409C-BE32-E72D297353CC}">
              <c16:uniqueId val="{0000000D-F69E-4A53-B0AA-4043B77FA2B3}"/>
            </c:ext>
          </c:extLst>
        </c:ser>
        <c:dLbls>
          <c:showLegendKey val="0"/>
          <c:showVal val="1"/>
          <c:showCatName val="0"/>
          <c:showSerName val="0"/>
          <c:showPercent val="0"/>
          <c:showBubbleSize val="0"/>
          <c:showLeaderLines val="1"/>
        </c:dLbls>
        <c:firstSliceAng val="0"/>
        <c:holeSize val="50"/>
        <c:extLst/>
      </c:doughnutChart>
      <c:spPr>
        <a:noFill/>
        <a:ln>
          <a:noFill/>
        </a:ln>
        <a:effectLst/>
      </c:spPr>
    </c:plotArea>
    <c:plotVisOnly val="1"/>
    <c:dispBlanksAs val="gap"/>
    <c:showDLblsOverMax val="0"/>
    <c:extLst/>
  </c:chart>
  <c:spPr>
    <a:noFill/>
    <a:ln>
      <a:noFill/>
    </a:ln>
    <a:effectLst/>
  </c:spPr>
  <c:txPr>
    <a:bodyPr/>
    <a:lstStyle/>
    <a:p>
      <a:pPr>
        <a:defRPr sz="1200">
          <a:solidFill>
            <a:schemeClr val="bg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dPt>
            <c:idx val="0"/>
            <c:bubble3D val="0"/>
            <c:spPr>
              <a:solidFill>
                <a:schemeClr val="accent6">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748B-42E4-BECC-96AE73117B32}"/>
              </c:ext>
            </c:extLst>
          </c:dPt>
          <c:dPt>
            <c:idx val="1"/>
            <c:bubble3D val="0"/>
            <c:spPr>
              <a:solidFill>
                <a:schemeClr val="accent6">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48B-42E4-BECC-96AE73117B32}"/>
              </c:ext>
            </c:extLst>
          </c:dPt>
          <c:dPt>
            <c:idx val="2"/>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48B-42E4-BECC-96AE73117B32}"/>
              </c:ext>
            </c:extLst>
          </c:dPt>
          <c:dLbls>
            <c:dLbl>
              <c:idx val="2"/>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1-748B-42E4-BECC-96AE73117B3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'Project Data'!$AE$2:$AG$9</c:f>
              <c:multiLvlStrCache>
                <c:ptCount val="3"/>
                <c:lvl>
                  <c:pt idx="0">
                    <c:v>160</c:v>
                  </c:pt>
                  <c:pt idx="1">
                    <c:v>76</c:v>
                  </c:pt>
                  <c:pt idx="2">
                    <c:v>268</c:v>
                  </c:pt>
                </c:lvl>
                <c:lvl>
                  <c:pt idx="0">
                    <c:v>8</c:v>
                  </c:pt>
                  <c:pt idx="1">
                    <c:v>9</c:v>
                  </c:pt>
                  <c:pt idx="2">
                    <c:v>238</c:v>
                  </c:pt>
                </c:lvl>
                <c:lvl>
                  <c:pt idx="0">
                    <c:v>150</c:v>
                  </c:pt>
                  <c:pt idx="1">
                    <c:v>62</c:v>
                  </c:pt>
                  <c:pt idx="2">
                    <c:v>22</c:v>
                  </c:pt>
                </c:lvl>
                <c:lvl>
                  <c:pt idx="0">
                    <c:v>2</c:v>
                  </c:pt>
                  <c:pt idx="1">
                    <c:v>5</c:v>
                  </c:pt>
                  <c:pt idx="2">
                    <c:v>8</c:v>
                  </c:pt>
                </c:lvl>
                <c:lvl>
                  <c:pt idx="0">
                    <c:v>HIGH</c:v>
                  </c:pt>
                  <c:pt idx="1">
                    <c:v>MEDIUM</c:v>
                  </c:pt>
                  <c:pt idx="2">
                    <c:v>LOW</c:v>
                  </c:pt>
                </c:lvl>
              </c:multiLvlStrCache>
            </c:multiLvlStrRef>
          </c:cat>
          <c:val>
            <c:numRef>
              <c:f>'Project Data'!$AE$5:$AG$5</c:f>
              <c:numCache>
                <c:formatCode>General</c:formatCode>
                <c:ptCount val="3"/>
                <c:pt idx="0">
                  <c:v>8</c:v>
                </c:pt>
                <c:pt idx="1">
                  <c:v>9</c:v>
                </c:pt>
                <c:pt idx="2">
                  <c:v>238</c:v>
                </c:pt>
              </c:numCache>
            </c:numRef>
          </c:val>
          <c:extLst>
            <c:ext xmlns:c16="http://schemas.microsoft.com/office/drawing/2014/chart" uri="{C3380CC4-5D6E-409C-BE32-E72D297353CC}">
              <c16:uniqueId val="{00000006-A275-40F8-AED3-35799D092A56}"/>
            </c:ext>
          </c:extLst>
        </c:ser>
        <c:dLbls>
          <c:showLegendKey val="0"/>
          <c:showVal val="1"/>
          <c:showCatName val="0"/>
          <c:showSerName val="0"/>
          <c:showPercent val="0"/>
          <c:showBubbleSize val="0"/>
          <c:showLeaderLines val="1"/>
        </c:dLbls>
        <c:firstSliceAng val="0"/>
        <c:holeSize val="50"/>
        <c:extLst/>
      </c:doughnutChart>
      <c:spPr>
        <a:noFill/>
        <a:ln>
          <a:noFill/>
        </a:ln>
        <a:effectLst/>
      </c:spPr>
    </c:plotArea>
    <c:plotVisOnly val="1"/>
    <c:dispBlanksAs val="gap"/>
    <c:showDLblsOverMax val="0"/>
    <c:extLst/>
  </c:chart>
  <c:spPr>
    <a:noFill/>
    <a:ln>
      <a:noFill/>
    </a:ln>
    <a:effectLst/>
  </c:spPr>
  <c:txPr>
    <a:bodyPr/>
    <a:lstStyle/>
    <a:p>
      <a:pPr>
        <a:defRPr sz="1200">
          <a:solidFill>
            <a:schemeClr val="bg1"/>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PH" b="1">
                <a:solidFill>
                  <a:schemeClr val="bg1"/>
                </a:solidFill>
              </a:rPr>
              <a:t>PRIORITY ITEMS</a:t>
            </a:r>
          </a:p>
        </c:rich>
      </c:tx>
      <c:overlay val="1"/>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8834298153194223"/>
          <c:y val="0.13052595146720739"/>
          <c:w val="0.68882463920809545"/>
          <c:h val="0.71888349058369694"/>
        </c:manualLayout>
      </c:layout>
      <c:barChart>
        <c:barDir val="col"/>
        <c:grouping val="stacked"/>
        <c:varyColors val="0"/>
        <c:ser>
          <c:idx val="0"/>
          <c:order val="0"/>
          <c:tx>
            <c:v>L</c:v>
          </c:tx>
          <c:spPr>
            <a:solidFill>
              <a:schemeClr val="accent2">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Data'!$AE$6</c:f>
              <c:numCache>
                <c:formatCode>General</c:formatCode>
                <c:ptCount val="1"/>
                <c:pt idx="0">
                  <c:v>160</c:v>
                </c:pt>
              </c:numCache>
            </c:numRef>
          </c:val>
          <c:extLst>
            <c:ext xmlns:c16="http://schemas.microsoft.com/office/drawing/2014/chart" uri="{C3380CC4-5D6E-409C-BE32-E72D297353CC}">
              <c16:uniqueId val="{00000000-A160-4FBF-B58D-E777D8B03834}"/>
            </c:ext>
          </c:extLst>
        </c:ser>
        <c:ser>
          <c:idx val="1"/>
          <c:order val="1"/>
          <c:tx>
            <c:v>M</c:v>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Data'!$AF$6</c:f>
              <c:numCache>
                <c:formatCode>General</c:formatCode>
                <c:ptCount val="1"/>
                <c:pt idx="0">
                  <c:v>76</c:v>
                </c:pt>
              </c:numCache>
            </c:numRef>
          </c:val>
          <c:extLst>
            <c:ext xmlns:c16="http://schemas.microsoft.com/office/drawing/2014/chart" uri="{C3380CC4-5D6E-409C-BE32-E72D297353CC}">
              <c16:uniqueId val="{00000001-A160-4FBF-B58D-E777D8B03834}"/>
            </c:ext>
          </c:extLst>
        </c:ser>
        <c:ser>
          <c:idx val="2"/>
          <c:order val="2"/>
          <c:tx>
            <c:v>H</c:v>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Data'!$AG$6</c:f>
              <c:numCache>
                <c:formatCode>General</c:formatCode>
                <c:ptCount val="1"/>
                <c:pt idx="0">
                  <c:v>268</c:v>
                </c:pt>
              </c:numCache>
            </c:numRef>
          </c:val>
          <c:extLst>
            <c:ext xmlns:c16="http://schemas.microsoft.com/office/drawing/2014/chart" uri="{C3380CC4-5D6E-409C-BE32-E72D297353CC}">
              <c16:uniqueId val="{00000002-A160-4FBF-B58D-E777D8B03834}"/>
            </c:ext>
          </c:extLst>
        </c:ser>
        <c:dLbls>
          <c:dLblPos val="ctr"/>
          <c:showLegendKey val="0"/>
          <c:showVal val="1"/>
          <c:showCatName val="0"/>
          <c:showSerName val="0"/>
          <c:showPercent val="0"/>
          <c:showBubbleSize val="0"/>
        </c:dLbls>
        <c:gapWidth val="150"/>
        <c:overlap val="100"/>
        <c:axId val="98547160"/>
        <c:axId val="98545192"/>
      </c:barChart>
      <c:catAx>
        <c:axId val="98547160"/>
        <c:scaling>
          <c:orientation val="minMax"/>
        </c:scaling>
        <c:delete val="1"/>
        <c:axPos val="b"/>
        <c:majorTickMark val="none"/>
        <c:minorTickMark val="none"/>
        <c:tickLblPos val="nextTo"/>
        <c:crossAx val="98545192"/>
        <c:crosses val="autoZero"/>
        <c:auto val="1"/>
        <c:lblAlgn val="ctr"/>
        <c:lblOffset val="100"/>
        <c:noMultiLvlLbl val="0"/>
      </c:catAx>
      <c:valAx>
        <c:axId val="98545192"/>
        <c:scaling>
          <c:orientation val="minMax"/>
        </c:scaling>
        <c:delete val="1"/>
        <c:axPos val="l"/>
        <c:numFmt formatCode="General" sourceLinked="1"/>
        <c:majorTickMark val="none"/>
        <c:minorTickMark val="none"/>
        <c:tickLblPos val="nextTo"/>
        <c:crossAx val="98547160"/>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8870210742827782"/>
          <c:y val="0.31934130552704215"/>
          <c:w val="0.51957259542749168"/>
          <c:h val="0.68065853273624666"/>
        </c:manualLayout>
      </c:layout>
      <c:doughnutChart>
        <c:varyColors val="1"/>
        <c:dLbls>
          <c:showLegendKey val="0"/>
          <c:showVal val="0"/>
          <c:showCatName val="0"/>
          <c:showSerName val="0"/>
          <c:showPercent val="1"/>
          <c:showBubbleSize val="0"/>
          <c:showLeaderLines val="0"/>
        </c:dLbls>
        <c:firstSliceAng val="27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CE-49A4-8831-08B318E155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CE-49A4-8831-08B318E155D7}"/>
              </c:ext>
            </c:extLst>
          </c:dPt>
          <c:val>
            <c:numRef>
              <c:f>('Project Data'!$X$6,'Project Data'!$X$8)</c:f>
              <c:numCache>
                <c:formatCode>0%</c:formatCode>
                <c:ptCount val="2"/>
                <c:pt idx="0">
                  <c:v>0.47619047619047616</c:v>
                </c:pt>
                <c:pt idx="1">
                  <c:v>0.52380952380952384</c:v>
                </c:pt>
              </c:numCache>
            </c:numRef>
          </c:val>
          <c:extLst>
            <c:ext xmlns:c16="http://schemas.microsoft.com/office/drawing/2014/chart" uri="{C3380CC4-5D6E-409C-BE32-E72D297353CC}">
              <c16:uniqueId val="{00000004-172F-471C-8F3B-93E8BAFD3490}"/>
            </c:ext>
          </c:extLst>
        </c:ser>
        <c:dLbls>
          <c:showLegendKey val="0"/>
          <c:showVal val="0"/>
          <c:showCatName val="0"/>
          <c:showSerName val="0"/>
          <c:showPercent val="0"/>
          <c:showBubbleSize val="0"/>
          <c:showLeaderLines val="1"/>
        </c:dLbls>
        <c:firstSliceAng val="180"/>
        <c:holeSize val="8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1201671186445135"/>
          <c:y val="0"/>
          <c:w val="0.60969455979512921"/>
          <c:h val="1"/>
        </c:manualLayout>
      </c:layout>
      <c:doughnutChart>
        <c:varyColors val="1"/>
        <c:ser>
          <c:idx val="0"/>
          <c:order val="0"/>
          <c:tx>
            <c:strRef>
              <c:f>'Project Data'!$Z$12</c:f>
              <c:strCache>
                <c:ptCount val="1"/>
              </c:strCache>
            </c:strRef>
          </c:tx>
          <c:dPt>
            <c:idx val="0"/>
            <c:bubble3D val="0"/>
            <c:spPr>
              <a:noFill/>
              <a:ln w="19050">
                <a:noFill/>
              </a:ln>
              <a:effectLst/>
            </c:spPr>
            <c:extLst>
              <c:ext xmlns:c16="http://schemas.microsoft.com/office/drawing/2014/chart" uri="{C3380CC4-5D6E-409C-BE32-E72D297353CC}">
                <c16:uniqueId val="{00000001-A1A4-48C1-8F31-2EC944A64475}"/>
              </c:ext>
            </c:extLst>
          </c:dPt>
          <c:dPt>
            <c:idx val="1"/>
            <c:bubble3D val="0"/>
            <c:spPr>
              <a:solidFill>
                <a:schemeClr val="accent6">
                  <a:lumMod val="75000"/>
                </a:schemeClr>
              </a:solidFill>
              <a:ln w="19050">
                <a:solidFill>
                  <a:schemeClr val="accent5">
                    <a:lumMod val="50000"/>
                  </a:schemeClr>
                </a:solidFill>
              </a:ln>
              <a:effectLst/>
            </c:spPr>
            <c:extLst>
              <c:ext xmlns:c16="http://schemas.microsoft.com/office/drawing/2014/chart" uri="{C3380CC4-5D6E-409C-BE32-E72D297353CC}">
                <c16:uniqueId val="{00000003-A1A4-48C1-8F31-2EC944A64475}"/>
              </c:ext>
            </c:extLst>
          </c:dPt>
          <c:dPt>
            <c:idx val="2"/>
            <c:bubble3D val="0"/>
            <c:spPr>
              <a:solidFill>
                <a:schemeClr val="accent3"/>
              </a:solidFill>
              <a:ln w="19050">
                <a:solidFill>
                  <a:schemeClr val="accent5">
                    <a:lumMod val="50000"/>
                  </a:schemeClr>
                </a:solidFill>
              </a:ln>
              <a:effectLst/>
            </c:spPr>
            <c:extLst>
              <c:ext xmlns:c16="http://schemas.microsoft.com/office/drawing/2014/chart" uri="{C3380CC4-5D6E-409C-BE32-E72D297353CC}">
                <c16:uniqueId val="{00000005-A1A4-48C1-8F31-2EC944A64475}"/>
              </c:ext>
            </c:extLst>
          </c:dPt>
          <c:val>
            <c:numRef>
              <c:f>('Project Data'!$X$7,'Project Data'!$X$6,'Project Data'!$X$8)</c:f>
              <c:numCache>
                <c:formatCode>0%</c:formatCode>
                <c:ptCount val="3"/>
                <c:pt idx="0">
                  <c:v>0.99999999999999989</c:v>
                </c:pt>
                <c:pt idx="1">
                  <c:v>0.47619047619047616</c:v>
                </c:pt>
                <c:pt idx="2">
                  <c:v>0.52380952380952384</c:v>
                </c:pt>
              </c:numCache>
            </c:numRef>
          </c:val>
          <c:extLst>
            <c:ext xmlns:c16="http://schemas.microsoft.com/office/drawing/2014/chart" uri="{C3380CC4-5D6E-409C-BE32-E72D297353CC}">
              <c16:uniqueId val="{00000006-A1A4-48C1-8F31-2EC944A64475}"/>
            </c:ext>
          </c:extLst>
        </c:ser>
        <c:dLbls>
          <c:showLegendKey val="0"/>
          <c:showVal val="0"/>
          <c:showCatName val="0"/>
          <c:showSerName val="0"/>
          <c:showPercent val="0"/>
          <c:showBubbleSize val="0"/>
          <c:showLeaderLines val="1"/>
        </c:dLbls>
        <c:firstSliceAng val="9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976427196921104E-2"/>
          <c:y val="2.6947855294311984E-2"/>
          <c:w val="0.9038802918537524"/>
          <c:h val="0.6742530538945789"/>
        </c:manualLayout>
      </c:layout>
      <c:barChart>
        <c:barDir val="bar"/>
        <c:grouping val="stacked"/>
        <c:varyColors val="0"/>
        <c:ser>
          <c:idx val="0"/>
          <c:order val="0"/>
          <c:tx>
            <c:strRef>
              <c:f>'Project Data'!$V$3</c:f>
              <c:strCache>
                <c:ptCount val="1"/>
                <c:pt idx="0">
                  <c:v>NOT STARTED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Data'!$W$3</c:f>
              <c:numCache>
                <c:formatCode>#,#00;;;</c:formatCode>
                <c:ptCount val="1"/>
                <c:pt idx="0">
                  <c:v>4</c:v>
                </c:pt>
              </c:numCache>
            </c:numRef>
          </c:val>
          <c:extLst>
            <c:ext xmlns:c16="http://schemas.microsoft.com/office/drawing/2014/chart" uri="{C3380CC4-5D6E-409C-BE32-E72D297353CC}">
              <c16:uniqueId val="{00000000-1D6D-4B4F-8AB9-DCD4AE99A794}"/>
            </c:ext>
          </c:extLst>
        </c:ser>
        <c:ser>
          <c:idx val="1"/>
          <c:order val="1"/>
          <c:tx>
            <c:strRef>
              <c:f>'Project Data'!$V$4</c:f>
              <c:strCache>
                <c:ptCount val="1"/>
                <c:pt idx="0">
                  <c:v>IN PROGRESS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Data'!$W$4</c:f>
              <c:numCache>
                <c:formatCode>#,#00;;;</c:formatCode>
                <c:ptCount val="1"/>
                <c:pt idx="0">
                  <c:v>8</c:v>
                </c:pt>
              </c:numCache>
            </c:numRef>
          </c:val>
          <c:extLst>
            <c:ext xmlns:c16="http://schemas.microsoft.com/office/drawing/2014/chart" uri="{C3380CC4-5D6E-409C-BE32-E72D297353CC}">
              <c16:uniqueId val="{00000001-1D6D-4B4F-8AB9-DCD4AE99A794}"/>
            </c:ext>
          </c:extLst>
        </c:ser>
        <c:ser>
          <c:idx val="2"/>
          <c:order val="2"/>
          <c:tx>
            <c:strRef>
              <c:f>'Project Data'!$V$5</c:f>
              <c:strCache>
                <c:ptCount val="1"/>
                <c:pt idx="0">
                  <c:v>OVERDUE</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Data'!$W$5</c:f>
              <c:numCache>
                <c:formatCode>#,#00;;;</c:formatCode>
                <c:ptCount val="1"/>
                <c:pt idx="0">
                  <c:v>10</c:v>
                </c:pt>
              </c:numCache>
            </c:numRef>
          </c:val>
          <c:extLst>
            <c:ext xmlns:c16="http://schemas.microsoft.com/office/drawing/2014/chart" uri="{C3380CC4-5D6E-409C-BE32-E72D297353CC}">
              <c16:uniqueId val="{00000002-1D6D-4B4F-8AB9-DCD4AE99A794}"/>
            </c:ext>
          </c:extLst>
        </c:ser>
        <c:ser>
          <c:idx val="3"/>
          <c:order val="3"/>
          <c:tx>
            <c:strRef>
              <c:f>'Project Data'!$V$6</c:f>
              <c:strCache>
                <c:ptCount val="1"/>
                <c:pt idx="0">
                  <c:v>COMPLETE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Data'!$W$6</c:f>
              <c:numCache>
                <c:formatCode>#,#00;;;</c:formatCode>
                <c:ptCount val="1"/>
                <c:pt idx="0">
                  <c:v>20</c:v>
                </c:pt>
              </c:numCache>
            </c:numRef>
          </c:val>
          <c:extLst>
            <c:ext xmlns:c16="http://schemas.microsoft.com/office/drawing/2014/chart" uri="{C3380CC4-5D6E-409C-BE32-E72D297353CC}">
              <c16:uniqueId val="{00000003-1D6D-4B4F-8AB9-DCD4AE99A794}"/>
            </c:ext>
          </c:extLst>
        </c:ser>
        <c:dLbls>
          <c:dLblPos val="ctr"/>
          <c:showLegendKey val="0"/>
          <c:showVal val="1"/>
          <c:showCatName val="0"/>
          <c:showSerName val="0"/>
          <c:showPercent val="0"/>
          <c:showBubbleSize val="0"/>
        </c:dLbls>
        <c:gapWidth val="150"/>
        <c:overlap val="100"/>
        <c:axId val="510650688"/>
        <c:axId val="510648064"/>
      </c:barChart>
      <c:catAx>
        <c:axId val="510650688"/>
        <c:scaling>
          <c:orientation val="minMax"/>
        </c:scaling>
        <c:delete val="1"/>
        <c:axPos val="l"/>
        <c:numFmt formatCode="General" sourceLinked="1"/>
        <c:majorTickMark val="out"/>
        <c:minorTickMark val="none"/>
        <c:tickLblPos val="nextTo"/>
        <c:crossAx val="510648064"/>
        <c:crosses val="autoZero"/>
        <c:auto val="1"/>
        <c:lblAlgn val="ctr"/>
        <c:lblOffset val="100"/>
        <c:noMultiLvlLbl val="0"/>
      </c:catAx>
      <c:valAx>
        <c:axId val="510648064"/>
        <c:scaling>
          <c:orientation val="minMax"/>
        </c:scaling>
        <c:delete val="1"/>
        <c:axPos val="b"/>
        <c:numFmt formatCode="#,#00;;;" sourceLinked="1"/>
        <c:majorTickMark val="out"/>
        <c:minorTickMark val="none"/>
        <c:tickLblPos val="nextTo"/>
        <c:crossAx val="510650688"/>
        <c:crosses val="autoZero"/>
        <c:crossBetween val="between"/>
      </c:valAx>
      <c:spPr>
        <a:noFill/>
        <a:ln>
          <a:noFill/>
        </a:ln>
        <a:effectLst/>
      </c:spPr>
    </c:plotArea>
    <c:legend>
      <c:legendPos val="b"/>
      <c:layout>
        <c:manualLayout>
          <c:xMode val="edge"/>
          <c:yMode val="edge"/>
          <c:x val="3.5521390690982764E-2"/>
          <c:y val="0.64743314428353793"/>
          <c:w val="0.81892693936585459"/>
          <c:h val="0.317601820751427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PH" b="1"/>
              <a:t>RISKS</a:t>
            </a:r>
          </a:p>
        </c:rich>
      </c:tx>
      <c:layout>
        <c:manualLayout>
          <c:xMode val="edge"/>
          <c:yMode val="edge"/>
          <c:x val="0.3644996787144012"/>
          <c:y val="3.362570486559977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864844302250137E-3"/>
          <c:y val="0.2277300862022745"/>
          <c:w val="0.98683844079761807"/>
          <c:h val="0.57156549499619058"/>
        </c:manualLayout>
      </c:layout>
      <c:barChart>
        <c:barDir val="col"/>
        <c:grouping val="clustered"/>
        <c:varyColors val="0"/>
        <c:ser>
          <c:idx val="2"/>
          <c:order val="0"/>
          <c:tx>
            <c:v>LOW</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Data'!$AG$3</c:f>
              <c:numCache>
                <c:formatCode>General</c:formatCode>
                <c:ptCount val="1"/>
                <c:pt idx="0">
                  <c:v>8</c:v>
                </c:pt>
              </c:numCache>
            </c:numRef>
          </c:val>
          <c:extLst>
            <c:ext xmlns:c16="http://schemas.microsoft.com/office/drawing/2014/chart" uri="{C3380CC4-5D6E-409C-BE32-E72D297353CC}">
              <c16:uniqueId val="{00000002-9FE0-483B-86FC-2A4CF406281B}"/>
            </c:ext>
          </c:extLst>
        </c:ser>
        <c:ser>
          <c:idx val="1"/>
          <c:order val="1"/>
          <c:tx>
            <c:v>MEDIUM</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Data'!$AF$3</c:f>
              <c:numCache>
                <c:formatCode>General</c:formatCode>
                <c:ptCount val="1"/>
                <c:pt idx="0">
                  <c:v>5</c:v>
                </c:pt>
              </c:numCache>
            </c:numRef>
          </c:val>
          <c:extLst>
            <c:ext xmlns:c16="http://schemas.microsoft.com/office/drawing/2014/chart" uri="{C3380CC4-5D6E-409C-BE32-E72D297353CC}">
              <c16:uniqueId val="{00000001-9FE0-483B-86FC-2A4CF406281B}"/>
            </c:ext>
          </c:extLst>
        </c:ser>
        <c:ser>
          <c:idx val="0"/>
          <c:order val="2"/>
          <c:tx>
            <c:v>HIGH</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Data'!$AE$3</c:f>
              <c:numCache>
                <c:formatCode>General</c:formatCode>
                <c:ptCount val="1"/>
                <c:pt idx="0">
                  <c:v>2</c:v>
                </c:pt>
              </c:numCache>
            </c:numRef>
          </c:val>
          <c:extLst>
            <c:ext xmlns:c16="http://schemas.microsoft.com/office/drawing/2014/chart" uri="{C3380CC4-5D6E-409C-BE32-E72D297353CC}">
              <c16:uniqueId val="{00000000-9FE0-483B-86FC-2A4CF406281B}"/>
            </c:ext>
          </c:extLst>
        </c:ser>
        <c:dLbls>
          <c:dLblPos val="outEnd"/>
          <c:showLegendKey val="0"/>
          <c:showVal val="1"/>
          <c:showCatName val="0"/>
          <c:showSerName val="0"/>
          <c:showPercent val="0"/>
          <c:showBubbleSize val="0"/>
        </c:dLbls>
        <c:gapWidth val="219"/>
        <c:overlap val="-27"/>
        <c:axId val="1048851048"/>
        <c:axId val="1048846128"/>
      </c:barChart>
      <c:catAx>
        <c:axId val="1048851048"/>
        <c:scaling>
          <c:orientation val="minMax"/>
        </c:scaling>
        <c:delete val="1"/>
        <c:axPos val="b"/>
        <c:numFmt formatCode="General" sourceLinked="1"/>
        <c:majorTickMark val="none"/>
        <c:minorTickMark val="none"/>
        <c:tickLblPos val="nextTo"/>
        <c:crossAx val="1048846128"/>
        <c:crosses val="autoZero"/>
        <c:auto val="1"/>
        <c:lblAlgn val="ctr"/>
        <c:lblOffset val="100"/>
        <c:noMultiLvlLbl val="0"/>
      </c:catAx>
      <c:valAx>
        <c:axId val="1048846128"/>
        <c:scaling>
          <c:orientation val="minMax"/>
        </c:scaling>
        <c:delete val="1"/>
        <c:axPos val="l"/>
        <c:numFmt formatCode="General" sourceLinked="1"/>
        <c:majorTickMark val="none"/>
        <c:minorTickMark val="none"/>
        <c:tickLblPos val="nextTo"/>
        <c:crossAx val="1048851048"/>
        <c:crosses val="autoZero"/>
        <c:crossBetween val="between"/>
      </c:valAx>
      <c:spPr>
        <a:noFill/>
        <a:ln>
          <a:noFill/>
        </a:ln>
        <a:effectLst/>
      </c:spPr>
    </c:plotArea>
    <c:legend>
      <c:legendPos val="b"/>
      <c:layout>
        <c:manualLayout>
          <c:xMode val="edge"/>
          <c:yMode val="edge"/>
          <c:x val="9.1894941942992164E-2"/>
          <c:y val="0.8329212860640649"/>
          <c:w val="0.78975921545119754"/>
          <c:h val="0.144790516739338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20000"/>
        <a:lumOff val="80000"/>
      </a:schemeClr>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PH" b="1"/>
              <a:t>ISSUES</a:t>
            </a:r>
          </a:p>
        </c:rich>
      </c:tx>
      <c:layout>
        <c:manualLayout>
          <c:xMode val="edge"/>
          <c:yMode val="edge"/>
          <c:x val="0.3644996787144012"/>
          <c:y val="3.362570486559977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864844302250137E-3"/>
          <c:y val="0.2277300862022745"/>
          <c:w val="0.98683844079761807"/>
          <c:h val="0.57156549499619058"/>
        </c:manualLayout>
      </c:layout>
      <c:barChart>
        <c:barDir val="col"/>
        <c:grouping val="clustered"/>
        <c:varyColors val="0"/>
        <c:ser>
          <c:idx val="2"/>
          <c:order val="0"/>
          <c:tx>
            <c:v>LOW</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Data'!$AG$4</c:f>
              <c:numCache>
                <c:formatCode>General</c:formatCode>
                <c:ptCount val="1"/>
                <c:pt idx="0">
                  <c:v>22</c:v>
                </c:pt>
              </c:numCache>
            </c:numRef>
          </c:val>
          <c:extLst>
            <c:ext xmlns:c16="http://schemas.microsoft.com/office/drawing/2014/chart" uri="{C3380CC4-5D6E-409C-BE32-E72D297353CC}">
              <c16:uniqueId val="{00000002-477C-4ECE-BB19-17BCD866E955}"/>
            </c:ext>
          </c:extLst>
        </c:ser>
        <c:ser>
          <c:idx val="1"/>
          <c:order val="1"/>
          <c:tx>
            <c:v>MEDIUM</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Data'!$AF$4</c:f>
              <c:numCache>
                <c:formatCode>General</c:formatCode>
                <c:ptCount val="1"/>
                <c:pt idx="0">
                  <c:v>62</c:v>
                </c:pt>
              </c:numCache>
            </c:numRef>
          </c:val>
          <c:extLst>
            <c:ext xmlns:c16="http://schemas.microsoft.com/office/drawing/2014/chart" uri="{C3380CC4-5D6E-409C-BE32-E72D297353CC}">
              <c16:uniqueId val="{00000001-477C-4ECE-BB19-17BCD866E955}"/>
            </c:ext>
          </c:extLst>
        </c:ser>
        <c:ser>
          <c:idx val="0"/>
          <c:order val="2"/>
          <c:tx>
            <c:v>HIGH</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Data'!$AE$4</c:f>
              <c:numCache>
                <c:formatCode>General</c:formatCode>
                <c:ptCount val="1"/>
                <c:pt idx="0">
                  <c:v>150</c:v>
                </c:pt>
              </c:numCache>
            </c:numRef>
          </c:val>
          <c:extLst>
            <c:ext xmlns:c16="http://schemas.microsoft.com/office/drawing/2014/chart" uri="{C3380CC4-5D6E-409C-BE32-E72D297353CC}">
              <c16:uniqueId val="{00000000-477C-4ECE-BB19-17BCD866E955}"/>
            </c:ext>
          </c:extLst>
        </c:ser>
        <c:dLbls>
          <c:dLblPos val="outEnd"/>
          <c:showLegendKey val="0"/>
          <c:showVal val="1"/>
          <c:showCatName val="0"/>
          <c:showSerName val="0"/>
          <c:showPercent val="0"/>
          <c:showBubbleSize val="0"/>
        </c:dLbls>
        <c:gapWidth val="219"/>
        <c:overlap val="-27"/>
        <c:axId val="1048851048"/>
        <c:axId val="1048846128"/>
      </c:barChart>
      <c:catAx>
        <c:axId val="1048851048"/>
        <c:scaling>
          <c:orientation val="minMax"/>
        </c:scaling>
        <c:delete val="1"/>
        <c:axPos val="b"/>
        <c:numFmt formatCode="General" sourceLinked="1"/>
        <c:majorTickMark val="none"/>
        <c:minorTickMark val="none"/>
        <c:tickLblPos val="nextTo"/>
        <c:crossAx val="1048846128"/>
        <c:crosses val="autoZero"/>
        <c:auto val="1"/>
        <c:lblAlgn val="ctr"/>
        <c:lblOffset val="100"/>
        <c:noMultiLvlLbl val="0"/>
      </c:catAx>
      <c:valAx>
        <c:axId val="1048846128"/>
        <c:scaling>
          <c:orientation val="minMax"/>
        </c:scaling>
        <c:delete val="1"/>
        <c:axPos val="l"/>
        <c:numFmt formatCode="General" sourceLinked="1"/>
        <c:majorTickMark val="none"/>
        <c:minorTickMark val="none"/>
        <c:tickLblPos val="nextTo"/>
        <c:crossAx val="1048851048"/>
        <c:crosses val="autoZero"/>
        <c:crossBetween val="between"/>
      </c:valAx>
      <c:spPr>
        <a:noFill/>
        <a:ln>
          <a:noFill/>
        </a:ln>
        <a:effectLst/>
      </c:spPr>
    </c:plotArea>
    <c:legend>
      <c:legendPos val="b"/>
      <c:layout>
        <c:manualLayout>
          <c:xMode val="edge"/>
          <c:yMode val="edge"/>
          <c:x val="9.1894941942992164E-2"/>
          <c:y val="0.8329212860640649"/>
          <c:w val="0.78986365977229434"/>
          <c:h val="0.14185943528673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20000"/>
        <a:lumOff val="80000"/>
      </a:schemeClr>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PH" b="1"/>
              <a:t>ACTION ITEMS</a:t>
            </a:r>
          </a:p>
        </c:rich>
      </c:tx>
      <c:layout>
        <c:manualLayout>
          <c:xMode val="edge"/>
          <c:yMode val="edge"/>
          <c:x val="0.17349163023787581"/>
          <c:y val="3.362570486559977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864844302250137E-3"/>
          <c:y val="0.2277300862022745"/>
          <c:w val="0.98683844079761807"/>
          <c:h val="0.57156549499619058"/>
        </c:manualLayout>
      </c:layout>
      <c:barChart>
        <c:barDir val="col"/>
        <c:grouping val="clustered"/>
        <c:varyColors val="0"/>
        <c:ser>
          <c:idx val="2"/>
          <c:order val="0"/>
          <c:tx>
            <c:v>LOW</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Data'!$AG$5</c:f>
              <c:numCache>
                <c:formatCode>General</c:formatCode>
                <c:ptCount val="1"/>
                <c:pt idx="0">
                  <c:v>238</c:v>
                </c:pt>
              </c:numCache>
            </c:numRef>
          </c:val>
          <c:extLst>
            <c:ext xmlns:c16="http://schemas.microsoft.com/office/drawing/2014/chart" uri="{C3380CC4-5D6E-409C-BE32-E72D297353CC}">
              <c16:uniqueId val="{00000002-E5A9-448B-8F25-7981EAFD772E}"/>
            </c:ext>
          </c:extLst>
        </c:ser>
        <c:ser>
          <c:idx val="1"/>
          <c:order val="1"/>
          <c:tx>
            <c:v>MEDIUM</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Data'!$AF$5</c:f>
              <c:numCache>
                <c:formatCode>General</c:formatCode>
                <c:ptCount val="1"/>
                <c:pt idx="0">
                  <c:v>9</c:v>
                </c:pt>
              </c:numCache>
            </c:numRef>
          </c:val>
          <c:extLst>
            <c:ext xmlns:c16="http://schemas.microsoft.com/office/drawing/2014/chart" uri="{C3380CC4-5D6E-409C-BE32-E72D297353CC}">
              <c16:uniqueId val="{00000001-E5A9-448B-8F25-7981EAFD772E}"/>
            </c:ext>
          </c:extLst>
        </c:ser>
        <c:ser>
          <c:idx val="0"/>
          <c:order val="2"/>
          <c:tx>
            <c:v>HIGH</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Data'!$AE$5</c:f>
              <c:numCache>
                <c:formatCode>General</c:formatCode>
                <c:ptCount val="1"/>
                <c:pt idx="0">
                  <c:v>8</c:v>
                </c:pt>
              </c:numCache>
            </c:numRef>
          </c:val>
          <c:extLst>
            <c:ext xmlns:c16="http://schemas.microsoft.com/office/drawing/2014/chart" uri="{C3380CC4-5D6E-409C-BE32-E72D297353CC}">
              <c16:uniqueId val="{00000000-E5A9-448B-8F25-7981EAFD772E}"/>
            </c:ext>
          </c:extLst>
        </c:ser>
        <c:dLbls>
          <c:dLblPos val="outEnd"/>
          <c:showLegendKey val="0"/>
          <c:showVal val="1"/>
          <c:showCatName val="0"/>
          <c:showSerName val="0"/>
          <c:showPercent val="0"/>
          <c:showBubbleSize val="0"/>
        </c:dLbls>
        <c:gapWidth val="219"/>
        <c:overlap val="-27"/>
        <c:axId val="1048851048"/>
        <c:axId val="1048846128"/>
      </c:barChart>
      <c:catAx>
        <c:axId val="1048851048"/>
        <c:scaling>
          <c:orientation val="minMax"/>
        </c:scaling>
        <c:delete val="1"/>
        <c:axPos val="b"/>
        <c:numFmt formatCode="General" sourceLinked="1"/>
        <c:majorTickMark val="none"/>
        <c:minorTickMark val="none"/>
        <c:tickLblPos val="nextTo"/>
        <c:crossAx val="1048846128"/>
        <c:crosses val="autoZero"/>
        <c:auto val="1"/>
        <c:lblAlgn val="ctr"/>
        <c:lblOffset val="100"/>
        <c:noMultiLvlLbl val="0"/>
      </c:catAx>
      <c:valAx>
        <c:axId val="1048846128"/>
        <c:scaling>
          <c:orientation val="minMax"/>
        </c:scaling>
        <c:delete val="1"/>
        <c:axPos val="l"/>
        <c:numFmt formatCode="General" sourceLinked="1"/>
        <c:majorTickMark val="none"/>
        <c:minorTickMark val="none"/>
        <c:tickLblPos val="nextTo"/>
        <c:crossAx val="1048851048"/>
        <c:crosses val="autoZero"/>
        <c:crossBetween val="between"/>
      </c:valAx>
      <c:spPr>
        <a:noFill/>
        <a:ln>
          <a:noFill/>
        </a:ln>
        <a:effectLst/>
      </c:spPr>
    </c:plotArea>
    <c:legend>
      <c:legendPos val="b"/>
      <c:layout>
        <c:manualLayout>
          <c:xMode val="edge"/>
          <c:yMode val="edge"/>
          <c:x val="9.1894941942992164E-2"/>
          <c:y val="0.8329212860640649"/>
          <c:w val="0.78986365977229434"/>
          <c:h val="0.14185943528673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20000"/>
        <a:lumOff val="80000"/>
      </a:schemeClr>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PH" sz="1200" b="1"/>
              <a:t>BUDGETING</a:t>
            </a:r>
          </a:p>
        </c:rich>
      </c:tx>
      <c:layout>
        <c:manualLayout>
          <c:xMode val="edge"/>
          <c:yMode val="edge"/>
          <c:x val="3.3392710963531767E-2"/>
          <c:y val="3.0993972231875308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246393067453031"/>
          <c:y val="0.25223332393879611"/>
          <c:w val="0.32470224507002959"/>
          <c:h val="0.62006400407298645"/>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EF-421F-97AA-881777A2D8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EF-421F-97AA-881777A2D86C}"/>
              </c:ext>
            </c:extLst>
          </c:dPt>
          <c:dLbls>
            <c:dLbl>
              <c:idx val="0"/>
              <c:layout>
                <c:manualLayout>
                  <c:x val="0.53079590044542835"/>
                  <c:y val="5.776686929040451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8454644329916718"/>
                      <c:h val="0.15266464467462243"/>
                    </c:manualLayout>
                  </c15:layout>
                </c:ext>
                <c:ext xmlns:c16="http://schemas.microsoft.com/office/drawing/2014/chart" uri="{C3380CC4-5D6E-409C-BE32-E72D297353CC}">
                  <c16:uniqueId val="{00000001-A0EF-421F-97AA-881777A2D86C}"/>
                </c:ext>
              </c:extLst>
            </c:dLbl>
            <c:dLbl>
              <c:idx val="1"/>
              <c:layout>
                <c:manualLayout>
                  <c:x val="0.39841940529924047"/>
                  <c:y val="0.109840256294434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9421370442974089"/>
                      <c:h val="0.18749117553419739"/>
                    </c:manualLayout>
                  </c15:layout>
                </c:ext>
                <c:ext xmlns:c16="http://schemas.microsoft.com/office/drawing/2014/chart" uri="{C3380CC4-5D6E-409C-BE32-E72D297353CC}">
                  <c16:uniqueId val="{00000003-A0EF-421F-97AA-881777A2D86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2"/>
              <c:pt idx="0">
                <c:v>Actual </c:v>
              </c:pt>
              <c:pt idx="1">
                <c:v>Budget </c:v>
              </c:pt>
            </c:strLit>
          </c:cat>
          <c:val>
            <c:numRef>
              <c:f>'Project Data'!$AA$3:$AB$3</c:f>
              <c:numCache>
                <c:formatCode>_("₱"* #,##0.00_);_("₱"* \(#,##0.00\);_("₱"* "-"??_);_(@_)</c:formatCode>
                <c:ptCount val="2"/>
                <c:pt idx="0">
                  <c:v>1000</c:v>
                </c:pt>
                <c:pt idx="1">
                  <c:v>4000</c:v>
                </c:pt>
              </c:numCache>
            </c:numRef>
          </c:val>
          <c:extLst>
            <c:ext xmlns:c16="http://schemas.microsoft.com/office/drawing/2014/chart" uri="{C3380CC4-5D6E-409C-BE32-E72D297353CC}">
              <c16:uniqueId val="{00000004-A0EF-421F-97AA-881777A2D86C}"/>
            </c:ext>
          </c:extLst>
        </c:ser>
        <c:dLbls>
          <c:showLegendKey val="0"/>
          <c:showVal val="0"/>
          <c:showCatName val="0"/>
          <c:showSerName val="0"/>
          <c:showPercent val="0"/>
          <c:showBubbleSize val="0"/>
          <c:showLeaderLines val="0"/>
        </c:dLbls>
        <c:firstSliceAng val="180"/>
        <c:holeSize val="6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V$6" horiz="1" max="100" min="1" page="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1.xml"/><Relationship Id="rId18" Type="http://schemas.openxmlformats.org/officeDocument/2006/relationships/hyperlink" Target="#'Work Package'!A1"/><Relationship Id="rId26" Type="http://schemas.openxmlformats.org/officeDocument/2006/relationships/image" Target="../media/image9.png"/><Relationship Id="rId3" Type="http://schemas.openxmlformats.org/officeDocument/2006/relationships/chart" Target="../charts/chart3.xml"/><Relationship Id="rId21" Type="http://schemas.openxmlformats.org/officeDocument/2006/relationships/hyperlink" Target="#'Communication Plan'!A1"/><Relationship Id="rId7" Type="http://schemas.openxmlformats.org/officeDocument/2006/relationships/image" Target="../media/image1.png"/><Relationship Id="rId12" Type="http://schemas.openxmlformats.org/officeDocument/2006/relationships/chart" Target="../charts/chart10.xml"/><Relationship Id="rId17" Type="http://schemas.openxmlformats.org/officeDocument/2006/relationships/image" Target="../media/image6.png"/><Relationship Id="rId25" Type="http://schemas.openxmlformats.org/officeDocument/2006/relationships/image" Target="../media/image8.png"/><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hyperlink" Target="#'Risk and Issue Management'!A1"/><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png"/><Relationship Id="rId24" Type="http://schemas.openxmlformats.org/officeDocument/2006/relationships/image" Target="../media/image7.pn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hyperlink" Target="#'Project Team'!A1"/><Relationship Id="rId10" Type="http://schemas.openxmlformats.org/officeDocument/2006/relationships/chart" Target="../charts/chart9.xml"/><Relationship Id="rId19" Type="http://schemas.openxmlformats.org/officeDocument/2006/relationships/hyperlink" Target="#Report!A1"/><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image" Target="../media/image3.png"/><Relationship Id="rId22" Type="http://schemas.openxmlformats.org/officeDocument/2006/relationships/hyperlink" Target="#'Stakeholder Management'!A1"/></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xdr:col>
      <xdr:colOff>362883</xdr:colOff>
      <xdr:row>5</xdr:row>
      <xdr:rowOff>154279</xdr:rowOff>
    </xdr:from>
    <xdr:to>
      <xdr:col>17</xdr:col>
      <xdr:colOff>0</xdr:colOff>
      <xdr:row>61</xdr:row>
      <xdr:rowOff>150743</xdr:rowOff>
    </xdr:to>
    <xdr:grpSp>
      <xdr:nvGrpSpPr>
        <xdr:cNvPr id="2051" name="timelineGroup" hidden="1">
          <a:extLst>
            <a:ext uri="{FF2B5EF4-FFF2-40B4-BE49-F238E27FC236}">
              <a16:creationId xmlns:a16="http://schemas.microsoft.com/office/drawing/2014/main" id="{00000000-0008-0000-0100-000003080000}"/>
            </a:ext>
          </a:extLst>
        </xdr:cNvPr>
        <xdr:cNvGrpSpPr/>
      </xdr:nvGrpSpPr>
      <xdr:grpSpPr>
        <a:xfrm>
          <a:off x="972483" y="1619012"/>
          <a:ext cx="15181917" cy="10427398"/>
          <a:chOff x="1073528" y="1496292"/>
          <a:chExt cx="15159993" cy="10069532"/>
        </a:xfrm>
      </xdr:grpSpPr>
      <xdr:sp macro="" textlink="">
        <xdr:nvSpPr>
          <xdr:cNvPr id="132" name="Rectangle: Folded Corner 131" hidden="1">
            <a:extLst>
              <a:ext uri="{FF2B5EF4-FFF2-40B4-BE49-F238E27FC236}">
                <a16:creationId xmlns:a16="http://schemas.microsoft.com/office/drawing/2014/main" id="{00000000-0008-0000-0100-000084000000}"/>
              </a:ext>
            </a:extLst>
          </xdr:cNvPr>
          <xdr:cNvSpPr/>
        </xdr:nvSpPr>
        <xdr:spPr>
          <a:xfrm>
            <a:off x="1073528" y="1496292"/>
            <a:ext cx="15080872" cy="10069532"/>
          </a:xfrm>
          <a:prstGeom prst="foldedCorner">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72" name="Chart 71" hidden="1">
            <a:extLst>
              <a:ext uri="{FF2B5EF4-FFF2-40B4-BE49-F238E27FC236}">
                <a16:creationId xmlns:a16="http://schemas.microsoft.com/office/drawing/2014/main" id="{00000000-0008-0000-0100-000048000000}"/>
              </a:ext>
            </a:extLst>
          </xdr:cNvPr>
          <xdr:cNvGraphicFramePr>
            <a:graphicFrameLocks/>
          </xdr:cNvGraphicFramePr>
        </xdr:nvGraphicFramePr>
        <xdr:xfrm>
          <a:off x="1214636" y="1651564"/>
          <a:ext cx="8338856" cy="338087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02" name="Chart 101" hidden="1">
            <a:extLst>
              <a:ext uri="{FF2B5EF4-FFF2-40B4-BE49-F238E27FC236}">
                <a16:creationId xmlns:a16="http://schemas.microsoft.com/office/drawing/2014/main" id="{00000000-0008-0000-0100-000066000000}"/>
              </a:ext>
            </a:extLst>
          </xdr:cNvPr>
          <xdr:cNvGraphicFramePr>
            <a:graphicFrameLocks/>
          </xdr:cNvGraphicFramePr>
        </xdr:nvGraphicFramePr>
        <xdr:xfrm>
          <a:off x="1700847" y="4496624"/>
          <a:ext cx="14532674" cy="518508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xdr:col>
      <xdr:colOff>134256</xdr:colOff>
      <xdr:row>5</xdr:row>
      <xdr:rowOff>158212</xdr:rowOff>
    </xdr:from>
    <xdr:to>
      <xdr:col>16</xdr:col>
      <xdr:colOff>1600200</xdr:colOff>
      <xdr:row>38</xdr:row>
      <xdr:rowOff>171522</xdr:rowOff>
    </xdr:to>
    <xdr:grpSp>
      <xdr:nvGrpSpPr>
        <xdr:cNvPr id="2049" name="summaryGroup">
          <a:extLst>
            <a:ext uri="{FF2B5EF4-FFF2-40B4-BE49-F238E27FC236}">
              <a16:creationId xmlns:a16="http://schemas.microsoft.com/office/drawing/2014/main" id="{00000000-0008-0000-0100-000001080000}"/>
            </a:ext>
          </a:extLst>
        </xdr:cNvPr>
        <xdr:cNvGrpSpPr/>
      </xdr:nvGrpSpPr>
      <xdr:grpSpPr>
        <a:xfrm>
          <a:off x="743856" y="1622945"/>
          <a:ext cx="15275077" cy="6160110"/>
          <a:chOff x="870707" y="1611108"/>
          <a:chExt cx="15283692" cy="5977409"/>
        </a:xfrm>
      </xdr:grpSpPr>
      <xdr:sp macro="" textlink="">
        <xdr:nvSpPr>
          <xdr:cNvPr id="120" name="Rectangle: Folded Corner 119">
            <a:extLst>
              <a:ext uri="{FF2B5EF4-FFF2-40B4-BE49-F238E27FC236}">
                <a16:creationId xmlns:a16="http://schemas.microsoft.com/office/drawing/2014/main" id="{00000000-0008-0000-0100-000078000000}"/>
              </a:ext>
            </a:extLst>
          </xdr:cNvPr>
          <xdr:cNvSpPr/>
        </xdr:nvSpPr>
        <xdr:spPr>
          <a:xfrm>
            <a:off x="870707" y="1611108"/>
            <a:ext cx="15283692" cy="5977409"/>
          </a:xfrm>
          <a:prstGeom prst="foldedCorner">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71" name="Group 70">
            <a:extLst>
              <a:ext uri="{FF2B5EF4-FFF2-40B4-BE49-F238E27FC236}">
                <a16:creationId xmlns:a16="http://schemas.microsoft.com/office/drawing/2014/main" id="{00000000-0008-0000-0100-000047000000}"/>
              </a:ext>
            </a:extLst>
          </xdr:cNvPr>
          <xdr:cNvGrpSpPr/>
        </xdr:nvGrpSpPr>
        <xdr:grpSpPr>
          <a:xfrm>
            <a:off x="910758" y="1704384"/>
            <a:ext cx="5370547" cy="3062343"/>
            <a:chOff x="2329805" y="1162610"/>
            <a:chExt cx="5366187" cy="3048000"/>
          </a:xfrm>
        </xdr:grpSpPr>
        <xdr:grpSp>
          <xdr:nvGrpSpPr>
            <xdr:cNvPr id="49" name="Group 48">
              <a:extLst>
                <a:ext uri="{FF2B5EF4-FFF2-40B4-BE49-F238E27FC236}">
                  <a16:creationId xmlns:a16="http://schemas.microsoft.com/office/drawing/2014/main" id="{00000000-0008-0000-0100-000031000000}"/>
                </a:ext>
              </a:extLst>
            </xdr:cNvPr>
            <xdr:cNvGrpSpPr/>
          </xdr:nvGrpSpPr>
          <xdr:grpSpPr>
            <a:xfrm>
              <a:off x="2329805" y="1162610"/>
              <a:ext cx="5366187" cy="3048000"/>
              <a:chOff x="2329805" y="1162610"/>
              <a:chExt cx="5366187" cy="3048000"/>
            </a:xfrm>
          </xdr:grpSpPr>
          <xdr:grpSp>
            <xdr:nvGrpSpPr>
              <xdr:cNvPr id="26" name="Group 25">
                <a:extLst>
                  <a:ext uri="{FF2B5EF4-FFF2-40B4-BE49-F238E27FC236}">
                    <a16:creationId xmlns:a16="http://schemas.microsoft.com/office/drawing/2014/main" id="{00000000-0008-0000-0100-00001A000000}"/>
                  </a:ext>
                </a:extLst>
              </xdr:cNvPr>
              <xdr:cNvGrpSpPr/>
            </xdr:nvGrpSpPr>
            <xdr:grpSpPr>
              <a:xfrm>
                <a:off x="2329805" y="1162610"/>
                <a:ext cx="5366187" cy="3048000"/>
                <a:chOff x="2326470" y="885825"/>
                <a:chExt cx="5366769" cy="3076575"/>
              </a:xfrm>
            </xdr:grpSpPr>
            <xdr:grpSp>
              <xdr:nvGrpSpPr>
                <xdr:cNvPr id="35" name="Group 34">
                  <a:extLst>
                    <a:ext uri="{FF2B5EF4-FFF2-40B4-BE49-F238E27FC236}">
                      <a16:creationId xmlns:a16="http://schemas.microsoft.com/office/drawing/2014/main" id="{00000000-0008-0000-0100-000023000000}"/>
                    </a:ext>
                  </a:extLst>
                </xdr:cNvPr>
                <xdr:cNvGrpSpPr/>
              </xdr:nvGrpSpPr>
              <xdr:grpSpPr>
                <a:xfrm>
                  <a:off x="2523467" y="885825"/>
                  <a:ext cx="5169772" cy="2678430"/>
                  <a:chOff x="2433932" y="815340"/>
                  <a:chExt cx="5169772" cy="2705100"/>
                </a:xfrm>
              </xdr:grpSpPr>
              <xdr:sp macro="" textlink="">
                <xdr:nvSpPr>
                  <xdr:cNvPr id="17" name="Rectangle: Folded Corner 16">
                    <a:extLst>
                      <a:ext uri="{FF2B5EF4-FFF2-40B4-BE49-F238E27FC236}">
                        <a16:creationId xmlns:a16="http://schemas.microsoft.com/office/drawing/2014/main" id="{00000000-0008-0000-0100-000011000000}"/>
                      </a:ext>
                    </a:extLst>
                  </xdr:cNvPr>
                  <xdr:cNvSpPr/>
                </xdr:nvSpPr>
                <xdr:spPr>
                  <a:xfrm>
                    <a:off x="2433932" y="815340"/>
                    <a:ext cx="5169772" cy="2705100"/>
                  </a:xfrm>
                  <a:prstGeom prst="foldedCorner">
                    <a:avLst>
                      <a:gd name="adj" fmla="val 9831"/>
                    </a:avLst>
                  </a:prstGeom>
                  <a:solidFill>
                    <a:srgbClr val="161D2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21" name="Group 20">
                    <a:extLst>
                      <a:ext uri="{FF2B5EF4-FFF2-40B4-BE49-F238E27FC236}">
                        <a16:creationId xmlns:a16="http://schemas.microsoft.com/office/drawing/2014/main" id="{00000000-0008-0000-0100-000015000000}"/>
                      </a:ext>
                    </a:extLst>
                  </xdr:cNvPr>
                  <xdr:cNvGrpSpPr/>
                </xdr:nvGrpSpPr>
                <xdr:grpSpPr>
                  <a:xfrm>
                    <a:off x="2874714" y="1257300"/>
                    <a:ext cx="1706880" cy="1569404"/>
                    <a:chOff x="2596979" y="929640"/>
                    <a:chExt cx="1706880" cy="1569404"/>
                  </a:xfrm>
                </xdr:grpSpPr>
                <xdr:sp macro="" textlink="">
                  <xdr:nvSpPr>
                    <xdr:cNvPr id="20" name="Oval 19">
                      <a:extLst>
                        <a:ext uri="{FF2B5EF4-FFF2-40B4-BE49-F238E27FC236}">
                          <a16:creationId xmlns:a16="http://schemas.microsoft.com/office/drawing/2014/main" id="{00000000-0008-0000-0100-000014000000}"/>
                        </a:ext>
                      </a:extLst>
                    </xdr:cNvPr>
                    <xdr:cNvSpPr/>
                  </xdr:nvSpPr>
                  <xdr:spPr>
                    <a:xfrm>
                      <a:off x="2673179" y="929640"/>
                      <a:ext cx="1569404" cy="1569404"/>
                    </a:xfrm>
                    <a:prstGeom prst="ellipse">
                      <a:avLst/>
                    </a:prstGeom>
                    <a:noFill/>
                    <a:ln w="76200">
                      <a:solidFill>
                        <a:schemeClr val="bg2">
                          <a:alpha val="31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2596979" y="975360"/>
                    <a:ext cx="1706880" cy="1510238"/>
                  </xdr:xfrm>
                  <a:graphic>
                    <a:graphicData uri="http://schemas.openxmlformats.org/drawingml/2006/chart">
                      <c:chart xmlns:c="http://schemas.openxmlformats.org/drawingml/2006/chart" xmlns:r="http://schemas.openxmlformats.org/officeDocument/2006/relationships" r:id="rId3"/>
                    </a:graphicData>
                  </a:graphic>
                </xdr:graphicFrame>
                <xdr:sp macro="" textlink="'Project Data'!X6">
                  <xdr:nvSpPr>
                    <xdr:cNvPr id="19" name="TextBox 18">
                      <a:extLst>
                        <a:ext uri="{FF2B5EF4-FFF2-40B4-BE49-F238E27FC236}">
                          <a16:creationId xmlns:a16="http://schemas.microsoft.com/office/drawing/2014/main" id="{00000000-0008-0000-0100-000013000000}"/>
                        </a:ext>
                      </a:extLst>
                    </xdr:cNvPr>
                    <xdr:cNvSpPr txBox="1"/>
                  </xdr:nvSpPr>
                  <xdr:spPr>
                    <a:xfrm>
                      <a:off x="2788963" y="1326612"/>
                      <a:ext cx="1453935" cy="8679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7AA6925-A0E9-4ED2-8803-C9DAA6012AE2}" type="TxLink">
                        <a:rPr lang="en-US" sz="2400" b="1" i="0" u="none" strike="noStrike">
                          <a:solidFill>
                            <a:srgbClr val="00FAFA"/>
                          </a:solidFill>
                          <a:latin typeface="Arial"/>
                          <a:cs typeface="Arial"/>
                        </a:rPr>
                        <a:pPr algn="ctr"/>
                        <a:t>48%</a:t>
                      </a:fld>
                      <a:endParaRPr lang="en-PH" sz="3200" b="1">
                        <a:solidFill>
                          <a:srgbClr val="00FAFA"/>
                        </a:solidFill>
                      </a:endParaRPr>
                    </a:p>
                  </xdr:txBody>
                </xdr:sp>
              </xdr:grpSp>
              <xdr:sp macro="" textlink="projectStatus">
                <xdr:nvSpPr>
                  <xdr:cNvPr id="27" name="TextBox 26">
                    <a:extLst>
                      <a:ext uri="{FF2B5EF4-FFF2-40B4-BE49-F238E27FC236}">
                        <a16:creationId xmlns:a16="http://schemas.microsoft.com/office/drawing/2014/main" id="{00000000-0008-0000-0100-00001B000000}"/>
                      </a:ext>
                    </a:extLst>
                  </xdr:cNvPr>
                  <xdr:cNvSpPr txBox="1"/>
                </xdr:nvSpPr>
                <xdr:spPr>
                  <a:xfrm>
                    <a:off x="4692479" y="2175604"/>
                    <a:ext cx="2583180" cy="455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6F7A9FD-612F-4DFE-9F61-8FAFD6E1DB79}" type="TxLink">
                      <a:rPr lang="en-US" sz="2400" b="0" i="0" u="none" strike="noStrike">
                        <a:solidFill>
                          <a:schemeClr val="bg1"/>
                        </a:solidFill>
                        <a:latin typeface="Arial Rounded MT Bold" panose="020F0704030504030204" pitchFamily="34" charset="0"/>
                        <a:cs typeface="Calibri"/>
                      </a:rPr>
                      <a:pPr algn="ctr"/>
                      <a:t>DELAYED</a:t>
                    </a:fld>
                    <a:endParaRPr lang="en-PH" sz="2800" b="0">
                      <a:solidFill>
                        <a:schemeClr val="bg1"/>
                      </a:solidFill>
                      <a:latin typeface="Arial Rounded MT Bold" panose="020F0704030504030204" pitchFamily="34" charset="0"/>
                    </a:endParaRPr>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2473651" y="840199"/>
                    <a:ext cx="757986" cy="306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PH" sz="1400" b="1">
                        <a:solidFill>
                          <a:schemeClr val="tx2">
                            <a:lumMod val="20000"/>
                            <a:lumOff val="80000"/>
                          </a:schemeClr>
                        </a:solidFill>
                      </a:rPr>
                      <a:t>STATUS</a:t>
                    </a:r>
                    <a:endParaRPr lang="en-PH" sz="1400" b="1" baseline="0">
                      <a:solidFill>
                        <a:schemeClr val="tx2">
                          <a:lumMod val="20000"/>
                          <a:lumOff val="80000"/>
                        </a:schemeClr>
                      </a:solidFill>
                    </a:endParaRPr>
                  </a:p>
                </xdr:txBody>
              </xdr:sp>
            </xdr:grpSp>
            <xdr:graphicFrame macro="">
              <xdr:nvGraphicFramePr>
                <xdr:cNvPr id="48" name="Chart 47" title="dfdf">
                  <a:extLst>
                    <a:ext uri="{FF2B5EF4-FFF2-40B4-BE49-F238E27FC236}">
                      <a16:creationId xmlns:a16="http://schemas.microsoft.com/office/drawing/2014/main" id="{00000000-0008-0000-0100-000030000000}"/>
                    </a:ext>
                  </a:extLst>
                </xdr:cNvPr>
                <xdr:cNvGraphicFramePr>
                  <a:graphicFrameLocks/>
                </xdr:cNvGraphicFramePr>
              </xdr:nvGraphicFramePr>
              <xdr:xfrm>
                <a:off x="2326470" y="2884170"/>
                <a:ext cx="5343880" cy="1078230"/>
              </xdr:xfrm>
              <a:graphic>
                <a:graphicData uri="http://schemas.openxmlformats.org/drawingml/2006/chart">
                  <c:chart xmlns:c="http://schemas.openxmlformats.org/drawingml/2006/chart" xmlns:r="http://schemas.openxmlformats.org/officeDocument/2006/relationships" r:id="rId4"/>
                </a:graphicData>
              </a:graphic>
            </xdr:graphicFrame>
          </xdr:grpSp>
          <xdr:graphicFrame macro="">
            <xdr:nvGraphicFramePr>
              <xdr:cNvPr id="70" name="Chart 69">
                <a:extLst>
                  <a:ext uri="{FF2B5EF4-FFF2-40B4-BE49-F238E27FC236}">
                    <a16:creationId xmlns:a16="http://schemas.microsoft.com/office/drawing/2014/main" id="{00000000-0008-0000-0100-000046000000}"/>
                  </a:ext>
                </a:extLst>
              </xdr:cNvPr>
              <xdr:cNvGraphicFramePr>
                <a:graphicFrameLocks/>
              </xdr:cNvGraphicFramePr>
            </xdr:nvGraphicFramePr>
            <xdr:xfrm>
              <a:off x="4938789" y="2031574"/>
              <a:ext cx="2551098" cy="188262"/>
            </xdr:xfrm>
            <a:graphic>
              <a:graphicData uri="http://schemas.openxmlformats.org/drawingml/2006/chart">
                <c:chart xmlns:c="http://schemas.openxmlformats.org/drawingml/2006/chart" xmlns:r="http://schemas.openxmlformats.org/officeDocument/2006/relationships" r:id="rId5"/>
              </a:graphicData>
            </a:graphic>
          </xdr:graphicFrame>
        </xdr:grpSp>
        <xdr:grpSp>
          <xdr:nvGrpSpPr>
            <xdr:cNvPr id="63" name="Group 62">
              <a:extLst>
                <a:ext uri="{FF2B5EF4-FFF2-40B4-BE49-F238E27FC236}">
                  <a16:creationId xmlns:a16="http://schemas.microsoft.com/office/drawing/2014/main" id="{00000000-0008-0000-0100-00003F000000}"/>
                </a:ext>
              </a:extLst>
            </xdr:cNvPr>
            <xdr:cNvGrpSpPr/>
          </xdr:nvGrpSpPr>
          <xdr:grpSpPr>
            <a:xfrm>
              <a:off x="4833646" y="1336189"/>
              <a:ext cx="2604082" cy="686697"/>
              <a:chOff x="4833646" y="1336189"/>
              <a:chExt cx="2604082" cy="686697"/>
            </a:xfrm>
          </xdr:grpSpPr>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4833646" y="1336189"/>
                <a:ext cx="677044" cy="210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bg2">
                        <a:lumMod val="50000"/>
                      </a:schemeClr>
                    </a:solidFill>
                  </a:rPr>
                  <a:t>Started:</a:t>
                </a:r>
                <a:r>
                  <a:rPr lang="en-PH" sz="1200" b="1" baseline="0">
                    <a:solidFill>
                      <a:schemeClr val="bg2">
                        <a:lumMod val="50000"/>
                      </a:schemeClr>
                    </a:solidFill>
                  </a:rPr>
                  <a:t> </a:t>
                </a:r>
                <a:endParaRPr lang="en-PH" sz="1200" b="1">
                  <a:solidFill>
                    <a:schemeClr val="bg2">
                      <a:lumMod val="50000"/>
                    </a:schemeClr>
                  </a:solidFill>
                </a:endParaRPr>
              </a:p>
            </xdr:txBody>
          </xdr:sp>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4833646" y="1568824"/>
                <a:ext cx="1411045" cy="2519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r"/>
                <a:r>
                  <a:rPr lang="en-PH" sz="1200" b="1">
                    <a:solidFill>
                      <a:schemeClr val="bg2">
                        <a:lumMod val="50000"/>
                      </a:schemeClr>
                    </a:solidFill>
                  </a:rPr>
                  <a:t>Expected</a:t>
                </a:r>
                <a:r>
                  <a:rPr lang="en-PH" sz="1200" b="1" baseline="0">
                    <a:solidFill>
                      <a:schemeClr val="bg2">
                        <a:lumMod val="50000"/>
                      </a:schemeClr>
                    </a:solidFill>
                  </a:rPr>
                  <a:t> End Date:</a:t>
                </a:r>
                <a:endParaRPr lang="en-PH" sz="1200" b="1">
                  <a:solidFill>
                    <a:schemeClr val="bg2">
                      <a:lumMod val="50000"/>
                    </a:schemeClr>
                  </a:solidFill>
                </a:endParaRPr>
              </a:p>
            </xdr:txBody>
          </xdr:sp>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4833646" y="1770978"/>
                <a:ext cx="1411045" cy="2519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PH" sz="1200" b="1">
                    <a:solidFill>
                      <a:schemeClr val="bg2">
                        <a:lumMod val="50000"/>
                      </a:schemeClr>
                    </a:solidFill>
                  </a:rPr>
                  <a:t>Days Passed:</a:t>
                </a:r>
              </a:p>
            </xdr:txBody>
          </xdr:sp>
          <xdr:sp macro="" textlink="'Project Data'!B6">
            <xdr:nvSpPr>
              <xdr:cNvPr id="40" name="TextBox 39">
                <a:extLst>
                  <a:ext uri="{FF2B5EF4-FFF2-40B4-BE49-F238E27FC236}">
                    <a16:creationId xmlns:a16="http://schemas.microsoft.com/office/drawing/2014/main" id="{00000000-0008-0000-0100-000028000000}"/>
                  </a:ext>
                </a:extLst>
              </xdr:cNvPr>
              <xdr:cNvSpPr txBox="1"/>
            </xdr:nvSpPr>
            <xdr:spPr>
              <a:xfrm>
                <a:off x="6719163" y="1336189"/>
                <a:ext cx="679284" cy="210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85C81FAA-A6A0-486D-8B08-310C09B867F6}" type="TxLink">
                  <a:rPr lang="en-US" sz="1100" b="0" i="0" u="none" strike="noStrike" baseline="0">
                    <a:solidFill>
                      <a:schemeClr val="bg1"/>
                    </a:solidFill>
                    <a:latin typeface="Calibri"/>
                    <a:cs typeface="Calibri"/>
                  </a:rPr>
                  <a:pPr/>
                  <a:t>19-Feb-22</a:t>
                </a:fld>
                <a:endParaRPr lang="en-PH" sz="1200" b="0">
                  <a:solidFill>
                    <a:schemeClr val="bg1"/>
                  </a:solidFill>
                </a:endParaRPr>
              </a:p>
            </xdr:txBody>
          </xdr:sp>
          <xdr:sp macro="" textlink="'Project Data'!B7">
            <xdr:nvSpPr>
              <xdr:cNvPr id="41" name="TextBox 40">
                <a:extLst>
                  <a:ext uri="{FF2B5EF4-FFF2-40B4-BE49-F238E27FC236}">
                    <a16:creationId xmlns:a16="http://schemas.microsoft.com/office/drawing/2014/main" id="{00000000-0008-0000-0100-000029000000}"/>
                  </a:ext>
                </a:extLst>
              </xdr:cNvPr>
              <xdr:cNvSpPr txBox="1"/>
            </xdr:nvSpPr>
            <xdr:spPr>
              <a:xfrm>
                <a:off x="6719164" y="1610415"/>
                <a:ext cx="679284" cy="210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fld id="{DFE577BE-907F-4BE3-A822-71CBC040DAF1}" type="TxLink">
                  <a:rPr lang="en-US" sz="1100" b="0" i="0" u="none" strike="noStrike" baseline="0">
                    <a:solidFill>
                      <a:schemeClr val="bg1"/>
                    </a:solidFill>
                    <a:latin typeface="Calibri"/>
                    <a:cs typeface="Calibri"/>
                  </a:rPr>
                  <a:pPr/>
                  <a:t>13-Feb-22</a:t>
                </a:fld>
                <a:endParaRPr lang="en-PH" sz="1200" b="0">
                  <a:solidFill>
                    <a:schemeClr val="bg1"/>
                  </a:solidFill>
                </a:endParaRPr>
              </a:p>
            </xdr:txBody>
          </xdr:sp>
          <xdr:sp macro="" textlink="daysSinceStart">
            <xdr:nvSpPr>
              <xdr:cNvPr id="42" name="TextBox 41">
                <a:extLst>
                  <a:ext uri="{FF2B5EF4-FFF2-40B4-BE49-F238E27FC236}">
                    <a16:creationId xmlns:a16="http://schemas.microsoft.com/office/drawing/2014/main" id="{00000000-0008-0000-0100-00002A000000}"/>
                  </a:ext>
                </a:extLst>
              </xdr:cNvPr>
              <xdr:cNvSpPr txBox="1"/>
            </xdr:nvSpPr>
            <xdr:spPr>
              <a:xfrm>
                <a:off x="6786891" y="1782632"/>
                <a:ext cx="650837" cy="2250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fld id="{FC14471C-59C5-4B28-88FE-2822C0998446}" type="TxLink">
                  <a:rPr lang="en-US" sz="1200" b="1" i="0" u="none" strike="noStrike">
                    <a:solidFill>
                      <a:schemeClr val="bg1"/>
                    </a:solidFill>
                    <a:latin typeface="Calibri"/>
                    <a:cs typeface="Calibri"/>
                  </a:rPr>
                  <a:pPr algn="r"/>
                  <a:t>7</a:t>
                </a:fld>
                <a:endParaRPr lang="en-PH" sz="1400" b="1">
                  <a:solidFill>
                    <a:schemeClr val="bg1"/>
                  </a:solidFill>
                </a:endParaRPr>
              </a:p>
            </xdr:txBody>
          </xdr:sp>
        </xdr:grpSp>
      </xdr:grpSp>
      <xdr:grpSp>
        <xdr:nvGrpSpPr>
          <xdr:cNvPr id="54" name="Group 53">
            <a:extLst>
              <a:ext uri="{FF2B5EF4-FFF2-40B4-BE49-F238E27FC236}">
                <a16:creationId xmlns:a16="http://schemas.microsoft.com/office/drawing/2014/main" id="{00000000-0008-0000-0100-000036000000}"/>
              </a:ext>
            </a:extLst>
          </xdr:cNvPr>
          <xdr:cNvGrpSpPr/>
        </xdr:nvGrpSpPr>
        <xdr:grpSpPr>
          <a:xfrm>
            <a:off x="13041863" y="1717860"/>
            <a:ext cx="2917180" cy="2674052"/>
            <a:chOff x="13392748" y="1740525"/>
            <a:chExt cx="2915709" cy="2661596"/>
          </a:xfrm>
        </xdr:grpSpPr>
        <xdr:grpSp>
          <xdr:nvGrpSpPr>
            <xdr:cNvPr id="24" name="Group 23">
              <a:extLst>
                <a:ext uri="{FF2B5EF4-FFF2-40B4-BE49-F238E27FC236}">
                  <a16:creationId xmlns:a16="http://schemas.microsoft.com/office/drawing/2014/main" id="{00000000-0008-0000-0100-000018000000}"/>
                </a:ext>
              </a:extLst>
            </xdr:cNvPr>
            <xdr:cNvGrpSpPr/>
          </xdr:nvGrpSpPr>
          <xdr:grpSpPr>
            <a:xfrm>
              <a:off x="13485022" y="1740525"/>
              <a:ext cx="2823435" cy="2661596"/>
              <a:chOff x="7752790" y="908526"/>
              <a:chExt cx="2815590" cy="2686050"/>
            </a:xfrm>
          </xdr:grpSpPr>
          <xdr:grpSp>
            <xdr:nvGrpSpPr>
              <xdr:cNvPr id="30" name="Group 29">
                <a:extLst>
                  <a:ext uri="{FF2B5EF4-FFF2-40B4-BE49-F238E27FC236}">
                    <a16:creationId xmlns:a16="http://schemas.microsoft.com/office/drawing/2014/main" id="{00000000-0008-0000-0100-00001E000000}"/>
                  </a:ext>
                </a:extLst>
              </xdr:cNvPr>
              <xdr:cNvGrpSpPr/>
            </xdr:nvGrpSpPr>
            <xdr:grpSpPr>
              <a:xfrm>
                <a:off x="7752790" y="908526"/>
                <a:ext cx="2815590" cy="2686050"/>
                <a:chOff x="5227418" y="850251"/>
                <a:chExt cx="2232660" cy="3503653"/>
              </a:xfrm>
              <a:solidFill>
                <a:srgbClr val="000000">
                  <a:alpha val="30196"/>
                </a:srgbClr>
              </a:solidFill>
            </xdr:grpSpPr>
            <xdr:sp macro="" textlink="">
              <xdr:nvSpPr>
                <xdr:cNvPr id="28" name="Rectangle: Folded Corner 27">
                  <a:extLst>
                    <a:ext uri="{FF2B5EF4-FFF2-40B4-BE49-F238E27FC236}">
                      <a16:creationId xmlns:a16="http://schemas.microsoft.com/office/drawing/2014/main" id="{00000000-0008-0000-0100-00001C000000}"/>
                    </a:ext>
                  </a:extLst>
                </xdr:cNvPr>
                <xdr:cNvSpPr/>
              </xdr:nvSpPr>
              <xdr:spPr>
                <a:xfrm>
                  <a:off x="5227418" y="850251"/>
                  <a:ext cx="2232660" cy="3503653"/>
                </a:xfrm>
                <a:prstGeom prst="foldedCorner">
                  <a:avLst>
                    <a:gd name="adj" fmla="val 7137"/>
                  </a:avLst>
                </a:prstGeom>
                <a:solidFill>
                  <a:schemeClr val="tx2">
                    <a:lumMod val="75000"/>
                    <a:alpha val="47059"/>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5493622" y="860934"/>
                  <a:ext cx="963654" cy="4398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PH" sz="1600" b="1">
                      <a:solidFill>
                        <a:schemeClr val="tx2">
                          <a:lumMod val="20000"/>
                          <a:lumOff val="80000"/>
                        </a:schemeClr>
                      </a:solidFill>
                    </a:rPr>
                    <a:t>BUDGETING</a:t>
                  </a:r>
                </a:p>
              </xdr:txBody>
            </xdr:sp>
          </xdr:grpSp>
          <xdr:graphicFrame macro="">
            <xdr:nvGraphicFramePr>
              <xdr:cNvPr id="47" name="Chart 10">
                <a:extLst>
                  <a:ext uri="{FF2B5EF4-FFF2-40B4-BE49-F238E27FC236}">
                    <a16:creationId xmlns:a16="http://schemas.microsoft.com/office/drawing/2014/main" id="{00000000-0008-0000-0100-00002F000000}"/>
                  </a:ext>
                </a:extLst>
              </xdr:cNvPr>
              <xdr:cNvGraphicFramePr>
                <a:graphicFrameLocks/>
              </xdr:cNvGraphicFramePr>
            </xdr:nvGraphicFramePr>
            <xdr:xfrm>
              <a:off x="8654532" y="936937"/>
              <a:ext cx="1832311" cy="1394066"/>
            </xdr:xfrm>
            <a:graphic>
              <a:graphicData uri="http://schemas.openxmlformats.org/drawingml/2006/chart">
                <c:chart xmlns:c="http://schemas.openxmlformats.org/drawingml/2006/chart" xmlns:r="http://schemas.openxmlformats.org/officeDocument/2006/relationships" r:id="rId6"/>
              </a:graphicData>
            </a:graphic>
          </xdr:graphicFrame>
        </xdr:grpSp>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13570760" y="1869657"/>
              <a:ext cx="278524" cy="272430"/>
            </a:xfrm>
            <a:prstGeom prst="rect">
              <a:avLst/>
            </a:prstGeom>
          </xdr:spPr>
        </xdr:pic>
        <xdr:grpSp>
          <xdr:nvGrpSpPr>
            <xdr:cNvPr id="51" name="Group 50">
              <a:extLst>
                <a:ext uri="{FF2B5EF4-FFF2-40B4-BE49-F238E27FC236}">
                  <a16:creationId xmlns:a16="http://schemas.microsoft.com/office/drawing/2014/main" id="{00000000-0008-0000-0100-000033000000}"/>
                </a:ext>
              </a:extLst>
            </xdr:cNvPr>
            <xdr:cNvGrpSpPr/>
          </xdr:nvGrpSpPr>
          <xdr:grpSpPr>
            <a:xfrm>
              <a:off x="13652780" y="2477874"/>
              <a:ext cx="1187268" cy="593917"/>
              <a:chOff x="12847371" y="1928613"/>
              <a:chExt cx="1190731" cy="603571"/>
            </a:xfrm>
          </xdr:grpSpPr>
          <xdr:sp macro="" textlink="">
            <xdr:nvSpPr>
              <xdr:cNvPr id="62" name="TextBox 1">
                <a:extLst>
                  <a:ext uri="{FF2B5EF4-FFF2-40B4-BE49-F238E27FC236}">
                    <a16:creationId xmlns:a16="http://schemas.microsoft.com/office/drawing/2014/main" id="{00000000-0008-0000-0100-00003E000000}"/>
                  </a:ext>
                </a:extLst>
              </xdr:cNvPr>
              <xdr:cNvSpPr txBox="1"/>
            </xdr:nvSpPr>
            <xdr:spPr>
              <a:xfrm>
                <a:off x="12931991" y="1928613"/>
                <a:ext cx="1106111" cy="334596"/>
              </a:xfrm>
              <a:prstGeom prst="rect">
                <a:avLst/>
              </a:prstGeom>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3600" b="1" i="0" u="none" strike="noStrike">
                    <a:solidFill>
                      <a:schemeClr val="bg1">
                        <a:lumMod val="95000"/>
                      </a:schemeClr>
                    </a:solidFill>
                    <a:latin typeface="Calibri"/>
                    <a:cs typeface="Calibri"/>
                  </a:rPr>
                  <a:t>20%</a:t>
                </a:r>
                <a:endParaRPr lang="en-AU" sz="8800" b="1">
                  <a:solidFill>
                    <a:schemeClr val="bg1">
                      <a:lumMod val="95000"/>
                    </a:schemeClr>
                  </a:solidFill>
                </a:endParaRPr>
              </a:p>
            </xdr:txBody>
          </xdr:sp>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12847371" y="2285999"/>
                <a:ext cx="1066800" cy="2461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PH" sz="1000" b="1">
                    <a:solidFill>
                      <a:schemeClr val="tx2">
                        <a:lumMod val="20000"/>
                        <a:lumOff val="80000"/>
                      </a:schemeClr>
                    </a:solidFill>
                  </a:rPr>
                  <a:t>of budget</a:t>
                </a:r>
                <a:r>
                  <a:rPr lang="en-PH" sz="1000" b="1" baseline="0">
                    <a:solidFill>
                      <a:schemeClr val="tx2">
                        <a:lumMod val="20000"/>
                        <a:lumOff val="80000"/>
                      </a:schemeClr>
                    </a:solidFill>
                  </a:rPr>
                  <a:t> is spent</a:t>
                </a:r>
                <a:endParaRPr lang="en-PH" sz="1000" b="1">
                  <a:solidFill>
                    <a:schemeClr val="tx2">
                      <a:lumMod val="20000"/>
                      <a:lumOff val="80000"/>
                    </a:schemeClr>
                  </a:solidFill>
                </a:endParaRPr>
              </a:p>
            </xdr:txBody>
          </xdr:sp>
        </xdr:grpSp>
        <xdr:sp macro="" textlink="'Project Data'!AB3">
          <xdr:nvSpPr>
            <xdr:cNvPr id="65" name="TextBox 1">
              <a:extLst>
                <a:ext uri="{FF2B5EF4-FFF2-40B4-BE49-F238E27FC236}">
                  <a16:creationId xmlns:a16="http://schemas.microsoft.com/office/drawing/2014/main" id="{00000000-0008-0000-0100-000041000000}"/>
                </a:ext>
              </a:extLst>
            </xdr:cNvPr>
            <xdr:cNvSpPr txBox="1"/>
          </xdr:nvSpPr>
          <xdr:spPr>
            <a:xfrm>
              <a:off x="13477401" y="3473914"/>
              <a:ext cx="2754660" cy="329768"/>
            </a:xfrm>
            <a:prstGeom prst="rect">
              <a:avLst/>
            </a:prstGeom>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498068DE-E1B7-478E-B815-F8901AC41800}" type="TxLink">
                <a:rPr lang="en-US" sz="2400" b="1" i="0" u="none" strike="noStrike">
                  <a:solidFill>
                    <a:schemeClr val="accent4">
                      <a:lumMod val="75000"/>
                    </a:schemeClr>
                  </a:solidFill>
                  <a:latin typeface="Arial"/>
                  <a:cs typeface="Arial"/>
                </a:rPr>
                <a:pPr algn="ctr"/>
                <a:t> ₱4,000.00 </a:t>
              </a:fld>
              <a:endParaRPr lang="en-AU" sz="28700" b="1">
                <a:solidFill>
                  <a:schemeClr val="accent4">
                    <a:lumMod val="75000"/>
                  </a:schemeClr>
                </a:solidFill>
              </a:endParaRPr>
            </a:p>
          </xdr:txBody>
        </xdr:sp>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4136269" y="3783105"/>
              <a:ext cx="1376667" cy="199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PH" sz="900" b="1">
                  <a:solidFill>
                    <a:schemeClr val="tx2">
                      <a:lumMod val="20000"/>
                      <a:lumOff val="80000"/>
                    </a:schemeClr>
                  </a:solidFill>
                </a:rPr>
                <a:t>remaining out of allocated</a:t>
              </a:r>
            </a:p>
          </xdr:txBody>
        </xdr:sp>
        <xdr:sp macro="" textlink="'Project Data'!Z3">
          <xdr:nvSpPr>
            <xdr:cNvPr id="67" name="TextBox 1">
              <a:extLst>
                <a:ext uri="{FF2B5EF4-FFF2-40B4-BE49-F238E27FC236}">
                  <a16:creationId xmlns:a16="http://schemas.microsoft.com/office/drawing/2014/main" id="{00000000-0008-0000-0100-000043000000}"/>
                </a:ext>
              </a:extLst>
            </xdr:cNvPr>
            <xdr:cNvSpPr txBox="1"/>
          </xdr:nvSpPr>
          <xdr:spPr>
            <a:xfrm>
              <a:off x="13392748" y="3965922"/>
              <a:ext cx="2845788" cy="336006"/>
            </a:xfrm>
            <a:prstGeom prst="rect">
              <a:avLst/>
            </a:prstGeom>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7D7095E5-8F7B-4F95-97C5-D3B13297D9D8}" type="TxLink">
                <a:rPr lang="en-US" sz="1100" b="0" i="0" u="none" strike="noStrike">
                  <a:solidFill>
                    <a:schemeClr val="bg2">
                      <a:lumMod val="75000"/>
                    </a:schemeClr>
                  </a:solidFill>
                  <a:latin typeface="Arial"/>
                  <a:cs typeface="Arial"/>
                </a:rPr>
                <a:pPr algn="ctr"/>
                <a:t> ₱5,000.00 </a:t>
              </a:fld>
              <a:endParaRPr lang="en-AU" sz="13800" b="1">
                <a:solidFill>
                  <a:schemeClr val="bg2">
                    <a:lumMod val="75000"/>
                  </a:schemeClr>
                </a:solidFill>
              </a:endParaRPr>
            </a:p>
          </xdr:txBody>
        </xdr:sp>
      </xdr:grpSp>
      <xdr:grpSp>
        <xdr:nvGrpSpPr>
          <xdr:cNvPr id="96" name="Group 95">
            <a:extLst>
              <a:ext uri="{FF2B5EF4-FFF2-40B4-BE49-F238E27FC236}">
                <a16:creationId xmlns:a16="http://schemas.microsoft.com/office/drawing/2014/main" id="{00000000-0008-0000-0100-000060000000}"/>
              </a:ext>
            </a:extLst>
          </xdr:cNvPr>
          <xdr:cNvGrpSpPr/>
        </xdr:nvGrpSpPr>
        <xdr:grpSpPr>
          <a:xfrm>
            <a:off x="6420108" y="1734735"/>
            <a:ext cx="6582505" cy="2647849"/>
            <a:chOff x="5610470" y="1694603"/>
            <a:chExt cx="6577853" cy="2635350"/>
          </a:xfrm>
        </xdr:grpSpPr>
        <xdr:grpSp>
          <xdr:nvGrpSpPr>
            <xdr:cNvPr id="53" name="Group 52">
              <a:extLst>
                <a:ext uri="{FF2B5EF4-FFF2-40B4-BE49-F238E27FC236}">
                  <a16:creationId xmlns:a16="http://schemas.microsoft.com/office/drawing/2014/main" id="{00000000-0008-0000-0100-000035000000}"/>
                </a:ext>
              </a:extLst>
            </xdr:cNvPr>
            <xdr:cNvGrpSpPr/>
          </xdr:nvGrpSpPr>
          <xdr:grpSpPr>
            <a:xfrm>
              <a:off x="5610470" y="1694603"/>
              <a:ext cx="6577853" cy="2620784"/>
              <a:chOff x="7663388" y="1183614"/>
              <a:chExt cx="6577853" cy="2620784"/>
            </a:xfrm>
          </xdr:grpSpPr>
          <xdr:grpSp>
            <xdr:nvGrpSpPr>
              <xdr:cNvPr id="23" name="Group 22">
                <a:extLst>
                  <a:ext uri="{FF2B5EF4-FFF2-40B4-BE49-F238E27FC236}">
                    <a16:creationId xmlns:a16="http://schemas.microsoft.com/office/drawing/2014/main" id="{00000000-0008-0000-0100-000017000000}"/>
                  </a:ext>
                </a:extLst>
              </xdr:cNvPr>
              <xdr:cNvGrpSpPr/>
            </xdr:nvGrpSpPr>
            <xdr:grpSpPr>
              <a:xfrm>
                <a:off x="7663388" y="1183614"/>
                <a:ext cx="6577853" cy="2620784"/>
                <a:chOff x="2575167" y="3650234"/>
                <a:chExt cx="6574141" cy="2478153"/>
              </a:xfrm>
            </xdr:grpSpPr>
            <xdr:grpSp>
              <xdr:nvGrpSpPr>
                <xdr:cNvPr id="31" name="Group 30">
                  <a:extLst>
                    <a:ext uri="{FF2B5EF4-FFF2-40B4-BE49-F238E27FC236}">
                      <a16:creationId xmlns:a16="http://schemas.microsoft.com/office/drawing/2014/main" id="{00000000-0008-0000-0100-00001F000000}"/>
                    </a:ext>
                  </a:extLst>
                </xdr:cNvPr>
                <xdr:cNvGrpSpPr/>
              </xdr:nvGrpSpPr>
              <xdr:grpSpPr>
                <a:xfrm>
                  <a:off x="2582787" y="3650234"/>
                  <a:ext cx="6566521" cy="2478153"/>
                  <a:chOff x="5384338" y="826693"/>
                  <a:chExt cx="8558499" cy="2708988"/>
                </a:xfrm>
                <a:solidFill>
                  <a:schemeClr val="tx1">
                    <a:lumMod val="50000"/>
                    <a:lumOff val="50000"/>
                    <a:alpha val="14118"/>
                  </a:schemeClr>
                </a:solidFill>
              </xdr:grpSpPr>
              <xdr:sp macro="" textlink="">
                <xdr:nvSpPr>
                  <xdr:cNvPr id="32" name="Rectangle: Folded Corner 31">
                    <a:extLst>
                      <a:ext uri="{FF2B5EF4-FFF2-40B4-BE49-F238E27FC236}">
                        <a16:creationId xmlns:a16="http://schemas.microsoft.com/office/drawing/2014/main" id="{00000000-0008-0000-0100-000020000000}"/>
                      </a:ext>
                    </a:extLst>
                  </xdr:cNvPr>
                  <xdr:cNvSpPr/>
                </xdr:nvSpPr>
                <xdr:spPr>
                  <a:xfrm>
                    <a:off x="5384338" y="830580"/>
                    <a:ext cx="8558499" cy="2705101"/>
                  </a:xfrm>
                  <a:prstGeom prst="foldedCorner">
                    <a:avLst>
                      <a:gd name="adj" fmla="val 983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5911034" y="826693"/>
                    <a:ext cx="3008179" cy="354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PH" sz="1600" b="1">
                        <a:solidFill>
                          <a:schemeClr val="tx2">
                            <a:lumMod val="20000"/>
                            <a:lumOff val="80000"/>
                          </a:schemeClr>
                        </a:solidFill>
                      </a:rPr>
                      <a:t>PROJECT HEALTH</a:t>
                    </a:r>
                  </a:p>
                </xdr:txBody>
              </xdr:sp>
            </xdr:grpSp>
            <xdr:grpSp>
              <xdr:nvGrpSpPr>
                <xdr:cNvPr id="16" name="Group 15">
                  <a:extLst>
                    <a:ext uri="{FF2B5EF4-FFF2-40B4-BE49-F238E27FC236}">
                      <a16:creationId xmlns:a16="http://schemas.microsoft.com/office/drawing/2014/main" id="{00000000-0008-0000-0100-000010000000}"/>
                    </a:ext>
                  </a:extLst>
                </xdr:cNvPr>
                <xdr:cNvGrpSpPr/>
              </xdr:nvGrpSpPr>
              <xdr:grpSpPr>
                <a:xfrm>
                  <a:off x="2575167" y="4069080"/>
                  <a:ext cx="1752600" cy="1935650"/>
                  <a:chOff x="2728791" y="4168140"/>
                  <a:chExt cx="2423160" cy="1956605"/>
                </a:xfrm>
              </xdr:grpSpPr>
              <xdr:grpSp>
                <xdr:nvGrpSpPr>
                  <xdr:cNvPr id="2" name="Group 1">
                    <a:extLst>
                      <a:ext uri="{FF2B5EF4-FFF2-40B4-BE49-F238E27FC236}">
                        <a16:creationId xmlns:a16="http://schemas.microsoft.com/office/drawing/2014/main" id="{00000000-0008-0000-0100-000002000000}"/>
                      </a:ext>
                    </a:extLst>
                  </xdr:cNvPr>
                  <xdr:cNvGrpSpPr/>
                </xdr:nvGrpSpPr>
                <xdr:grpSpPr>
                  <a:xfrm>
                    <a:off x="2728791" y="4168140"/>
                    <a:ext cx="2423160" cy="1710000"/>
                    <a:chOff x="2584011" y="3970020"/>
                    <a:chExt cx="2423160" cy="1710000"/>
                  </a:xfrm>
                </xdr:grpSpPr>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2584011" y="3970020"/>
                    <a:ext cx="2423160" cy="1710000"/>
                  </xdr:xfrm>
                  <a:graphic>
                    <a:graphicData uri="http://schemas.openxmlformats.org/drawingml/2006/chart">
                      <c:chart xmlns:c="http://schemas.openxmlformats.org/drawingml/2006/chart" xmlns:r="http://schemas.openxmlformats.org/officeDocument/2006/relationships" r:id="rId8"/>
                    </a:graphicData>
                  </a:graphic>
                </xdr:graphicFrame>
                <xdr:sp macro="" textlink="'Project Data'!AH3">
                  <xdr:nvSpPr>
                    <xdr:cNvPr id="57" name="TextBox 56">
                      <a:extLst>
                        <a:ext uri="{FF2B5EF4-FFF2-40B4-BE49-F238E27FC236}">
                          <a16:creationId xmlns:a16="http://schemas.microsoft.com/office/drawing/2014/main" id="{00000000-0008-0000-0100-000039000000}"/>
                        </a:ext>
                      </a:extLst>
                    </xdr:cNvPr>
                    <xdr:cNvSpPr txBox="1"/>
                  </xdr:nvSpPr>
                  <xdr:spPr>
                    <a:xfrm>
                      <a:off x="3525081" y="4695480"/>
                      <a:ext cx="54102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1ACABEB7-8D33-4950-93FC-A17EB2A3B39E}" type="TxLink">
                        <a:rPr lang="en-US" sz="1800" b="1" i="0" u="none" strike="noStrike" cap="none" spc="50">
                          <a:ln w="9525" cmpd="sng">
                            <a:solidFill>
                              <a:schemeClr val="accent2"/>
                            </a:solidFill>
                            <a:prstDash val="solid"/>
                          </a:ln>
                          <a:solidFill>
                            <a:srgbClr val="70AD47">
                              <a:tint val="1000"/>
                            </a:srgbClr>
                          </a:solidFill>
                          <a:effectLst>
                            <a:glow rad="38100">
                              <a:schemeClr val="accent1">
                                <a:alpha val="40000"/>
                              </a:schemeClr>
                            </a:glow>
                          </a:effectLst>
                          <a:latin typeface="Calibri"/>
                          <a:cs typeface="Calibri"/>
                        </a:rPr>
                        <a:pPr algn="ctr"/>
                        <a:t>15</a:t>
                      </a:fld>
                      <a:endParaRPr lang="en-PH" sz="1800" b="1" cap="none" spc="50">
                        <a:ln w="9525" cmpd="sng">
                          <a:solidFill>
                            <a:schemeClr val="accent2"/>
                          </a:solidFill>
                          <a:prstDash val="solid"/>
                        </a:ln>
                        <a:solidFill>
                          <a:srgbClr val="70AD47">
                            <a:tint val="1000"/>
                          </a:srgbClr>
                        </a:solidFill>
                        <a:effectLst>
                          <a:glow rad="38100">
                            <a:schemeClr val="accent1">
                              <a:alpha val="40000"/>
                            </a:schemeClr>
                          </a:glow>
                        </a:effectLst>
                      </a:endParaRPr>
                    </a:p>
                  </xdr:txBody>
                </xdr:sp>
              </xdr:grpSp>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3602298" y="5844540"/>
                    <a:ext cx="67614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tx2">
                            <a:lumMod val="20000"/>
                            <a:lumOff val="80000"/>
                          </a:schemeClr>
                        </a:solidFill>
                      </a:rPr>
                      <a:t>RISKS</a:t>
                    </a:r>
                  </a:p>
                </xdr:txBody>
              </xdr:sp>
            </xdr:grpSp>
            <xdr:grpSp>
              <xdr:nvGrpSpPr>
                <xdr:cNvPr id="15" name="Group 14">
                  <a:extLst>
                    <a:ext uri="{FF2B5EF4-FFF2-40B4-BE49-F238E27FC236}">
                      <a16:creationId xmlns:a16="http://schemas.microsoft.com/office/drawing/2014/main" id="{00000000-0008-0000-0100-00000F000000}"/>
                    </a:ext>
                  </a:extLst>
                </xdr:cNvPr>
                <xdr:cNvGrpSpPr/>
              </xdr:nvGrpSpPr>
              <xdr:grpSpPr>
                <a:xfrm>
                  <a:off x="4102977" y="4069080"/>
                  <a:ext cx="1746886" cy="1935650"/>
                  <a:chOff x="5341537" y="4168140"/>
                  <a:chExt cx="2232660" cy="1956605"/>
                </a:xfrm>
              </xdr:grpSpPr>
              <xdr:grpSp>
                <xdr:nvGrpSpPr>
                  <xdr:cNvPr id="6" name="Group 5">
                    <a:extLst>
                      <a:ext uri="{FF2B5EF4-FFF2-40B4-BE49-F238E27FC236}">
                        <a16:creationId xmlns:a16="http://schemas.microsoft.com/office/drawing/2014/main" id="{00000000-0008-0000-0100-000006000000}"/>
                      </a:ext>
                    </a:extLst>
                  </xdr:cNvPr>
                  <xdr:cNvGrpSpPr/>
                </xdr:nvGrpSpPr>
                <xdr:grpSpPr>
                  <a:xfrm>
                    <a:off x="5341537" y="4168140"/>
                    <a:ext cx="2232660" cy="1710000"/>
                    <a:chOff x="4911008" y="4076700"/>
                    <a:chExt cx="2232660" cy="1710000"/>
                  </a:xfrm>
                </xdr:grpSpPr>
                <xdr:graphicFrame macro="">
                  <xdr:nvGraphicFramePr>
                    <xdr:cNvPr id="55" name="Chart 54">
                      <a:extLst>
                        <a:ext uri="{FF2B5EF4-FFF2-40B4-BE49-F238E27FC236}">
                          <a16:creationId xmlns:a16="http://schemas.microsoft.com/office/drawing/2014/main" id="{00000000-0008-0000-0100-000037000000}"/>
                        </a:ext>
                      </a:extLst>
                    </xdr:cNvPr>
                    <xdr:cNvGraphicFramePr>
                      <a:graphicFrameLocks/>
                    </xdr:cNvGraphicFramePr>
                  </xdr:nvGraphicFramePr>
                  <xdr:xfrm>
                    <a:off x="4911008" y="4076700"/>
                    <a:ext cx="2232660" cy="1710000"/>
                  </xdr:xfrm>
                  <a:graphic>
                    <a:graphicData uri="http://schemas.openxmlformats.org/drawingml/2006/chart">
                      <c:chart xmlns:c="http://schemas.openxmlformats.org/drawingml/2006/chart" xmlns:r="http://schemas.openxmlformats.org/officeDocument/2006/relationships" r:id="rId9"/>
                    </a:graphicData>
                  </a:graphic>
                </xdr:graphicFrame>
                <xdr:sp macro="" textlink="'Project Data'!AH4">
                  <xdr:nvSpPr>
                    <xdr:cNvPr id="58" name="TextBox 57">
                      <a:extLst>
                        <a:ext uri="{FF2B5EF4-FFF2-40B4-BE49-F238E27FC236}">
                          <a16:creationId xmlns:a16="http://schemas.microsoft.com/office/drawing/2014/main" id="{00000000-0008-0000-0100-00003A000000}"/>
                        </a:ext>
                      </a:extLst>
                    </xdr:cNvPr>
                    <xdr:cNvSpPr txBox="1"/>
                  </xdr:nvSpPr>
                  <xdr:spPr>
                    <a:xfrm>
                      <a:off x="5756826" y="4802160"/>
                      <a:ext cx="54102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3771B528-88EC-4EE0-A2F8-3FFCD2F92E6D}" type="TxLink">
                        <a:rPr lang="en-US" sz="1800" b="1" i="0" u="none" strike="noStrike" cap="none" spc="0">
                          <a:ln w="6600">
                            <a:solidFill>
                              <a:schemeClr val="accent4"/>
                            </a:solidFill>
                            <a:prstDash val="solid"/>
                          </a:ln>
                          <a:solidFill>
                            <a:srgbClr val="FFFFFF"/>
                          </a:solidFill>
                          <a:effectLst>
                            <a:outerShdw dist="38100" dir="2700000" algn="tl" rotWithShape="0">
                              <a:schemeClr val="accent2"/>
                            </a:outerShdw>
                          </a:effectLst>
                          <a:latin typeface="Calibri"/>
                          <a:cs typeface="Calibri"/>
                        </a:rPr>
                        <a:pPr algn="ctr"/>
                        <a:t>234</a:t>
                      </a:fld>
                      <a:endParaRPr lang="en-PH" sz="1800" b="1" cap="none" spc="0">
                        <a:ln w="6600">
                          <a:solidFill>
                            <a:schemeClr val="accent4"/>
                          </a:solidFill>
                          <a:prstDash val="solid"/>
                        </a:ln>
                        <a:solidFill>
                          <a:srgbClr val="FFFFFF"/>
                        </a:solidFill>
                        <a:effectLst>
                          <a:outerShdw dist="38100" dir="2700000" algn="tl" rotWithShape="0">
                            <a:schemeClr val="accent2"/>
                          </a:outerShdw>
                        </a:effectLst>
                      </a:endParaRPr>
                    </a:p>
                  </xdr:txBody>
                </xdr:sp>
              </xdr:grpSp>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6119793" y="5844540"/>
                    <a:ext cx="67614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tx2">
                            <a:lumMod val="20000"/>
                            <a:lumOff val="80000"/>
                          </a:schemeClr>
                        </a:solidFill>
                      </a:rPr>
                      <a:t>ISSUES</a:t>
                    </a:r>
                  </a:p>
                </xdr:txBody>
              </xdr:sp>
            </xdr:grpSp>
            <xdr:grpSp>
              <xdr:nvGrpSpPr>
                <xdr:cNvPr id="13" name="Group 12">
                  <a:extLst>
                    <a:ext uri="{FF2B5EF4-FFF2-40B4-BE49-F238E27FC236}">
                      <a16:creationId xmlns:a16="http://schemas.microsoft.com/office/drawing/2014/main" id="{00000000-0008-0000-0100-00000D000000}"/>
                    </a:ext>
                  </a:extLst>
                </xdr:cNvPr>
                <xdr:cNvGrpSpPr/>
              </xdr:nvGrpSpPr>
              <xdr:grpSpPr>
                <a:xfrm>
                  <a:off x="5325987" y="4069080"/>
                  <a:ext cx="2209800" cy="1935650"/>
                  <a:chOff x="7525936" y="4168140"/>
                  <a:chExt cx="2232660" cy="1956605"/>
                </a:xfrm>
              </xdr:grpSpPr>
              <xdr:grpSp>
                <xdr:nvGrpSpPr>
                  <xdr:cNvPr id="12" name="Group 11">
                    <a:extLst>
                      <a:ext uri="{FF2B5EF4-FFF2-40B4-BE49-F238E27FC236}">
                        <a16:creationId xmlns:a16="http://schemas.microsoft.com/office/drawing/2014/main" id="{00000000-0008-0000-0100-00000C000000}"/>
                      </a:ext>
                    </a:extLst>
                  </xdr:cNvPr>
                  <xdr:cNvGrpSpPr/>
                </xdr:nvGrpSpPr>
                <xdr:grpSpPr>
                  <a:xfrm>
                    <a:off x="7525936" y="4168140"/>
                    <a:ext cx="2232660" cy="1710000"/>
                    <a:chOff x="6878236" y="3947160"/>
                    <a:chExt cx="2232660" cy="1710000"/>
                  </a:xfrm>
                </xdr:grpSpPr>
                <xdr:graphicFrame macro="">
                  <xdr:nvGraphicFramePr>
                    <xdr:cNvPr id="56" name="Chart 55">
                      <a:extLst>
                        <a:ext uri="{FF2B5EF4-FFF2-40B4-BE49-F238E27FC236}">
                          <a16:creationId xmlns:a16="http://schemas.microsoft.com/office/drawing/2014/main" id="{00000000-0008-0000-0100-000038000000}"/>
                        </a:ext>
                      </a:extLst>
                    </xdr:cNvPr>
                    <xdr:cNvGraphicFramePr>
                      <a:graphicFrameLocks/>
                    </xdr:cNvGraphicFramePr>
                  </xdr:nvGraphicFramePr>
                  <xdr:xfrm>
                    <a:off x="6878236" y="3947160"/>
                    <a:ext cx="2232660" cy="1710000"/>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59" name="TextBox 56">
                      <a:extLst>
                        <a:ext uri="{FF2B5EF4-FFF2-40B4-BE49-F238E27FC236}">
                          <a16:creationId xmlns:a16="http://schemas.microsoft.com/office/drawing/2014/main" id="{00000000-0008-0000-0100-00003B000000}"/>
                        </a:ext>
                      </a:extLst>
                    </xdr:cNvPr>
                    <xdr:cNvSpPr txBox="1"/>
                  </xdr:nvSpPr>
                  <xdr:spPr>
                    <a:xfrm>
                      <a:off x="7724055" y="4672620"/>
                      <a:ext cx="541020" cy="25908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ctr">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r>
                        <a:rPr lang="en-US" sz="1800" b="1" i="0" u="none" strike="noStrike" cap="none" spc="0">
                          <a:ln w="6350">
                            <a:solidFill>
                              <a:schemeClr val="accent6"/>
                            </a:solidFill>
                            <a:prstDash val="solid"/>
                          </a:ln>
                          <a:solidFill>
                            <a:schemeClr val="bg1"/>
                          </a:solidFill>
                          <a:effectLst/>
                          <a:latin typeface="Calibri"/>
                          <a:cs typeface="Calibri"/>
                        </a:rPr>
                        <a:t>255</a:t>
                      </a:r>
                      <a:endParaRPr lang="en-PH" sz="1800" b="1" cap="none" spc="0">
                        <a:ln w="6350">
                          <a:solidFill>
                            <a:schemeClr val="accent6"/>
                          </a:solidFill>
                          <a:prstDash val="solid"/>
                        </a:ln>
                        <a:solidFill>
                          <a:schemeClr val="bg1"/>
                        </a:solidFill>
                        <a:effectLst/>
                      </a:endParaRPr>
                    </a:p>
                  </xdr:txBody>
                </xdr:sp>
              </xdr:grpSp>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8088625" y="5844540"/>
                    <a:ext cx="102326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tx2">
                            <a:lumMod val="20000"/>
                            <a:lumOff val="80000"/>
                          </a:schemeClr>
                        </a:solidFill>
                      </a:rPr>
                      <a:t>ACTION ITEMS</a:t>
                    </a:r>
                  </a:p>
                </xdr:txBody>
              </xdr:sp>
            </xdr:grpSp>
          </xdr:grpSp>
          <xdr:pic>
            <xdr:nvPicPr>
              <xdr:cNvPr id="69" name="Picture 68" descr="Free Icon | Health care">
                <a:extLst>
                  <a:ext uri="{FF2B5EF4-FFF2-40B4-BE49-F238E27FC236}">
                    <a16:creationId xmlns:a16="http://schemas.microsoft.com/office/drawing/2014/main" id="{00000000-0008-0000-0100-000045000000}"/>
                  </a:ext>
                </a:extLst>
              </xdr:cNvPr>
              <xdr:cNvPicPr>
                <a:picLocks noChangeAspect="1" noChangeArrowheads="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rcRect/>
              <a:stretch>
                <a:fillRect/>
              </a:stretch>
            </xdr:blipFill>
            <xdr:spPr bwMode="auto">
              <a:xfrm>
                <a:off x="7786652" y="1269506"/>
                <a:ext cx="277906" cy="272542"/>
              </a:xfrm>
              <a:prstGeom prst="rect">
                <a:avLst/>
              </a:prstGeom>
              <a:noFill/>
              <a:extLst>
                <a:ext uri="{909E8E84-426E-40DD-AFC4-6F175D3DCCD1}">
                  <a14:hiddenFill xmlns:a14="http://schemas.microsoft.com/office/drawing/2010/main">
                    <a:solidFill>
                      <a:srgbClr val="FFFFFF"/>
                    </a:solidFill>
                  </a14:hiddenFill>
                </a:ext>
              </a:extLst>
            </xdr:spPr>
          </xdr:pic>
        </xdr:grpSp>
        <xdr:graphicFrame macro="">
          <xdr:nvGraphicFramePr>
            <xdr:cNvPr id="90" name="Chart 89">
              <a:extLst>
                <a:ext uri="{FF2B5EF4-FFF2-40B4-BE49-F238E27FC236}">
                  <a16:creationId xmlns:a16="http://schemas.microsoft.com/office/drawing/2014/main" id="{00000000-0008-0000-0100-00005A000000}"/>
                </a:ext>
              </a:extLst>
            </xdr:cNvPr>
            <xdr:cNvGraphicFramePr>
              <a:graphicFrameLocks/>
            </xdr:cNvGraphicFramePr>
          </xdr:nvGraphicFramePr>
          <xdr:xfrm>
            <a:off x="10610495" y="1712259"/>
            <a:ext cx="1550894" cy="2617694"/>
          </xdr:xfrm>
          <a:graphic>
            <a:graphicData uri="http://schemas.openxmlformats.org/drawingml/2006/chart">
              <c:chart xmlns:c="http://schemas.openxmlformats.org/drawingml/2006/chart" xmlns:r="http://schemas.openxmlformats.org/officeDocument/2006/relationships" r:id="rId12"/>
            </a:graphicData>
          </a:graphic>
        </xdr:graphicFrame>
        <xdr:cxnSp macro="">
          <xdr:nvCxnSpPr>
            <xdr:cNvPr id="95" name="Straight Connector 94">
              <a:extLst>
                <a:ext uri="{FF2B5EF4-FFF2-40B4-BE49-F238E27FC236}">
                  <a16:creationId xmlns:a16="http://schemas.microsoft.com/office/drawing/2014/main" id="{00000000-0008-0000-0100-00005F000000}"/>
                </a:ext>
              </a:extLst>
            </xdr:cNvPr>
            <xdr:cNvCxnSpPr/>
          </xdr:nvCxnSpPr>
          <xdr:spPr>
            <a:xfrm>
              <a:off x="10269877" y="1855694"/>
              <a:ext cx="0" cy="2339788"/>
            </a:xfrm>
            <a:prstGeom prst="line">
              <a:avLst/>
            </a:prstGeom>
            <a:ln>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105" name="Group 104">
            <a:extLst>
              <a:ext uri="{FF2B5EF4-FFF2-40B4-BE49-F238E27FC236}">
                <a16:creationId xmlns:a16="http://schemas.microsoft.com/office/drawing/2014/main" id="{00000000-0008-0000-0100-000069000000}"/>
              </a:ext>
            </a:extLst>
          </xdr:cNvPr>
          <xdr:cNvGrpSpPr/>
        </xdr:nvGrpSpPr>
        <xdr:grpSpPr>
          <a:xfrm>
            <a:off x="1114650" y="4505567"/>
            <a:ext cx="7490568" cy="2674511"/>
            <a:chOff x="13474860" y="1740525"/>
            <a:chExt cx="7503753" cy="2661596"/>
          </a:xfrm>
        </xdr:grpSpPr>
        <xdr:grpSp>
          <xdr:nvGrpSpPr>
            <xdr:cNvPr id="106" name="Group 105">
              <a:extLst>
                <a:ext uri="{FF2B5EF4-FFF2-40B4-BE49-F238E27FC236}">
                  <a16:creationId xmlns:a16="http://schemas.microsoft.com/office/drawing/2014/main" id="{00000000-0008-0000-0100-00006A000000}"/>
                </a:ext>
              </a:extLst>
            </xdr:cNvPr>
            <xdr:cNvGrpSpPr/>
          </xdr:nvGrpSpPr>
          <xdr:grpSpPr>
            <a:xfrm>
              <a:off x="13474860" y="1740525"/>
              <a:ext cx="7503753" cy="2661596"/>
              <a:chOff x="7742655" y="908526"/>
              <a:chExt cx="7482903" cy="2686050"/>
            </a:xfrm>
          </xdr:grpSpPr>
          <xdr:grpSp>
            <xdr:nvGrpSpPr>
              <xdr:cNvPr id="114" name="Group 113">
                <a:extLst>
                  <a:ext uri="{FF2B5EF4-FFF2-40B4-BE49-F238E27FC236}">
                    <a16:creationId xmlns:a16="http://schemas.microsoft.com/office/drawing/2014/main" id="{00000000-0008-0000-0100-000072000000}"/>
                  </a:ext>
                </a:extLst>
              </xdr:cNvPr>
              <xdr:cNvGrpSpPr/>
            </xdr:nvGrpSpPr>
            <xdr:grpSpPr>
              <a:xfrm>
                <a:off x="7742655" y="908526"/>
                <a:ext cx="7482903" cy="2686050"/>
                <a:chOff x="5219381" y="850251"/>
                <a:chExt cx="5933669" cy="3503653"/>
              </a:xfrm>
              <a:solidFill>
                <a:srgbClr val="000000">
                  <a:alpha val="30196"/>
                </a:srgbClr>
              </a:solidFill>
            </xdr:grpSpPr>
            <xdr:sp macro="" textlink="">
              <xdr:nvSpPr>
                <xdr:cNvPr id="116" name="Rectangle: Folded Corner 115">
                  <a:extLst>
                    <a:ext uri="{FF2B5EF4-FFF2-40B4-BE49-F238E27FC236}">
                      <a16:creationId xmlns:a16="http://schemas.microsoft.com/office/drawing/2014/main" id="{00000000-0008-0000-0100-000074000000}"/>
                    </a:ext>
                  </a:extLst>
                </xdr:cNvPr>
                <xdr:cNvSpPr/>
              </xdr:nvSpPr>
              <xdr:spPr>
                <a:xfrm>
                  <a:off x="5219381" y="850251"/>
                  <a:ext cx="5933669" cy="3503653"/>
                </a:xfrm>
                <a:prstGeom prst="foldedCorner">
                  <a:avLst>
                    <a:gd name="adj" fmla="val 713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117" name="TextBox 116">
                  <a:extLst>
                    <a:ext uri="{FF2B5EF4-FFF2-40B4-BE49-F238E27FC236}">
                      <a16:creationId xmlns:a16="http://schemas.microsoft.com/office/drawing/2014/main" id="{00000000-0008-0000-0100-000075000000}"/>
                    </a:ext>
                  </a:extLst>
                </xdr:cNvPr>
                <xdr:cNvSpPr txBox="1"/>
              </xdr:nvSpPr>
              <xdr:spPr>
                <a:xfrm>
                  <a:off x="5535299" y="854317"/>
                  <a:ext cx="1580607" cy="45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PH" sz="1600" b="1">
                      <a:solidFill>
                        <a:schemeClr val="tx2">
                          <a:lumMod val="20000"/>
                          <a:lumOff val="80000"/>
                        </a:schemeClr>
                      </a:solidFill>
                    </a:rPr>
                    <a:t>PLANNED</a:t>
                  </a:r>
                  <a:r>
                    <a:rPr lang="en-PH" sz="1600" b="1" baseline="0">
                      <a:solidFill>
                        <a:schemeClr val="tx2">
                          <a:lumMod val="20000"/>
                          <a:lumOff val="80000"/>
                        </a:schemeClr>
                      </a:solidFill>
                    </a:rPr>
                    <a:t> VS ACTUAL</a:t>
                  </a:r>
                  <a:endParaRPr lang="en-PH" sz="1600" b="1">
                    <a:solidFill>
                      <a:schemeClr val="tx2">
                        <a:lumMod val="20000"/>
                        <a:lumOff val="80000"/>
                      </a:schemeClr>
                    </a:solidFill>
                  </a:endParaRPr>
                </a:p>
              </xdr:txBody>
            </xdr:sp>
          </xdr:grpSp>
          <xdr:graphicFrame macro="">
            <xdr:nvGraphicFramePr>
              <xdr:cNvPr id="115" name="Chart 10">
                <a:extLst>
                  <a:ext uri="{FF2B5EF4-FFF2-40B4-BE49-F238E27FC236}">
                    <a16:creationId xmlns:a16="http://schemas.microsoft.com/office/drawing/2014/main" id="{00000000-0008-0000-0100-000073000000}"/>
                  </a:ext>
                </a:extLst>
              </xdr:cNvPr>
              <xdr:cNvGraphicFramePr>
                <a:graphicFrameLocks/>
              </xdr:cNvGraphicFramePr>
            </xdr:nvGraphicFramePr>
            <xdr:xfrm>
              <a:off x="8329261" y="936937"/>
              <a:ext cx="1832311" cy="1394066"/>
            </xdr:xfrm>
            <a:graphic>
              <a:graphicData uri="http://schemas.openxmlformats.org/drawingml/2006/chart">
                <c:chart xmlns:c="http://schemas.openxmlformats.org/drawingml/2006/chart" xmlns:r="http://schemas.openxmlformats.org/officeDocument/2006/relationships" r:id="rId13"/>
              </a:graphicData>
            </a:graphic>
          </xdr:graphicFrame>
        </xdr:grpSp>
        <xdr:pic>
          <xdr:nvPicPr>
            <xdr:cNvPr id="107" name="Picture 106">
              <a:extLst>
                <a:ext uri="{FF2B5EF4-FFF2-40B4-BE49-F238E27FC236}">
                  <a16:creationId xmlns:a16="http://schemas.microsoft.com/office/drawing/2014/main" id="{00000000-0008-0000-0100-00006B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13596523" y="1857241"/>
              <a:ext cx="278524" cy="272430"/>
            </a:xfrm>
            <a:prstGeom prst="rect">
              <a:avLst/>
            </a:prstGeom>
          </xdr:spPr>
        </xdr:pic>
      </xdr:grpSp>
    </xdr:grpSp>
    <xdr:clientData/>
  </xdr:twoCellAnchor>
  <xdr:twoCellAnchor>
    <xdr:from>
      <xdr:col>0</xdr:col>
      <xdr:colOff>-1</xdr:colOff>
      <xdr:row>6</xdr:row>
      <xdr:rowOff>5176</xdr:rowOff>
    </xdr:from>
    <xdr:to>
      <xdr:col>1</xdr:col>
      <xdr:colOff>198312</xdr:colOff>
      <xdr:row>32</xdr:row>
      <xdr:rowOff>170381</xdr:rowOff>
    </xdr:to>
    <xdr:sp macro="" textlink="">
      <xdr:nvSpPr>
        <xdr:cNvPr id="101" name="Rectangle: Top Corners Rounded 100">
          <a:extLst>
            <a:ext uri="{FF2B5EF4-FFF2-40B4-BE49-F238E27FC236}">
              <a16:creationId xmlns:a16="http://schemas.microsoft.com/office/drawing/2014/main" id="{00000000-0008-0000-0100-000065000000}"/>
            </a:ext>
          </a:extLst>
        </xdr:cNvPr>
        <xdr:cNvSpPr/>
      </xdr:nvSpPr>
      <xdr:spPr>
        <a:xfrm rot="5400000">
          <a:off x="-2056087" y="3699562"/>
          <a:ext cx="4920085" cy="807913"/>
        </a:xfrm>
        <a:prstGeom prst="round2SameRect">
          <a:avLst/>
        </a:prstGeom>
        <a:solidFill>
          <a:srgbClr val="FFFFFF">
            <a:alpha val="10196"/>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4770</xdr:colOff>
      <xdr:row>12</xdr:row>
      <xdr:rowOff>66631</xdr:rowOff>
    </xdr:from>
    <xdr:to>
      <xdr:col>1</xdr:col>
      <xdr:colOff>200713</xdr:colOff>
      <xdr:row>17</xdr:row>
      <xdr:rowOff>55745</xdr:rowOff>
    </xdr:to>
    <xdr:sp macro="" textlink="">
      <xdr:nvSpPr>
        <xdr:cNvPr id="99" name="summaryShade">
          <a:extLst>
            <a:ext uri="{FF2B5EF4-FFF2-40B4-BE49-F238E27FC236}">
              <a16:creationId xmlns:a16="http://schemas.microsoft.com/office/drawing/2014/main" id="{00000000-0008-0000-0100-000063000000}"/>
            </a:ext>
          </a:extLst>
        </xdr:cNvPr>
        <xdr:cNvSpPr/>
      </xdr:nvSpPr>
      <xdr:spPr>
        <a:xfrm>
          <a:off x="4770" y="2765007"/>
          <a:ext cx="805543" cy="885585"/>
        </a:xfrm>
        <a:prstGeom prst="rect">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17</xdr:row>
      <xdr:rowOff>84424</xdr:rowOff>
    </xdr:from>
    <xdr:to>
      <xdr:col>1</xdr:col>
      <xdr:colOff>195943</xdr:colOff>
      <xdr:row>22</xdr:row>
      <xdr:rowOff>73538</xdr:rowOff>
    </xdr:to>
    <xdr:sp macro="" textlink="">
      <xdr:nvSpPr>
        <xdr:cNvPr id="103" name="timelineShade" hidden="1">
          <a:extLst>
            <a:ext uri="{FF2B5EF4-FFF2-40B4-BE49-F238E27FC236}">
              <a16:creationId xmlns:a16="http://schemas.microsoft.com/office/drawing/2014/main" id="{00000000-0008-0000-0100-000067000000}"/>
            </a:ext>
          </a:extLst>
        </xdr:cNvPr>
        <xdr:cNvSpPr/>
      </xdr:nvSpPr>
      <xdr:spPr>
        <a:xfrm>
          <a:off x="0" y="3775154"/>
          <a:ext cx="805543" cy="916767"/>
        </a:xfrm>
        <a:prstGeom prst="rect">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12</xdr:col>
      <xdr:colOff>911694</xdr:colOff>
      <xdr:row>0</xdr:row>
      <xdr:rowOff>213588</xdr:rowOff>
    </xdr:from>
    <xdr:to>
      <xdr:col>16</xdr:col>
      <xdr:colOff>1509059</xdr:colOff>
      <xdr:row>1</xdr:row>
      <xdr:rowOff>132906</xdr:rowOff>
    </xdr:to>
    <xdr:grpSp>
      <xdr:nvGrpSpPr>
        <xdr:cNvPr id="43" name="Group 42">
          <a:extLst>
            <a:ext uri="{FF2B5EF4-FFF2-40B4-BE49-F238E27FC236}">
              <a16:creationId xmlns:a16="http://schemas.microsoft.com/office/drawing/2014/main" id="{00000000-0008-0000-0100-00002B000000}"/>
            </a:ext>
          </a:extLst>
        </xdr:cNvPr>
        <xdr:cNvGrpSpPr/>
      </xdr:nvGrpSpPr>
      <xdr:grpSpPr>
        <a:xfrm>
          <a:off x="12477161" y="213588"/>
          <a:ext cx="3450631" cy="342651"/>
          <a:chOff x="12318558" y="259975"/>
          <a:chExt cx="3457031" cy="340659"/>
        </a:xfrm>
      </xdr:grpSpPr>
      <xdr:grpSp>
        <xdr:nvGrpSpPr>
          <xdr:cNvPr id="36" name="Group 35">
            <a:extLst>
              <a:ext uri="{FF2B5EF4-FFF2-40B4-BE49-F238E27FC236}">
                <a16:creationId xmlns:a16="http://schemas.microsoft.com/office/drawing/2014/main" id="{00000000-0008-0000-0100-000024000000}"/>
              </a:ext>
            </a:extLst>
          </xdr:cNvPr>
          <xdr:cNvGrpSpPr/>
        </xdr:nvGrpSpPr>
        <xdr:grpSpPr>
          <a:xfrm>
            <a:off x="12318558" y="259975"/>
            <a:ext cx="3064890" cy="340659"/>
            <a:chOff x="9537726" y="331694"/>
            <a:chExt cx="2869424" cy="403412"/>
          </a:xfrm>
        </xdr:grpSpPr>
        <xdr:sp macro="" textlink="">
          <xdr:nvSpPr>
            <xdr:cNvPr id="34" name="Rectangle: Rounded Corners 33">
              <a:extLst>
                <a:ext uri="{FF2B5EF4-FFF2-40B4-BE49-F238E27FC236}">
                  <a16:creationId xmlns:a16="http://schemas.microsoft.com/office/drawing/2014/main" id="{00000000-0008-0000-0100-000022000000}"/>
                </a:ext>
              </a:extLst>
            </xdr:cNvPr>
            <xdr:cNvSpPr/>
          </xdr:nvSpPr>
          <xdr:spPr>
            <a:xfrm>
              <a:off x="10812484" y="331694"/>
              <a:ext cx="1594666" cy="403412"/>
            </a:xfrm>
            <a:prstGeom prst="roundRect">
              <a:avLst>
                <a:gd name="adj" fmla="val 31579"/>
              </a:avLst>
            </a:prstGeom>
            <a:solidFill>
              <a:srgbClr val="333F56"/>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dash_Date">
          <xdr:nvSpPr>
            <xdr:cNvPr id="60" name="TextBox 59">
              <a:extLst>
                <a:ext uri="{FF2B5EF4-FFF2-40B4-BE49-F238E27FC236}">
                  <a16:creationId xmlns:a16="http://schemas.microsoft.com/office/drawing/2014/main" id="{00000000-0008-0000-0100-00003C000000}"/>
                </a:ext>
              </a:extLst>
            </xdr:cNvPr>
            <xdr:cNvSpPr txBox="1"/>
          </xdr:nvSpPr>
          <xdr:spPr>
            <a:xfrm>
              <a:off x="9537726" y="342009"/>
              <a:ext cx="2821444" cy="346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fld id="{E0450C46-E104-48EC-9901-4B4A865AFFBE}" type="TxLink">
                <a:rPr lang="en-US" sz="1400" b="1" i="0" u="none" strike="noStrike">
                  <a:solidFill>
                    <a:schemeClr val="bg1">
                      <a:lumMod val="95000"/>
                    </a:schemeClr>
                  </a:solidFill>
                  <a:latin typeface="Calibri"/>
                  <a:cs typeface="Calibri"/>
                </a:rPr>
                <a:pPr algn="r"/>
                <a:t>FEB 26, 2022 | SAT</a:t>
              </a:fld>
              <a:endParaRPr lang="en-PH" sz="1800" b="1">
                <a:solidFill>
                  <a:schemeClr val="bg1">
                    <a:lumMod val="95000"/>
                  </a:schemeClr>
                </a:solidFill>
              </a:endParaRPr>
            </a:p>
          </xdr:txBody>
        </xdr:sp>
      </xdr:grpSp>
      <xdr:pic>
        <xdr:nvPicPr>
          <xdr:cNvPr id="61" name="Picture 60">
            <a:extLst>
              <a:ext uri="{FF2B5EF4-FFF2-40B4-BE49-F238E27FC236}">
                <a16:creationId xmlns:a16="http://schemas.microsoft.com/office/drawing/2014/main" id="{00000000-0008-0000-0100-00003D000000}"/>
              </a:ext>
            </a:extLst>
          </xdr:cNvPr>
          <xdr:cNvPicPr>
            <a:picLocks noChangeAspect="1" noChangeArrowheads="1"/>
          </xdr:cNvPicPr>
        </xdr:nvPicPr>
        <xdr:blipFill>
          <a:blip xmlns:r="http://schemas.openxmlformats.org/officeDocument/2006/relationships" r:embed="rId14" cstate="print">
            <a:lum bright="70000" contrast="-70000"/>
            <a:extLst>
              <a:ext uri="{28A0092B-C50C-407E-A947-70E740481C1C}">
                <a14:useLocalDpi xmlns:a14="http://schemas.microsoft.com/office/drawing/2010/main" val="0"/>
              </a:ext>
            </a:extLst>
          </a:blip>
          <a:srcRect/>
          <a:stretch>
            <a:fillRect/>
          </a:stretch>
        </xdr:blipFill>
        <xdr:spPr bwMode="auto">
          <a:xfrm>
            <a:off x="15482522" y="286869"/>
            <a:ext cx="293067" cy="2880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0</xdr:colOff>
      <xdr:row>3</xdr:row>
      <xdr:rowOff>114460</xdr:rowOff>
    </xdr:from>
    <xdr:to>
      <xdr:col>2</xdr:col>
      <xdr:colOff>522514</xdr:colOff>
      <xdr:row>5</xdr:row>
      <xdr:rowOff>123983</xdr:rowOff>
    </xdr:to>
    <xdr:sp macro="" textlink="">
      <xdr:nvSpPr>
        <xdr:cNvPr id="76" name="dashboardPartTitle">
          <a:extLst>
            <a:ext uri="{FF2B5EF4-FFF2-40B4-BE49-F238E27FC236}">
              <a16:creationId xmlns:a16="http://schemas.microsoft.com/office/drawing/2014/main" id="{00000000-0008-0000-0100-00004C000000}"/>
            </a:ext>
          </a:extLst>
        </xdr:cNvPr>
        <xdr:cNvSpPr/>
      </xdr:nvSpPr>
      <xdr:spPr>
        <a:xfrm>
          <a:off x="0" y="1213917"/>
          <a:ext cx="1741714" cy="379637"/>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PH" sz="2000" b="1"/>
            <a:t>OVERVIEW</a:t>
          </a:r>
        </a:p>
      </xdr:txBody>
    </xdr:sp>
    <xdr:clientData/>
  </xdr:twoCellAnchor>
  <xdr:twoCellAnchor>
    <xdr:from>
      <xdr:col>0</xdr:col>
      <xdr:colOff>4770</xdr:colOff>
      <xdr:row>7</xdr:row>
      <xdr:rowOff>54428</xdr:rowOff>
    </xdr:from>
    <xdr:to>
      <xdr:col>1</xdr:col>
      <xdr:colOff>200713</xdr:colOff>
      <xdr:row>12</xdr:row>
      <xdr:rowOff>43543</xdr:rowOff>
    </xdr:to>
    <xdr:sp macro="" textlink="">
      <xdr:nvSpPr>
        <xdr:cNvPr id="7" name="projInfo_shade" hidden="1">
          <a:extLst>
            <a:ext uri="{FF2B5EF4-FFF2-40B4-BE49-F238E27FC236}">
              <a16:creationId xmlns:a16="http://schemas.microsoft.com/office/drawing/2014/main" id="{00000000-0008-0000-0100-000007000000}"/>
            </a:ext>
          </a:extLst>
        </xdr:cNvPr>
        <xdr:cNvSpPr/>
      </xdr:nvSpPr>
      <xdr:spPr>
        <a:xfrm>
          <a:off x="4770" y="1894114"/>
          <a:ext cx="805543" cy="914400"/>
        </a:xfrm>
        <a:prstGeom prst="rect">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7</xdr:row>
      <xdr:rowOff>97058</xdr:rowOff>
    </xdr:from>
    <xdr:to>
      <xdr:col>1</xdr:col>
      <xdr:colOff>205483</xdr:colOff>
      <xdr:row>12</xdr:row>
      <xdr:rowOff>17848</xdr:rowOff>
    </xdr:to>
    <xdr:grpSp>
      <xdr:nvGrpSpPr>
        <xdr:cNvPr id="122" name="Group 121">
          <a:extLst>
            <a:ext uri="{FF2B5EF4-FFF2-40B4-BE49-F238E27FC236}">
              <a16:creationId xmlns:a16="http://schemas.microsoft.com/office/drawing/2014/main" id="{00000000-0008-0000-0100-00007A000000}"/>
            </a:ext>
          </a:extLst>
        </xdr:cNvPr>
        <xdr:cNvGrpSpPr/>
      </xdr:nvGrpSpPr>
      <xdr:grpSpPr>
        <a:xfrm>
          <a:off x="0" y="1934325"/>
          <a:ext cx="815083" cy="852123"/>
          <a:chOff x="0" y="1943528"/>
          <a:chExt cx="813371" cy="821933"/>
        </a:xfrm>
      </xdr:grpSpPr>
      <xdr:pic macro="[0]!Sheet4.GoToInfo">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15">
            <a:lum bright="70000" contrast="-70000"/>
          </a:blip>
          <a:stretch>
            <a:fillRect/>
          </a:stretch>
        </xdr:blipFill>
        <xdr:spPr>
          <a:xfrm>
            <a:off x="188359" y="1943528"/>
            <a:ext cx="415798" cy="415798"/>
          </a:xfrm>
          <a:prstGeom prst="rect">
            <a:avLst/>
          </a:prstGeom>
        </xdr:spPr>
      </xdr:pic>
      <xdr:sp macro="[0]!Sheet4.GoToInfo" textlink="">
        <xdr:nvSpPr>
          <xdr:cNvPr id="123" name="TextBox 122">
            <a:extLst>
              <a:ext uri="{FF2B5EF4-FFF2-40B4-BE49-F238E27FC236}">
                <a16:creationId xmlns:a16="http://schemas.microsoft.com/office/drawing/2014/main" id="{00000000-0008-0000-0100-00007B000000}"/>
              </a:ext>
            </a:extLst>
          </xdr:cNvPr>
          <xdr:cNvSpPr txBox="1"/>
        </xdr:nvSpPr>
        <xdr:spPr>
          <a:xfrm>
            <a:off x="0" y="2363057"/>
            <a:ext cx="813371" cy="402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a:solidFill>
                  <a:schemeClr val="tx2">
                    <a:lumMod val="20000"/>
                    <a:lumOff val="80000"/>
                  </a:schemeClr>
                </a:solidFill>
              </a:rPr>
              <a:t>PROJECT</a:t>
            </a:r>
            <a:br>
              <a:rPr lang="en-PH" sz="1000" b="1">
                <a:solidFill>
                  <a:schemeClr val="tx2">
                    <a:lumMod val="20000"/>
                    <a:lumOff val="80000"/>
                  </a:schemeClr>
                </a:solidFill>
              </a:rPr>
            </a:br>
            <a:r>
              <a:rPr lang="en-PH" sz="1000" b="1">
                <a:solidFill>
                  <a:schemeClr val="tx2">
                    <a:lumMod val="20000"/>
                    <a:lumOff val="80000"/>
                  </a:schemeClr>
                </a:solidFill>
              </a:rPr>
              <a:t>INFO</a:t>
            </a:r>
            <a:endParaRPr lang="en-PH" sz="1000" b="1" baseline="0">
              <a:solidFill>
                <a:schemeClr val="tx2">
                  <a:lumMod val="20000"/>
                  <a:lumOff val="80000"/>
                </a:schemeClr>
              </a:solidFill>
            </a:endParaRPr>
          </a:p>
        </xdr:txBody>
      </xdr:sp>
    </xdr:grpSp>
    <xdr:clientData/>
  </xdr:twoCellAnchor>
  <xdr:twoCellAnchor>
    <xdr:from>
      <xdr:col>0</xdr:col>
      <xdr:colOff>0</xdr:colOff>
      <xdr:row>12</xdr:row>
      <xdr:rowOff>153848</xdr:rowOff>
    </xdr:from>
    <xdr:to>
      <xdr:col>1</xdr:col>
      <xdr:colOff>205483</xdr:colOff>
      <xdr:row>17</xdr:row>
      <xdr:rowOff>67141</xdr:rowOff>
    </xdr:to>
    <xdr:grpSp>
      <xdr:nvGrpSpPr>
        <xdr:cNvPr id="127" name="Group 126">
          <a:extLst>
            <a:ext uri="{FF2B5EF4-FFF2-40B4-BE49-F238E27FC236}">
              <a16:creationId xmlns:a16="http://schemas.microsoft.com/office/drawing/2014/main" id="{00000000-0008-0000-0100-00007F000000}"/>
            </a:ext>
          </a:extLst>
        </xdr:cNvPr>
        <xdr:cNvGrpSpPr/>
      </xdr:nvGrpSpPr>
      <xdr:grpSpPr>
        <a:xfrm>
          <a:off x="0" y="2922448"/>
          <a:ext cx="815083" cy="844626"/>
          <a:chOff x="0" y="2969664"/>
          <a:chExt cx="813371" cy="814651"/>
        </a:xfrm>
      </xdr:grpSpPr>
      <xdr:pic macro="[0]!Sheet4.GoToSummary">
        <xdr:nvPicPr>
          <xdr:cNvPr id="98" name="Picture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16">
            <a:lum bright="70000" contrast="-70000"/>
          </a:blip>
          <a:stretch>
            <a:fillRect/>
          </a:stretch>
        </xdr:blipFill>
        <xdr:spPr>
          <a:xfrm>
            <a:off x="158972" y="2969664"/>
            <a:ext cx="466670" cy="428204"/>
          </a:xfrm>
          <a:prstGeom prst="rect">
            <a:avLst/>
          </a:prstGeom>
        </xdr:spPr>
      </xdr:pic>
      <xdr:sp macro="" textlink="">
        <xdr:nvSpPr>
          <xdr:cNvPr id="125" name="TextBox 124">
            <a:extLst>
              <a:ext uri="{FF2B5EF4-FFF2-40B4-BE49-F238E27FC236}">
                <a16:creationId xmlns:a16="http://schemas.microsoft.com/office/drawing/2014/main" id="{00000000-0008-0000-0100-00007D000000}"/>
              </a:ext>
            </a:extLst>
          </xdr:cNvPr>
          <xdr:cNvSpPr txBox="1"/>
        </xdr:nvSpPr>
        <xdr:spPr>
          <a:xfrm>
            <a:off x="0" y="3381911"/>
            <a:ext cx="813371" cy="402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baseline="0">
                <a:solidFill>
                  <a:schemeClr val="tx2">
                    <a:lumMod val="20000"/>
                    <a:lumOff val="80000"/>
                  </a:schemeClr>
                </a:solidFill>
              </a:rPr>
              <a:t>OVERVIEW</a:t>
            </a:r>
          </a:p>
        </xdr:txBody>
      </xdr:sp>
    </xdr:grpSp>
    <xdr:clientData/>
  </xdr:twoCellAnchor>
  <xdr:twoCellAnchor>
    <xdr:from>
      <xdr:col>0</xdr:col>
      <xdr:colOff>20969</xdr:colOff>
      <xdr:row>18</xdr:row>
      <xdr:rowOff>1221</xdr:rowOff>
    </xdr:from>
    <xdr:to>
      <xdr:col>1</xdr:col>
      <xdr:colOff>174973</xdr:colOff>
      <xdr:row>22</xdr:row>
      <xdr:rowOff>77822</xdr:rowOff>
    </xdr:to>
    <xdr:grpSp>
      <xdr:nvGrpSpPr>
        <xdr:cNvPr id="124" name="Group 123">
          <a:extLst>
            <a:ext uri="{FF2B5EF4-FFF2-40B4-BE49-F238E27FC236}">
              <a16:creationId xmlns:a16="http://schemas.microsoft.com/office/drawing/2014/main" id="{00000000-0008-0000-0100-00007C000000}"/>
            </a:ext>
          </a:extLst>
        </xdr:cNvPr>
        <xdr:cNvGrpSpPr/>
      </xdr:nvGrpSpPr>
      <xdr:grpSpPr>
        <a:xfrm>
          <a:off x="20969" y="3887421"/>
          <a:ext cx="763604" cy="821668"/>
          <a:chOff x="0" y="4136361"/>
          <a:chExt cx="813371" cy="793523"/>
        </a:xfrm>
      </xdr:grpSpPr>
      <xdr:pic macro="[0]!Sheet4.GoToTimeline">
        <xdr:nvPicPr>
          <xdr:cNvPr id="100" name="Picture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17">
            <a:clrChange>
              <a:clrFrom>
                <a:srgbClr val="F6F6F6"/>
              </a:clrFrom>
              <a:clrTo>
                <a:srgbClr val="F6F6F6">
                  <a:alpha val="0"/>
                </a:srgbClr>
              </a:clrTo>
            </a:clrChange>
            <a:lum bright="70000" contrast="-70000"/>
          </a:blip>
          <a:stretch>
            <a:fillRect/>
          </a:stretch>
        </xdr:blipFill>
        <xdr:spPr>
          <a:xfrm>
            <a:off x="178224" y="4136361"/>
            <a:ext cx="434266" cy="439091"/>
          </a:xfrm>
          <a:prstGeom prst="rect">
            <a:avLst/>
          </a:prstGeom>
        </xdr:spPr>
      </xdr:pic>
      <xdr:sp macro="" textlink="">
        <xdr:nvSpPr>
          <xdr:cNvPr id="126" name="TextBox 125">
            <a:extLst>
              <a:ext uri="{FF2B5EF4-FFF2-40B4-BE49-F238E27FC236}">
                <a16:creationId xmlns:a16="http://schemas.microsoft.com/office/drawing/2014/main" id="{00000000-0008-0000-0100-00007E000000}"/>
              </a:ext>
            </a:extLst>
          </xdr:cNvPr>
          <xdr:cNvSpPr txBox="1"/>
        </xdr:nvSpPr>
        <xdr:spPr>
          <a:xfrm>
            <a:off x="0" y="4527480"/>
            <a:ext cx="813371" cy="402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a:solidFill>
                  <a:schemeClr val="tx2">
                    <a:lumMod val="20000"/>
                    <a:lumOff val="80000"/>
                  </a:schemeClr>
                </a:solidFill>
              </a:rPr>
              <a:t>TIMELINE</a:t>
            </a:r>
            <a:endParaRPr lang="en-PH" sz="1000" b="1" baseline="0">
              <a:solidFill>
                <a:schemeClr val="tx2">
                  <a:lumMod val="20000"/>
                  <a:lumOff val="80000"/>
                </a:schemeClr>
              </a:solidFill>
            </a:endParaRPr>
          </a:p>
        </xdr:txBody>
      </xdr:sp>
    </xdr:grpSp>
    <xdr:clientData/>
  </xdr:twoCellAnchor>
  <xdr:twoCellAnchor>
    <xdr:from>
      <xdr:col>0</xdr:col>
      <xdr:colOff>0</xdr:colOff>
      <xdr:row>2</xdr:row>
      <xdr:rowOff>17927</xdr:rowOff>
    </xdr:from>
    <xdr:to>
      <xdr:col>17</xdr:col>
      <xdr:colOff>0</xdr:colOff>
      <xdr:row>2</xdr:row>
      <xdr:rowOff>376514</xdr:rowOff>
    </xdr:to>
    <xdr:grpSp>
      <xdr:nvGrpSpPr>
        <xdr:cNvPr id="2050" name="Group 2049">
          <a:extLst>
            <a:ext uri="{FF2B5EF4-FFF2-40B4-BE49-F238E27FC236}">
              <a16:creationId xmlns:a16="http://schemas.microsoft.com/office/drawing/2014/main" id="{00000000-0008-0000-0100-000002080000}"/>
            </a:ext>
          </a:extLst>
        </xdr:cNvPr>
        <xdr:cNvGrpSpPr/>
      </xdr:nvGrpSpPr>
      <xdr:grpSpPr>
        <a:xfrm>
          <a:off x="0" y="720660"/>
          <a:ext cx="16154400" cy="358587"/>
          <a:chOff x="0" y="717174"/>
          <a:chExt cx="16145435" cy="358587"/>
        </a:xfrm>
      </xdr:grpSpPr>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0" y="717174"/>
            <a:ext cx="16145435" cy="358587"/>
          </a:xfrm>
          <a:prstGeom prst="roundRect">
            <a:avLst>
              <a:gd name="adj" fmla="val 0"/>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4" name="Rectangle: Rounded Corners 3">
            <a:hlinkClick xmlns:r="http://schemas.openxmlformats.org/officeDocument/2006/relationships" r:id="rId18" tooltip="See Project Gantt Chart"/>
            <a:extLst>
              <a:ext uri="{FF2B5EF4-FFF2-40B4-BE49-F238E27FC236}">
                <a16:creationId xmlns:a16="http://schemas.microsoft.com/office/drawing/2014/main" id="{00000000-0008-0000-0100-000004000000}"/>
              </a:ext>
            </a:extLst>
          </xdr:cNvPr>
          <xdr:cNvSpPr/>
        </xdr:nvSpPr>
        <xdr:spPr>
          <a:xfrm>
            <a:off x="65565" y="788559"/>
            <a:ext cx="1368000"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GANTT</a:t>
            </a:r>
            <a:r>
              <a:rPr lang="en-PH" sz="1200" b="1" baseline="0">
                <a:solidFill>
                  <a:schemeClr val="tx2">
                    <a:lumMod val="20000"/>
                    <a:lumOff val="80000"/>
                  </a:schemeClr>
                </a:solidFill>
              </a:rPr>
              <a:t> CHART</a:t>
            </a:r>
            <a:endParaRPr lang="en-PH" sz="1200" b="1">
              <a:solidFill>
                <a:schemeClr val="tx2">
                  <a:lumMod val="20000"/>
                  <a:lumOff val="80000"/>
                </a:schemeClr>
              </a:solidFill>
            </a:endParaRPr>
          </a:p>
        </xdr:txBody>
      </xdr:sp>
      <xdr:sp macro="" textlink="">
        <xdr:nvSpPr>
          <xdr:cNvPr id="5" name="Rectangle: Rounded Corners 4">
            <a:hlinkClick xmlns:r="http://schemas.openxmlformats.org/officeDocument/2006/relationships" r:id="rId19" tooltip="View Report"/>
            <a:extLst>
              <a:ext uri="{FF2B5EF4-FFF2-40B4-BE49-F238E27FC236}">
                <a16:creationId xmlns:a16="http://schemas.microsoft.com/office/drawing/2014/main" id="{00000000-0008-0000-0100-000005000000}"/>
              </a:ext>
            </a:extLst>
          </xdr:cNvPr>
          <xdr:cNvSpPr/>
        </xdr:nvSpPr>
        <xdr:spPr>
          <a:xfrm>
            <a:off x="7328729" y="788559"/>
            <a:ext cx="1364118"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REPORT </a:t>
            </a:r>
            <a:r>
              <a:rPr lang="en-PH" sz="1200" b="1" baseline="0">
                <a:solidFill>
                  <a:schemeClr val="tx2">
                    <a:lumMod val="20000"/>
                    <a:lumOff val="80000"/>
                  </a:schemeClr>
                </a:solidFill>
              </a:rPr>
              <a:t>   </a:t>
            </a:r>
            <a:endParaRPr lang="en-PH" sz="1200" b="1">
              <a:solidFill>
                <a:schemeClr val="tx2">
                  <a:lumMod val="20000"/>
                  <a:lumOff val="80000"/>
                </a:schemeClr>
              </a:solidFill>
            </a:endParaRPr>
          </a:p>
        </xdr:txBody>
      </xdr:sp>
      <xdr:sp macro="" textlink="">
        <xdr:nvSpPr>
          <xdr:cNvPr id="8" name="Rectangle: Rounded Corners 7">
            <a:hlinkClick xmlns:r="http://schemas.openxmlformats.org/officeDocument/2006/relationships" r:id="rId20" tooltip="View Risks and Issues"/>
            <a:extLst>
              <a:ext uri="{FF2B5EF4-FFF2-40B4-BE49-F238E27FC236}">
                <a16:creationId xmlns:a16="http://schemas.microsoft.com/office/drawing/2014/main" id="{00000000-0008-0000-0100-000008000000}"/>
              </a:ext>
            </a:extLst>
          </xdr:cNvPr>
          <xdr:cNvSpPr/>
        </xdr:nvSpPr>
        <xdr:spPr>
          <a:xfrm>
            <a:off x="1513776" y="788559"/>
            <a:ext cx="1362237"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RISK</a:t>
            </a:r>
            <a:r>
              <a:rPr lang="en-PH" sz="1200" b="1" baseline="0">
                <a:solidFill>
                  <a:schemeClr val="tx2">
                    <a:lumMod val="20000"/>
                    <a:lumOff val="80000"/>
                  </a:schemeClr>
                </a:solidFill>
              </a:rPr>
              <a:t> AND ISSUES</a:t>
            </a:r>
            <a:endParaRPr lang="en-PH" sz="1200" b="1">
              <a:solidFill>
                <a:schemeClr val="tx2">
                  <a:lumMod val="20000"/>
                  <a:lumOff val="80000"/>
                </a:schemeClr>
              </a:solidFill>
            </a:endParaRPr>
          </a:p>
        </xdr:txBody>
      </xdr:sp>
      <xdr:sp macro="" textlink="">
        <xdr:nvSpPr>
          <xdr:cNvPr id="9" name="Rectangle: Rounded Corners 8">
            <a:hlinkClick xmlns:r="http://schemas.openxmlformats.org/officeDocument/2006/relationships" r:id="rId21" tooltip="View Communication Plan"/>
            <a:extLst>
              <a:ext uri="{FF2B5EF4-FFF2-40B4-BE49-F238E27FC236}">
                <a16:creationId xmlns:a16="http://schemas.microsoft.com/office/drawing/2014/main" id="{00000000-0008-0000-0100-000009000000}"/>
              </a:ext>
            </a:extLst>
          </xdr:cNvPr>
          <xdr:cNvSpPr/>
        </xdr:nvSpPr>
        <xdr:spPr>
          <a:xfrm>
            <a:off x="2962580" y="788559"/>
            <a:ext cx="1372082"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b="1">
                <a:solidFill>
                  <a:schemeClr val="tx2">
                    <a:lumMod val="20000"/>
                    <a:lumOff val="80000"/>
                  </a:schemeClr>
                </a:solidFill>
              </a:rPr>
              <a:t>COMMUNICATION</a:t>
            </a:r>
            <a:r>
              <a:rPr lang="en-PH" sz="800" b="1" baseline="0">
                <a:solidFill>
                  <a:schemeClr val="tx2">
                    <a:lumMod val="20000"/>
                    <a:lumOff val="80000"/>
                  </a:schemeClr>
                </a:solidFill>
              </a:rPr>
              <a:t> PLAN</a:t>
            </a:r>
            <a:endParaRPr lang="en-PH" sz="800" b="1">
              <a:solidFill>
                <a:schemeClr val="tx2">
                  <a:lumMod val="20000"/>
                  <a:lumOff val="80000"/>
                </a:schemeClr>
              </a:solidFill>
            </a:endParaRPr>
          </a:p>
        </xdr:txBody>
      </xdr:sp>
      <xdr:sp macro="" textlink="">
        <xdr:nvSpPr>
          <xdr:cNvPr id="10" name="Rectangle: Rounded Corners 9">
            <a:hlinkClick xmlns:r="http://schemas.openxmlformats.org/officeDocument/2006/relationships" r:id="rId22" tooltip="View and Manage Stakeholders"/>
            <a:extLst>
              <a:ext uri="{FF2B5EF4-FFF2-40B4-BE49-F238E27FC236}">
                <a16:creationId xmlns:a16="http://schemas.microsoft.com/office/drawing/2014/main" id="{00000000-0008-0000-0100-00000A000000}"/>
              </a:ext>
            </a:extLst>
          </xdr:cNvPr>
          <xdr:cNvSpPr/>
        </xdr:nvSpPr>
        <xdr:spPr>
          <a:xfrm>
            <a:off x="4424589" y="788559"/>
            <a:ext cx="1365359"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STAKEHOLDERS</a:t>
            </a:r>
          </a:p>
        </xdr:txBody>
      </xdr:sp>
      <xdr:sp macro="" textlink="">
        <xdr:nvSpPr>
          <xdr:cNvPr id="11" name="Rectangle: Rounded Corners 10">
            <a:hlinkClick xmlns:r="http://schemas.openxmlformats.org/officeDocument/2006/relationships" r:id="rId23" tooltip="View Team Members"/>
            <a:extLst>
              <a:ext uri="{FF2B5EF4-FFF2-40B4-BE49-F238E27FC236}">
                <a16:creationId xmlns:a16="http://schemas.microsoft.com/office/drawing/2014/main" id="{00000000-0008-0000-0100-00000B000000}"/>
              </a:ext>
            </a:extLst>
          </xdr:cNvPr>
          <xdr:cNvSpPr/>
        </xdr:nvSpPr>
        <xdr:spPr>
          <a:xfrm>
            <a:off x="5876007" y="788559"/>
            <a:ext cx="1379846"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ABOUT THE TEAM</a:t>
            </a:r>
          </a:p>
        </xdr:txBody>
      </xdr:sp>
      <xdr:sp macro="" textlink="project_name">
        <xdr:nvSpPr>
          <xdr:cNvPr id="108" name="Rectangle: Rounded Corners 107">
            <a:extLst>
              <a:ext uri="{FF2B5EF4-FFF2-40B4-BE49-F238E27FC236}">
                <a16:creationId xmlns:a16="http://schemas.microsoft.com/office/drawing/2014/main" id="{00000000-0008-0000-0100-00006C000000}"/>
              </a:ext>
            </a:extLst>
          </xdr:cNvPr>
          <xdr:cNvSpPr/>
        </xdr:nvSpPr>
        <xdr:spPr>
          <a:xfrm>
            <a:off x="9528186" y="733494"/>
            <a:ext cx="6487257" cy="321723"/>
          </a:xfrm>
          <a:prstGeom prst="roundRect">
            <a:avLst>
              <a:gd name="adj" fmla="val 31579"/>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F127FB8E-FD22-454F-B49C-81006EB2783F}" type="TxLink">
              <a:rPr lang="en-US" sz="1800" b="1" i="0" u="none" strike="noStrike">
                <a:solidFill>
                  <a:schemeClr val="bg1">
                    <a:lumMod val="95000"/>
                  </a:schemeClr>
                </a:solidFill>
                <a:latin typeface="Calibri Light"/>
                <a:cs typeface="Calibri Light"/>
              </a:rPr>
              <a:pPr algn="r"/>
              <a:t>Project Omicron</a:t>
            </a:fld>
            <a:endParaRPr lang="en-PH" sz="2400" b="1">
              <a:solidFill>
                <a:schemeClr val="bg1">
                  <a:lumMod val="95000"/>
                </a:schemeClr>
              </a:solidFill>
            </a:endParaRPr>
          </a:p>
        </xdr:txBody>
      </xdr:sp>
    </xdr:grpSp>
    <xdr:clientData/>
  </xdr:twoCellAnchor>
  <xdr:twoCellAnchor>
    <xdr:from>
      <xdr:col>1</xdr:col>
      <xdr:colOff>252789</xdr:colOff>
      <xdr:row>6</xdr:row>
      <xdr:rowOff>50801</xdr:rowOff>
    </xdr:from>
    <xdr:to>
      <xdr:col>16</xdr:col>
      <xdr:colOff>1430867</xdr:colOff>
      <xdr:row>39</xdr:row>
      <xdr:rowOff>64111</xdr:rowOff>
    </xdr:to>
    <xdr:grpSp>
      <xdr:nvGrpSpPr>
        <xdr:cNvPr id="109" name="projInfoGroup" hidden="1">
          <a:extLst>
            <a:ext uri="{FF2B5EF4-FFF2-40B4-BE49-F238E27FC236}">
              <a16:creationId xmlns:a16="http://schemas.microsoft.com/office/drawing/2014/main" id="{00000000-0008-0000-0100-00006D000000}"/>
            </a:ext>
          </a:extLst>
        </xdr:cNvPr>
        <xdr:cNvGrpSpPr/>
      </xdr:nvGrpSpPr>
      <xdr:grpSpPr>
        <a:xfrm>
          <a:off x="862389" y="1701801"/>
          <a:ext cx="14987211" cy="6160110"/>
          <a:chOff x="9906000" y="735106"/>
          <a:chExt cx="15691717" cy="6160110"/>
        </a:xfrm>
      </xdr:grpSpPr>
      <xdr:sp macro="" textlink="">
        <xdr:nvSpPr>
          <xdr:cNvPr id="110" name="Rectangle: Folded Corner 109" hidden="1">
            <a:extLst>
              <a:ext uri="{FF2B5EF4-FFF2-40B4-BE49-F238E27FC236}">
                <a16:creationId xmlns:a16="http://schemas.microsoft.com/office/drawing/2014/main" id="{00000000-0008-0000-0100-00006E000000}"/>
              </a:ext>
            </a:extLst>
          </xdr:cNvPr>
          <xdr:cNvSpPr/>
        </xdr:nvSpPr>
        <xdr:spPr>
          <a:xfrm>
            <a:off x="9906000" y="735106"/>
            <a:ext cx="15691717" cy="6160110"/>
          </a:xfrm>
          <a:prstGeom prst="foldedCorner">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111" name="Group 110" hidden="1">
            <a:extLst>
              <a:ext uri="{FF2B5EF4-FFF2-40B4-BE49-F238E27FC236}">
                <a16:creationId xmlns:a16="http://schemas.microsoft.com/office/drawing/2014/main" id="{00000000-0008-0000-0100-00006F000000}"/>
              </a:ext>
            </a:extLst>
          </xdr:cNvPr>
          <xdr:cNvGrpSpPr/>
        </xdr:nvGrpSpPr>
        <xdr:grpSpPr>
          <a:xfrm>
            <a:off x="10324204" y="1031837"/>
            <a:ext cx="7734749" cy="5518951"/>
            <a:chOff x="16725004" y="610495"/>
            <a:chExt cx="7734749" cy="5518951"/>
          </a:xfrm>
        </xdr:grpSpPr>
        <xdr:sp macro="" textlink="">
          <xdr:nvSpPr>
            <xdr:cNvPr id="137" name="Rectangle: Folded Corner 136" hidden="1">
              <a:extLst>
                <a:ext uri="{FF2B5EF4-FFF2-40B4-BE49-F238E27FC236}">
                  <a16:creationId xmlns:a16="http://schemas.microsoft.com/office/drawing/2014/main" id="{00000000-0008-0000-0100-000089000000}"/>
                </a:ext>
              </a:extLst>
            </xdr:cNvPr>
            <xdr:cNvSpPr/>
          </xdr:nvSpPr>
          <xdr:spPr>
            <a:xfrm>
              <a:off x="16725004" y="610495"/>
              <a:ext cx="6421867" cy="5518951"/>
            </a:xfrm>
            <a:prstGeom prst="foldedCorner">
              <a:avLst>
                <a:gd name="adj" fmla="val 9831"/>
              </a:avLst>
            </a:prstGeom>
            <a:solidFill>
              <a:schemeClr val="tx1">
                <a:lumMod val="75000"/>
                <a:lumOff val="25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138" name="TextBox 137" hidden="1">
              <a:extLst>
                <a:ext uri="{FF2B5EF4-FFF2-40B4-BE49-F238E27FC236}">
                  <a16:creationId xmlns:a16="http://schemas.microsoft.com/office/drawing/2014/main" id="{00000000-0008-0000-0100-00008A000000}"/>
                </a:ext>
              </a:extLst>
            </xdr:cNvPr>
            <xdr:cNvSpPr txBox="1"/>
          </xdr:nvSpPr>
          <xdr:spPr>
            <a:xfrm>
              <a:off x="16938364" y="1262679"/>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Project</a:t>
              </a:r>
              <a:r>
                <a:rPr lang="en-PH" sz="1400" b="1" baseline="0">
                  <a:solidFill>
                    <a:schemeClr val="tx2">
                      <a:lumMod val="20000"/>
                      <a:lumOff val="80000"/>
                    </a:schemeClr>
                  </a:solidFill>
                </a:rPr>
                <a:t> Name</a:t>
              </a:r>
              <a:r>
                <a:rPr lang="en-PH" sz="1400" b="1">
                  <a:solidFill>
                    <a:schemeClr val="tx2">
                      <a:lumMod val="20000"/>
                      <a:lumOff val="80000"/>
                    </a:schemeClr>
                  </a:solidFill>
                </a:rPr>
                <a:t>:</a:t>
              </a:r>
            </a:p>
          </xdr:txBody>
        </xdr:sp>
        <xdr:sp macro="" textlink="">
          <xdr:nvSpPr>
            <xdr:cNvPr id="139" name="TextBox 138" hidden="1">
              <a:extLst>
                <a:ext uri="{FF2B5EF4-FFF2-40B4-BE49-F238E27FC236}">
                  <a16:creationId xmlns:a16="http://schemas.microsoft.com/office/drawing/2014/main" id="{00000000-0008-0000-0100-00008B000000}"/>
                </a:ext>
              </a:extLst>
            </xdr:cNvPr>
            <xdr:cNvSpPr txBox="1"/>
          </xdr:nvSpPr>
          <xdr:spPr>
            <a:xfrm>
              <a:off x="16938364" y="1563893"/>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Company:</a:t>
              </a:r>
            </a:p>
          </xdr:txBody>
        </xdr:sp>
        <xdr:sp macro="" textlink="">
          <xdr:nvSpPr>
            <xdr:cNvPr id="140" name="TextBox 139" hidden="1">
              <a:extLst>
                <a:ext uri="{FF2B5EF4-FFF2-40B4-BE49-F238E27FC236}">
                  <a16:creationId xmlns:a16="http://schemas.microsoft.com/office/drawing/2014/main" id="{00000000-0008-0000-0100-00008C000000}"/>
                </a:ext>
              </a:extLst>
            </xdr:cNvPr>
            <xdr:cNvSpPr txBox="1"/>
          </xdr:nvSpPr>
          <xdr:spPr>
            <a:xfrm>
              <a:off x="16938364" y="1978162"/>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Start Date:</a:t>
              </a:r>
            </a:p>
          </xdr:txBody>
        </xdr:sp>
        <xdr:sp macro="" textlink="">
          <xdr:nvSpPr>
            <xdr:cNvPr id="141" name="TextBox 140" hidden="1">
              <a:extLst>
                <a:ext uri="{FF2B5EF4-FFF2-40B4-BE49-F238E27FC236}">
                  <a16:creationId xmlns:a16="http://schemas.microsoft.com/office/drawing/2014/main" id="{00000000-0008-0000-0100-00008D000000}"/>
                </a:ext>
              </a:extLst>
            </xdr:cNvPr>
            <xdr:cNvSpPr txBox="1"/>
          </xdr:nvSpPr>
          <xdr:spPr>
            <a:xfrm>
              <a:off x="16938364" y="2353633"/>
              <a:ext cx="1440000" cy="313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End Date:</a:t>
              </a:r>
            </a:p>
          </xdr:txBody>
        </xdr:sp>
        <xdr:sp macro="" textlink="">
          <xdr:nvSpPr>
            <xdr:cNvPr id="142" name="TextBox 141" hidden="1">
              <a:extLst>
                <a:ext uri="{FF2B5EF4-FFF2-40B4-BE49-F238E27FC236}">
                  <a16:creationId xmlns:a16="http://schemas.microsoft.com/office/drawing/2014/main" id="{00000000-0008-0000-0100-00008E000000}"/>
                </a:ext>
              </a:extLst>
            </xdr:cNvPr>
            <xdr:cNvSpPr txBox="1"/>
          </xdr:nvSpPr>
          <xdr:spPr>
            <a:xfrm>
              <a:off x="16938364" y="2724375"/>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Budget:</a:t>
              </a:r>
            </a:p>
          </xdr:txBody>
        </xdr:sp>
        <xdr:sp macro="" textlink="">
          <xdr:nvSpPr>
            <xdr:cNvPr id="143" name="TextBox 142" hidden="1">
              <a:extLst>
                <a:ext uri="{FF2B5EF4-FFF2-40B4-BE49-F238E27FC236}">
                  <a16:creationId xmlns:a16="http://schemas.microsoft.com/office/drawing/2014/main" id="{00000000-0008-0000-0100-00008F000000}"/>
                </a:ext>
              </a:extLst>
            </xdr:cNvPr>
            <xdr:cNvSpPr txBox="1"/>
          </xdr:nvSpPr>
          <xdr:spPr>
            <a:xfrm>
              <a:off x="17182204" y="621702"/>
              <a:ext cx="2026901"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PROJECT DETAILS</a:t>
              </a:r>
            </a:p>
          </xdr:txBody>
        </xdr:sp>
        <xdr:pic>
          <xdr:nvPicPr>
            <xdr:cNvPr id="144" name="Picture 143" hidden="1">
              <a:extLst>
                <a:ext uri="{FF2B5EF4-FFF2-40B4-BE49-F238E27FC236}">
                  <a16:creationId xmlns:a16="http://schemas.microsoft.com/office/drawing/2014/main" id="{00000000-0008-0000-0100-000090000000}"/>
                </a:ext>
              </a:extLst>
            </xdr:cNvPr>
            <xdr:cNvPicPr>
              <a:picLocks noChangeAspect="1" noChangeArrowheads="1"/>
            </xdr:cNvPicPr>
          </xdr:nvPicPr>
          <xdr:blipFill>
            <a:blip xmlns:r="http://schemas.openxmlformats.org/officeDocument/2006/relationships" r:embed="rId24" cstate="print">
              <a:lum bright="70000" contrast="-70000"/>
              <a:extLst>
                <a:ext uri="{28A0092B-C50C-407E-A947-70E740481C1C}">
                  <a14:useLocalDpi xmlns:a14="http://schemas.microsoft.com/office/drawing/2010/main" val="0"/>
                </a:ext>
              </a:extLst>
            </a:blip>
            <a:srcRect/>
            <a:stretch>
              <a:fillRect/>
            </a:stretch>
          </xdr:blipFill>
          <xdr:spPr bwMode="auto">
            <a:xfrm>
              <a:off x="16808824" y="652182"/>
              <a:ext cx="411480" cy="404309"/>
            </a:xfrm>
            <a:prstGeom prst="rect">
              <a:avLst/>
            </a:prstGeom>
            <a:noFill/>
            <a:extLst>
              <a:ext uri="{909E8E84-426E-40DD-AFC4-6F175D3DCCD1}">
                <a14:hiddenFill xmlns:a14="http://schemas.microsoft.com/office/drawing/2010/main">
                  <a:solidFill>
                    <a:srgbClr val="FFFFFF"/>
                  </a:solidFill>
                </a14:hiddenFill>
              </a:ext>
            </a:extLst>
          </xdr:spPr>
        </xdr:pic>
        <xdr:sp macro="" textlink="project_name">
          <xdr:nvSpPr>
            <xdr:cNvPr id="145" name="TextBox 144" hidden="1">
              <a:extLst>
                <a:ext uri="{FF2B5EF4-FFF2-40B4-BE49-F238E27FC236}">
                  <a16:creationId xmlns:a16="http://schemas.microsoft.com/office/drawing/2014/main" id="{00000000-0008-0000-0100-000091000000}"/>
                </a:ext>
              </a:extLst>
            </xdr:cNvPr>
            <xdr:cNvSpPr txBox="1"/>
          </xdr:nvSpPr>
          <xdr:spPr>
            <a:xfrm>
              <a:off x="18458330" y="1237129"/>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7788CD0-9B1A-4DEC-8B35-9241457840FF}" type="TxLink">
                <a:rPr lang="en-US" sz="1800" b="0" i="0" u="none" strike="noStrike">
                  <a:solidFill>
                    <a:schemeClr val="bg1">
                      <a:lumMod val="95000"/>
                    </a:schemeClr>
                  </a:solidFill>
                  <a:latin typeface="Calibri Light"/>
                  <a:cs typeface="Calibri Light"/>
                </a:rPr>
                <a:pPr algn="l"/>
                <a:t>Project Omicron</a:t>
              </a:fld>
              <a:endParaRPr lang="en-PH" sz="1800" b="0">
                <a:solidFill>
                  <a:schemeClr val="bg1">
                    <a:lumMod val="95000"/>
                  </a:schemeClr>
                </a:solidFill>
              </a:endParaRPr>
            </a:p>
          </xdr:txBody>
        </xdr:sp>
        <xdr:sp macro="" textlink="company_name">
          <xdr:nvSpPr>
            <xdr:cNvPr id="146" name="TextBox 145" hidden="1">
              <a:extLst>
                <a:ext uri="{FF2B5EF4-FFF2-40B4-BE49-F238E27FC236}">
                  <a16:creationId xmlns:a16="http://schemas.microsoft.com/office/drawing/2014/main" id="{00000000-0008-0000-0100-000092000000}"/>
                </a:ext>
              </a:extLst>
            </xdr:cNvPr>
            <xdr:cNvSpPr txBox="1"/>
          </xdr:nvSpPr>
          <xdr:spPr>
            <a:xfrm>
              <a:off x="18458330" y="1622612"/>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7D43786-BE93-4121-A5D1-8B38247F82A2}" type="TxLink">
                <a:rPr lang="en-US" sz="1800" b="0" i="0" u="none" strike="noStrike">
                  <a:solidFill>
                    <a:schemeClr val="bg1">
                      <a:lumMod val="95000"/>
                    </a:schemeClr>
                  </a:solidFill>
                  <a:latin typeface="Arial"/>
                  <a:cs typeface="Arial"/>
                </a:rPr>
                <a:pPr algn="l"/>
                <a:t>COMPANY ABC</a:t>
              </a:fld>
              <a:endParaRPr lang="en-PH" sz="1800" b="0">
                <a:solidFill>
                  <a:schemeClr val="bg1">
                    <a:lumMod val="95000"/>
                  </a:schemeClr>
                </a:solidFill>
              </a:endParaRPr>
            </a:p>
          </xdr:txBody>
        </xdr:sp>
        <xdr:sp macro="" textlink="projectStart">
          <xdr:nvSpPr>
            <xdr:cNvPr id="147" name="TextBox 146" hidden="1">
              <a:extLst>
                <a:ext uri="{FF2B5EF4-FFF2-40B4-BE49-F238E27FC236}">
                  <a16:creationId xmlns:a16="http://schemas.microsoft.com/office/drawing/2014/main" id="{00000000-0008-0000-0100-000093000000}"/>
                </a:ext>
              </a:extLst>
            </xdr:cNvPr>
            <xdr:cNvSpPr txBox="1"/>
          </xdr:nvSpPr>
          <xdr:spPr>
            <a:xfrm>
              <a:off x="18458330" y="1977713"/>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EC10659D-92D6-4F29-9E6A-B65D7EF11A1C}" type="TxLink">
                <a:rPr lang="en-US" sz="1600" b="0" i="0" u="none" strike="noStrike">
                  <a:solidFill>
                    <a:schemeClr val="bg1"/>
                  </a:solidFill>
                  <a:latin typeface="Calibri"/>
                  <a:cs typeface="Calibri"/>
                </a:rPr>
                <a:pPr algn="l"/>
                <a:t>2/19/2022 (Saturday)</a:t>
              </a:fld>
              <a:endParaRPr lang="en-PH" sz="3600" b="1">
                <a:solidFill>
                  <a:schemeClr val="bg1"/>
                </a:solidFill>
              </a:endParaRPr>
            </a:p>
          </xdr:txBody>
        </xdr:sp>
        <xdr:sp macro="" textlink="">
          <xdr:nvSpPr>
            <xdr:cNvPr id="148" name="TextBox 147" hidden="1">
              <a:extLst>
                <a:ext uri="{FF2B5EF4-FFF2-40B4-BE49-F238E27FC236}">
                  <a16:creationId xmlns:a16="http://schemas.microsoft.com/office/drawing/2014/main" id="{00000000-0008-0000-0100-000094000000}"/>
                </a:ext>
              </a:extLst>
            </xdr:cNvPr>
            <xdr:cNvSpPr txBox="1"/>
          </xdr:nvSpPr>
          <xdr:spPr>
            <a:xfrm>
              <a:off x="18458330" y="2352737"/>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b="0" i="0" u="none" strike="noStrike">
                  <a:solidFill>
                    <a:schemeClr val="bg1">
                      <a:lumMod val="95000"/>
                    </a:schemeClr>
                  </a:solidFill>
                  <a:latin typeface="Calibri"/>
                  <a:cs typeface="Calibri"/>
                </a:rPr>
                <a:t>NA</a:t>
              </a:r>
            </a:p>
          </xdr:txBody>
        </xdr:sp>
        <xdr:sp macro="" textlink="'Project Data'!Z3">
          <xdr:nvSpPr>
            <xdr:cNvPr id="149" name="TextBox 148" hidden="1">
              <a:extLst>
                <a:ext uri="{FF2B5EF4-FFF2-40B4-BE49-F238E27FC236}">
                  <a16:creationId xmlns:a16="http://schemas.microsoft.com/office/drawing/2014/main" id="{00000000-0008-0000-0100-000095000000}"/>
                </a:ext>
              </a:extLst>
            </xdr:cNvPr>
            <xdr:cNvSpPr txBox="1"/>
          </xdr:nvSpPr>
          <xdr:spPr>
            <a:xfrm>
              <a:off x="18458330" y="2729753"/>
              <a:ext cx="4010677"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A2FC3F1F-0872-4327-86EF-5D4C459C81A8}" type="TxLink">
                <a:rPr lang="en-US" sz="1600" b="0" i="0" u="none" strike="noStrike">
                  <a:solidFill>
                    <a:schemeClr val="bg1">
                      <a:lumMod val="95000"/>
                    </a:schemeClr>
                  </a:solidFill>
                  <a:latin typeface="Arial"/>
                  <a:cs typeface="Arial"/>
                </a:rPr>
                <a:pPr algn="l"/>
                <a:t> ₱5,000.00 </a:t>
              </a:fld>
              <a:endParaRPr lang="en-PH" sz="3600" b="1">
                <a:solidFill>
                  <a:schemeClr val="bg1">
                    <a:lumMod val="95000"/>
                  </a:schemeClr>
                </a:solidFill>
              </a:endParaRPr>
            </a:p>
          </xdr:txBody>
        </xdr:sp>
      </xdr:grpSp>
      <xdr:grpSp>
        <xdr:nvGrpSpPr>
          <xdr:cNvPr id="112" name="Group 111" hidden="1">
            <a:extLst>
              <a:ext uri="{FF2B5EF4-FFF2-40B4-BE49-F238E27FC236}">
                <a16:creationId xmlns:a16="http://schemas.microsoft.com/office/drawing/2014/main" id="{00000000-0008-0000-0100-000070000000}"/>
              </a:ext>
            </a:extLst>
          </xdr:cNvPr>
          <xdr:cNvGrpSpPr/>
        </xdr:nvGrpSpPr>
        <xdr:grpSpPr>
          <a:xfrm>
            <a:off x="17305951" y="1031838"/>
            <a:ext cx="7993380" cy="5546891"/>
            <a:chOff x="16965292" y="4489973"/>
            <a:chExt cx="7993380" cy="5546891"/>
          </a:xfrm>
        </xdr:grpSpPr>
        <xdr:sp macro="" textlink="">
          <xdr:nvSpPr>
            <xdr:cNvPr id="113" name="Rectangle: Folded Corner 112" hidden="1">
              <a:extLst>
                <a:ext uri="{FF2B5EF4-FFF2-40B4-BE49-F238E27FC236}">
                  <a16:creationId xmlns:a16="http://schemas.microsoft.com/office/drawing/2014/main" id="{00000000-0008-0000-0100-000071000000}"/>
                </a:ext>
              </a:extLst>
            </xdr:cNvPr>
            <xdr:cNvSpPr/>
          </xdr:nvSpPr>
          <xdr:spPr>
            <a:xfrm>
              <a:off x="16965292" y="4489973"/>
              <a:ext cx="7993380" cy="5546891"/>
            </a:xfrm>
            <a:prstGeom prst="foldedCorner">
              <a:avLst>
                <a:gd name="adj" fmla="val 9831"/>
              </a:avLst>
            </a:prstGeom>
            <a:solidFill>
              <a:schemeClr val="tx1">
                <a:lumMod val="50000"/>
                <a:lumOff val="50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118" name="TextBox 117" hidden="1">
              <a:extLst>
                <a:ext uri="{FF2B5EF4-FFF2-40B4-BE49-F238E27FC236}">
                  <a16:creationId xmlns:a16="http://schemas.microsoft.com/office/drawing/2014/main" id="{00000000-0008-0000-0100-000076000000}"/>
                </a:ext>
              </a:extLst>
            </xdr:cNvPr>
            <xdr:cNvSpPr txBox="1"/>
          </xdr:nvSpPr>
          <xdr:spPr>
            <a:xfrm>
              <a:off x="17049559" y="5522708"/>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Manager:</a:t>
              </a:r>
            </a:p>
          </xdr:txBody>
        </xdr:sp>
        <xdr:sp macro="" textlink="">
          <xdr:nvSpPr>
            <xdr:cNvPr id="121" name="TextBox 120" hidden="1">
              <a:extLst>
                <a:ext uri="{FF2B5EF4-FFF2-40B4-BE49-F238E27FC236}">
                  <a16:creationId xmlns:a16="http://schemas.microsoft.com/office/drawing/2014/main" id="{00000000-0008-0000-0100-000079000000}"/>
                </a:ext>
              </a:extLst>
            </xdr:cNvPr>
            <xdr:cNvSpPr txBox="1"/>
          </xdr:nvSpPr>
          <xdr:spPr>
            <a:xfrm>
              <a:off x="17049559" y="5164118"/>
              <a:ext cx="1691620"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Sponsor:</a:t>
              </a:r>
            </a:p>
          </xdr:txBody>
        </xdr:sp>
        <xdr:sp macro="" textlink="">
          <xdr:nvSpPr>
            <xdr:cNvPr id="128" name="TextBox 127" hidden="1">
              <a:extLst>
                <a:ext uri="{FF2B5EF4-FFF2-40B4-BE49-F238E27FC236}">
                  <a16:creationId xmlns:a16="http://schemas.microsoft.com/office/drawing/2014/main" id="{00000000-0008-0000-0100-000080000000}"/>
                </a:ext>
              </a:extLst>
            </xdr:cNvPr>
            <xdr:cNvSpPr txBox="1"/>
          </xdr:nvSpPr>
          <xdr:spPr>
            <a:xfrm>
              <a:off x="17049559" y="5845437"/>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Champion:</a:t>
              </a:r>
            </a:p>
          </xdr:txBody>
        </xdr:sp>
        <xdr:sp macro="" textlink="">
          <xdr:nvSpPr>
            <xdr:cNvPr id="129" name="TextBox 128" hidden="1">
              <a:extLst>
                <a:ext uri="{FF2B5EF4-FFF2-40B4-BE49-F238E27FC236}">
                  <a16:creationId xmlns:a16="http://schemas.microsoft.com/office/drawing/2014/main" id="{00000000-0008-0000-0100-000081000000}"/>
                </a:ext>
              </a:extLst>
            </xdr:cNvPr>
            <xdr:cNvSpPr txBox="1"/>
          </xdr:nvSpPr>
          <xdr:spPr>
            <a:xfrm>
              <a:off x="17574891" y="4573793"/>
              <a:ext cx="2026901"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TEAM</a:t>
              </a:r>
            </a:p>
          </xdr:txBody>
        </xdr:sp>
        <xdr:pic>
          <xdr:nvPicPr>
            <xdr:cNvPr id="130" name="Picture 129" hidden="1">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25">
              <a:lum bright="70000" contrast="-70000"/>
            </a:blip>
            <a:stretch>
              <a:fillRect/>
            </a:stretch>
          </xdr:blipFill>
          <xdr:spPr>
            <a:xfrm>
              <a:off x="17049111" y="4505213"/>
              <a:ext cx="518160" cy="510988"/>
            </a:xfrm>
            <a:prstGeom prst="rect">
              <a:avLst/>
            </a:prstGeom>
          </xdr:spPr>
        </xdr:pic>
        <xdr:sp macro="" textlink="">
          <xdr:nvSpPr>
            <xdr:cNvPr id="131" name="TextBox 130" hidden="1">
              <a:extLst>
                <a:ext uri="{FF2B5EF4-FFF2-40B4-BE49-F238E27FC236}">
                  <a16:creationId xmlns:a16="http://schemas.microsoft.com/office/drawing/2014/main" id="{00000000-0008-0000-0100-000083000000}"/>
                </a:ext>
              </a:extLst>
            </xdr:cNvPr>
            <xdr:cNvSpPr txBox="1"/>
          </xdr:nvSpPr>
          <xdr:spPr>
            <a:xfrm>
              <a:off x="17041939" y="6159202"/>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Team Members:</a:t>
              </a:r>
            </a:p>
          </xdr:txBody>
        </xdr:sp>
        <xdr:sp macro="" textlink="projectSponsor">
          <xdr:nvSpPr>
            <xdr:cNvPr id="133" name="TextBox 132" hidden="1">
              <a:extLst>
                <a:ext uri="{FF2B5EF4-FFF2-40B4-BE49-F238E27FC236}">
                  <a16:creationId xmlns:a16="http://schemas.microsoft.com/office/drawing/2014/main" id="{00000000-0008-0000-0100-000085000000}"/>
                </a:ext>
              </a:extLst>
            </xdr:cNvPr>
            <xdr:cNvSpPr txBox="1"/>
          </xdr:nvSpPr>
          <xdr:spPr>
            <a:xfrm>
              <a:off x="18790951" y="5164118"/>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sp macro="" textlink="projectManager">
          <xdr:nvSpPr>
            <xdr:cNvPr id="134" name="TextBox 133" hidden="1">
              <a:extLst>
                <a:ext uri="{FF2B5EF4-FFF2-40B4-BE49-F238E27FC236}">
                  <a16:creationId xmlns:a16="http://schemas.microsoft.com/office/drawing/2014/main" id="{00000000-0008-0000-0100-000086000000}"/>
                </a:ext>
              </a:extLst>
            </xdr:cNvPr>
            <xdr:cNvSpPr txBox="1"/>
          </xdr:nvSpPr>
          <xdr:spPr>
            <a:xfrm>
              <a:off x="18790951" y="5522707"/>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B37F4B57-8563-423F-87AB-73DC24AD37A0}" type="TxLink">
                <a:rPr lang="en-US" sz="1800" b="0" i="0" u="none" strike="noStrike">
                  <a:solidFill>
                    <a:schemeClr val="bg1">
                      <a:lumMod val="95000"/>
                    </a:schemeClr>
                  </a:solidFill>
                  <a:latin typeface="Calibri"/>
                  <a:cs typeface="Calibri"/>
                </a:rPr>
                <a:pPr algn="l"/>
                <a:t>Name of Project Manager</a:t>
              </a:fld>
              <a:endParaRPr lang="en-PH" sz="1800" b="1">
                <a:solidFill>
                  <a:schemeClr val="bg1">
                    <a:lumMod val="95000"/>
                  </a:schemeClr>
                </a:solidFill>
              </a:endParaRPr>
            </a:p>
          </xdr:txBody>
        </xdr:sp>
        <xdr:sp macro="" textlink="projectChampion">
          <xdr:nvSpPr>
            <xdr:cNvPr id="135" name="TextBox 134" hidden="1">
              <a:extLst>
                <a:ext uri="{FF2B5EF4-FFF2-40B4-BE49-F238E27FC236}">
                  <a16:creationId xmlns:a16="http://schemas.microsoft.com/office/drawing/2014/main" id="{00000000-0008-0000-0100-000087000000}"/>
                </a:ext>
              </a:extLst>
            </xdr:cNvPr>
            <xdr:cNvSpPr txBox="1"/>
          </xdr:nvSpPr>
          <xdr:spPr>
            <a:xfrm>
              <a:off x="18790951" y="5845436"/>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FD9AE3F-7FDE-46CE-8AE7-069BD55B5EE2}" type="TxLink">
                <a:rPr lang="en-US" sz="1800" b="0" i="0" u="none" strike="noStrike">
                  <a:solidFill>
                    <a:schemeClr val="bg1">
                      <a:lumMod val="95000"/>
                    </a:schemeClr>
                  </a:solidFill>
                  <a:latin typeface="Calibri"/>
                  <a:cs typeface="Calibri"/>
                </a:rPr>
                <a:pPr algn="l"/>
                <a:t>Name of Project Champion</a:t>
              </a:fld>
              <a:endParaRPr lang="en-PH" sz="1800" b="1">
                <a:solidFill>
                  <a:schemeClr val="bg1">
                    <a:lumMod val="95000"/>
                  </a:schemeClr>
                </a:solidFill>
              </a:endParaRPr>
            </a:p>
          </xdr:txBody>
        </xdr:sp>
        <xdr:sp macro="" textlink="team_members_Concat">
          <xdr:nvSpPr>
            <xdr:cNvPr id="136" name="TextBox 135" hidden="1">
              <a:extLst>
                <a:ext uri="{FF2B5EF4-FFF2-40B4-BE49-F238E27FC236}">
                  <a16:creationId xmlns:a16="http://schemas.microsoft.com/office/drawing/2014/main" id="{00000000-0008-0000-0100-000088000000}"/>
                </a:ext>
              </a:extLst>
            </xdr:cNvPr>
            <xdr:cNvSpPr txBox="1"/>
          </xdr:nvSpPr>
          <xdr:spPr>
            <a:xfrm>
              <a:off x="18826811" y="6177131"/>
              <a:ext cx="5257354" cy="1424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AD8AF9AB-FBEF-48FA-B903-35ECBAB3E01A}" type="TxLink">
                <a:rPr lang="en-US" sz="1600" b="0" i="0" u="none" strike="noStrike">
                  <a:solidFill>
                    <a:schemeClr val="bg1">
                      <a:lumMod val="95000"/>
                    </a:schemeClr>
                  </a:solidFill>
                  <a:latin typeface="Calibri"/>
                  <a:cs typeface="Calibri"/>
                </a:rPr>
                <a:pPr algn="l"/>
                <a:t>Team Member A
Team Member B
Team Member C
Team Member D
Team Member E</a:t>
              </a:fld>
              <a:endParaRPr lang="en-US" sz="2800" b="0" i="0" u="none" strike="noStrike">
                <a:solidFill>
                  <a:schemeClr val="bg1">
                    <a:lumMod val="95000"/>
                  </a:schemeClr>
                </a:solidFill>
                <a:latin typeface="Calibri"/>
                <a:cs typeface="Calibri"/>
              </a:endParaRPr>
            </a:p>
          </xdr:txBody>
        </xdr:sp>
      </xdr:grpSp>
    </xdr:grpSp>
    <xdr:clientData/>
  </xdr:twoCellAnchor>
  <xdr:twoCellAnchor>
    <xdr:from>
      <xdr:col>0</xdr:col>
      <xdr:colOff>0</xdr:colOff>
      <xdr:row>22</xdr:row>
      <xdr:rowOff>110926</xdr:rowOff>
    </xdr:from>
    <xdr:to>
      <xdr:col>1</xdr:col>
      <xdr:colOff>195943</xdr:colOff>
      <xdr:row>27</xdr:row>
      <xdr:rowOff>100041</xdr:rowOff>
    </xdr:to>
    <xdr:sp macro="" textlink="">
      <xdr:nvSpPr>
        <xdr:cNvPr id="150" name="timelineShade">
          <a:extLst>
            <a:ext uri="{FF2B5EF4-FFF2-40B4-BE49-F238E27FC236}">
              <a16:creationId xmlns:a16="http://schemas.microsoft.com/office/drawing/2014/main" id="{00000000-0008-0000-0100-000096000000}"/>
            </a:ext>
          </a:extLst>
        </xdr:cNvPr>
        <xdr:cNvSpPr/>
      </xdr:nvSpPr>
      <xdr:spPr>
        <a:xfrm>
          <a:off x="0" y="4729309"/>
          <a:ext cx="805543" cy="916767"/>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25</xdr:row>
      <xdr:rowOff>105998</xdr:rowOff>
    </xdr:from>
    <xdr:to>
      <xdr:col>1</xdr:col>
      <xdr:colOff>154004</xdr:colOff>
      <xdr:row>27</xdr:row>
      <xdr:rowOff>150045</xdr:rowOff>
    </xdr:to>
    <xdr:sp macro="" textlink="">
      <xdr:nvSpPr>
        <xdr:cNvPr id="153" name="TextBox 152">
          <a:extLst>
            <a:ext uri="{FF2B5EF4-FFF2-40B4-BE49-F238E27FC236}">
              <a16:creationId xmlns:a16="http://schemas.microsoft.com/office/drawing/2014/main" id="{00000000-0008-0000-0100-000099000000}"/>
            </a:ext>
          </a:extLst>
        </xdr:cNvPr>
        <xdr:cNvSpPr txBox="1"/>
      </xdr:nvSpPr>
      <xdr:spPr>
        <a:xfrm>
          <a:off x="0" y="5219018"/>
          <a:ext cx="763604" cy="409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baseline="0">
              <a:solidFill>
                <a:schemeClr val="tx2">
                  <a:lumMod val="20000"/>
                  <a:lumOff val="80000"/>
                </a:schemeClr>
              </a:solidFill>
            </a:rPr>
            <a:t>BUDGET</a:t>
          </a:r>
        </a:p>
      </xdr:txBody>
    </xdr:sp>
    <xdr:clientData/>
  </xdr:twoCellAnchor>
  <xdr:twoCellAnchor editAs="oneCell">
    <xdr:from>
      <xdr:col>0</xdr:col>
      <xdr:colOff>114300</xdr:colOff>
      <xdr:row>23</xdr:row>
      <xdr:rowOff>47253</xdr:rowOff>
    </xdr:from>
    <xdr:to>
      <xdr:col>1</xdr:col>
      <xdr:colOff>67048</xdr:colOff>
      <xdr:row>26</xdr:row>
      <xdr:rowOff>60961</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6">
          <a:lum bright="70000" contrast="-70000"/>
        </a:blip>
        <a:stretch>
          <a:fillRect/>
        </a:stretch>
      </xdr:blipFill>
      <xdr:spPr>
        <a:xfrm>
          <a:off x="114300" y="4794513"/>
          <a:ext cx="562348" cy="5623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494477</xdr:colOff>
      <xdr:row>3</xdr:row>
      <xdr:rowOff>45720</xdr:rowOff>
    </xdr:from>
    <xdr:to>
      <xdr:col>22</xdr:col>
      <xdr:colOff>365741</xdr:colOff>
      <xdr:row>5</xdr:row>
      <xdr:rowOff>34899</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7144177" y="594360"/>
          <a:ext cx="2309664" cy="3549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endParaRPr lang="en-PH" sz="1600" b="1">
            <a:solidFill>
              <a:schemeClr val="tx2">
                <a:lumMod val="20000"/>
                <a:lumOff val="80000"/>
              </a:schemeClr>
            </a:solidFill>
          </a:endParaRPr>
        </a:p>
      </xdr:txBody>
    </xdr:sp>
    <xdr:clientData/>
  </xdr:twoCellAnchor>
  <xdr:twoCellAnchor>
    <xdr:from>
      <xdr:col>6</xdr:col>
      <xdr:colOff>564776</xdr:colOff>
      <xdr:row>4</xdr:row>
      <xdr:rowOff>17930</xdr:rowOff>
    </xdr:from>
    <xdr:to>
      <xdr:col>31</xdr:col>
      <xdr:colOff>599853</xdr:colOff>
      <xdr:row>38</xdr:row>
      <xdr:rowOff>82040</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10228729" y="735106"/>
          <a:ext cx="15275077" cy="6160110"/>
          <a:chOff x="9906000" y="735106"/>
          <a:chExt cx="15275077" cy="6160110"/>
        </a:xfrm>
      </xdr:grpSpPr>
      <xdr:sp macro="" textlink="">
        <xdr:nvSpPr>
          <xdr:cNvPr id="32" name="Rectangle: Folded Corner 31">
            <a:extLst>
              <a:ext uri="{FF2B5EF4-FFF2-40B4-BE49-F238E27FC236}">
                <a16:creationId xmlns:a16="http://schemas.microsoft.com/office/drawing/2014/main" id="{00000000-0008-0000-0200-000020000000}"/>
              </a:ext>
            </a:extLst>
          </xdr:cNvPr>
          <xdr:cNvSpPr/>
        </xdr:nvSpPr>
        <xdr:spPr>
          <a:xfrm>
            <a:off x="9906000" y="735106"/>
            <a:ext cx="15275077" cy="6160110"/>
          </a:xfrm>
          <a:prstGeom prst="foldedCorner">
            <a:avLst>
              <a:gd name="adj" fmla="val 0"/>
            </a:avLst>
          </a:prstGeom>
          <a:solidFill>
            <a:srgbClr val="0D162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30" name="Group 29">
            <a:extLst>
              <a:ext uri="{FF2B5EF4-FFF2-40B4-BE49-F238E27FC236}">
                <a16:creationId xmlns:a16="http://schemas.microsoft.com/office/drawing/2014/main" id="{00000000-0008-0000-0200-00001E000000}"/>
              </a:ext>
            </a:extLst>
          </xdr:cNvPr>
          <xdr:cNvGrpSpPr/>
        </xdr:nvGrpSpPr>
        <xdr:grpSpPr>
          <a:xfrm>
            <a:off x="10324204" y="1031838"/>
            <a:ext cx="7734749" cy="3280186"/>
            <a:chOff x="16725004" y="610496"/>
            <a:chExt cx="7734749" cy="3280186"/>
          </a:xfrm>
        </xdr:grpSpPr>
        <xdr:sp macro="" textlink="">
          <xdr:nvSpPr>
            <xdr:cNvPr id="2" name="Rectangle: Folded Corner 1">
              <a:extLst>
                <a:ext uri="{FF2B5EF4-FFF2-40B4-BE49-F238E27FC236}">
                  <a16:creationId xmlns:a16="http://schemas.microsoft.com/office/drawing/2014/main" id="{00000000-0008-0000-0200-000002000000}"/>
                </a:ext>
              </a:extLst>
            </xdr:cNvPr>
            <xdr:cNvSpPr/>
          </xdr:nvSpPr>
          <xdr:spPr>
            <a:xfrm>
              <a:off x="16725004" y="610496"/>
              <a:ext cx="6421867" cy="3280186"/>
            </a:xfrm>
            <a:prstGeom prst="foldedCorner">
              <a:avLst>
                <a:gd name="adj" fmla="val 9831"/>
              </a:avLst>
            </a:prstGeom>
            <a:solidFill>
              <a:schemeClr val="tx1">
                <a:lumMod val="50000"/>
                <a:lumOff val="50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6938364" y="1262679"/>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Project</a:t>
              </a:r>
              <a:r>
                <a:rPr lang="en-PH" sz="1400" b="1" baseline="0">
                  <a:solidFill>
                    <a:schemeClr val="tx2">
                      <a:lumMod val="20000"/>
                      <a:lumOff val="80000"/>
                    </a:schemeClr>
                  </a:solidFill>
                </a:rPr>
                <a:t> Name</a:t>
              </a:r>
              <a:r>
                <a:rPr lang="en-PH" sz="1400" b="1">
                  <a:solidFill>
                    <a:schemeClr val="tx2">
                      <a:lumMod val="20000"/>
                      <a:lumOff val="80000"/>
                    </a:schemeClr>
                  </a:solidFill>
                </a:rPr>
                <a:t>:</a:t>
              </a:r>
            </a:p>
          </xdr:txBody>
        </xdr:sp>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16938364" y="1563893"/>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Company:</a:t>
              </a:r>
            </a:p>
          </xdr:txBody>
        </xdr:sp>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6938364" y="1918895"/>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Start Date:</a:t>
              </a:r>
            </a:p>
          </xdr:txBody>
        </xdr:sp>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16938364" y="2268966"/>
              <a:ext cx="1440000" cy="313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End Date:</a:t>
              </a:r>
            </a:p>
          </xdr:txBody>
        </xdr: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16938364" y="2648175"/>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Budget:</a:t>
              </a:r>
            </a:p>
          </xdr:txBody>
        </xdr:sp>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7182204" y="621702"/>
              <a:ext cx="2026901"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PROJECT DETAILS</a:t>
              </a:r>
            </a:p>
          </xdr:txBody>
        </xdr:sp>
        <xdr:pic>
          <xdr:nvPicPr>
            <xdr:cNvPr id="14" name="Picture 13">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6808824" y="652182"/>
              <a:ext cx="411480" cy="404309"/>
            </a:xfrm>
            <a:prstGeom prst="rect">
              <a:avLst/>
            </a:prstGeom>
            <a:noFill/>
            <a:extLst>
              <a:ext uri="{909E8E84-426E-40DD-AFC4-6F175D3DCCD1}">
                <a14:hiddenFill xmlns:a14="http://schemas.microsoft.com/office/drawing/2010/main">
                  <a:solidFill>
                    <a:srgbClr val="FFFFFF"/>
                  </a:solidFill>
                </a14:hiddenFill>
              </a:ext>
            </a:extLst>
          </xdr:spPr>
        </xdr:pic>
        <xdr:sp macro="" textlink="project_name">
          <xdr:nvSpPr>
            <xdr:cNvPr id="25" name="TextBox 24">
              <a:extLst>
                <a:ext uri="{FF2B5EF4-FFF2-40B4-BE49-F238E27FC236}">
                  <a16:creationId xmlns:a16="http://schemas.microsoft.com/office/drawing/2014/main" id="{00000000-0008-0000-0200-000019000000}"/>
                </a:ext>
              </a:extLst>
            </xdr:cNvPr>
            <xdr:cNvSpPr txBox="1"/>
          </xdr:nvSpPr>
          <xdr:spPr>
            <a:xfrm>
              <a:off x="18458330" y="1237129"/>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7788CD0-9B1A-4DEC-8B35-9241457840FF}" type="TxLink">
                <a:rPr lang="en-US" sz="1800" b="0" i="0" u="none" strike="noStrike">
                  <a:solidFill>
                    <a:schemeClr val="bg1">
                      <a:lumMod val="95000"/>
                    </a:schemeClr>
                  </a:solidFill>
                  <a:latin typeface="Calibri Light"/>
                  <a:cs typeface="Calibri Light"/>
                </a:rPr>
                <a:pPr algn="l"/>
                <a:t>Project Omicron</a:t>
              </a:fld>
              <a:endParaRPr lang="en-PH" sz="1800" b="0">
                <a:solidFill>
                  <a:schemeClr val="bg1">
                    <a:lumMod val="95000"/>
                  </a:schemeClr>
                </a:solidFill>
              </a:endParaRPr>
            </a:p>
          </xdr:txBody>
        </xdr:sp>
        <xdr:sp macro="" textlink="company_name">
          <xdr:nvSpPr>
            <xdr:cNvPr id="26" name="TextBox 25">
              <a:extLst>
                <a:ext uri="{FF2B5EF4-FFF2-40B4-BE49-F238E27FC236}">
                  <a16:creationId xmlns:a16="http://schemas.microsoft.com/office/drawing/2014/main" id="{00000000-0008-0000-0200-00001A000000}"/>
                </a:ext>
              </a:extLst>
            </xdr:cNvPr>
            <xdr:cNvSpPr txBox="1"/>
          </xdr:nvSpPr>
          <xdr:spPr>
            <a:xfrm>
              <a:off x="18458330" y="1622612"/>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7D43786-BE93-4121-A5D1-8B38247F82A2}" type="TxLink">
                <a:rPr lang="en-US" sz="1800" b="0" i="0" u="none" strike="noStrike">
                  <a:solidFill>
                    <a:schemeClr val="bg1">
                      <a:lumMod val="95000"/>
                    </a:schemeClr>
                  </a:solidFill>
                  <a:latin typeface="Arial"/>
                  <a:cs typeface="Arial"/>
                </a:rPr>
                <a:pPr algn="l"/>
                <a:t>COMPANY ABC</a:t>
              </a:fld>
              <a:endParaRPr lang="en-PH" sz="1800" b="0">
                <a:solidFill>
                  <a:schemeClr val="bg1">
                    <a:lumMod val="95000"/>
                  </a:schemeClr>
                </a:solidFill>
              </a:endParaRPr>
            </a:p>
          </xdr:txBody>
        </xdr:sp>
        <xdr:sp macro="" textlink="projectSponsor">
          <xdr:nvSpPr>
            <xdr:cNvPr id="27" name="TextBox 26">
              <a:extLst>
                <a:ext uri="{FF2B5EF4-FFF2-40B4-BE49-F238E27FC236}">
                  <a16:creationId xmlns:a16="http://schemas.microsoft.com/office/drawing/2014/main" id="{00000000-0008-0000-0200-00001B000000}"/>
                </a:ext>
              </a:extLst>
            </xdr:cNvPr>
            <xdr:cNvSpPr txBox="1"/>
          </xdr:nvSpPr>
          <xdr:spPr>
            <a:xfrm>
              <a:off x="18458330" y="1918446"/>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sp macro="" textlink="projectSponsor">
          <xdr:nvSpPr>
            <xdr:cNvPr id="28" name="TextBox 27">
              <a:extLst>
                <a:ext uri="{FF2B5EF4-FFF2-40B4-BE49-F238E27FC236}">
                  <a16:creationId xmlns:a16="http://schemas.microsoft.com/office/drawing/2014/main" id="{00000000-0008-0000-0200-00001C000000}"/>
                </a:ext>
              </a:extLst>
            </xdr:cNvPr>
            <xdr:cNvSpPr txBox="1"/>
          </xdr:nvSpPr>
          <xdr:spPr>
            <a:xfrm>
              <a:off x="18458330" y="2268070"/>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sp macro="" textlink="projectSponsor">
          <xdr:nvSpPr>
            <xdr:cNvPr id="29" name="TextBox 28">
              <a:extLst>
                <a:ext uri="{FF2B5EF4-FFF2-40B4-BE49-F238E27FC236}">
                  <a16:creationId xmlns:a16="http://schemas.microsoft.com/office/drawing/2014/main" id="{00000000-0008-0000-0200-00001D000000}"/>
                </a:ext>
              </a:extLst>
            </xdr:cNvPr>
            <xdr:cNvSpPr txBox="1"/>
          </xdr:nvSpPr>
          <xdr:spPr>
            <a:xfrm>
              <a:off x="18458330" y="2653553"/>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grpSp>
      <xdr:grpSp>
        <xdr:nvGrpSpPr>
          <xdr:cNvPr id="31" name="Group 30">
            <a:extLst>
              <a:ext uri="{FF2B5EF4-FFF2-40B4-BE49-F238E27FC236}">
                <a16:creationId xmlns:a16="http://schemas.microsoft.com/office/drawing/2014/main" id="{00000000-0008-0000-0200-00001F000000}"/>
              </a:ext>
            </a:extLst>
          </xdr:cNvPr>
          <xdr:cNvGrpSpPr/>
        </xdr:nvGrpSpPr>
        <xdr:grpSpPr>
          <a:xfrm>
            <a:off x="16951363" y="1031838"/>
            <a:ext cx="7993380" cy="3246570"/>
            <a:chOff x="16610704" y="4489973"/>
            <a:chExt cx="7993380" cy="3246570"/>
          </a:xfrm>
        </xdr:grpSpPr>
        <xdr:sp macro="" textlink="">
          <xdr:nvSpPr>
            <xdr:cNvPr id="15" name="Rectangle: Folded Corner 14">
              <a:extLst>
                <a:ext uri="{FF2B5EF4-FFF2-40B4-BE49-F238E27FC236}">
                  <a16:creationId xmlns:a16="http://schemas.microsoft.com/office/drawing/2014/main" id="{00000000-0008-0000-0200-00000F000000}"/>
                </a:ext>
              </a:extLst>
            </xdr:cNvPr>
            <xdr:cNvSpPr/>
          </xdr:nvSpPr>
          <xdr:spPr>
            <a:xfrm>
              <a:off x="16610704" y="4489973"/>
              <a:ext cx="7993380" cy="3246570"/>
            </a:xfrm>
            <a:prstGeom prst="foldedCorner">
              <a:avLst>
                <a:gd name="adj" fmla="val 9831"/>
              </a:avLst>
            </a:prstGeom>
            <a:solidFill>
              <a:schemeClr val="tx1">
                <a:lumMod val="50000"/>
                <a:lumOff val="50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6694972" y="5522708"/>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Manager:</a:t>
              </a:r>
            </a:p>
          </xdr:txBody>
        </xdr: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6694972" y="5164118"/>
              <a:ext cx="1691620"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Sponsor:</a:t>
              </a:r>
            </a:p>
          </xdr:txBody>
        </xdr:sp>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16694972" y="5845437"/>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Champion:</a:t>
              </a:r>
            </a:p>
          </xdr:txBody>
        </xdr:sp>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7220304" y="4573793"/>
              <a:ext cx="2026901"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TEAM</a:t>
              </a:r>
            </a:p>
          </xdr:txBody>
        </xdr:sp>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2">
              <a:lum bright="70000" contrast="-70000"/>
            </a:blip>
            <a:stretch>
              <a:fillRect/>
            </a:stretch>
          </xdr:blipFill>
          <xdr:spPr>
            <a:xfrm>
              <a:off x="16694524" y="4505213"/>
              <a:ext cx="518160" cy="510988"/>
            </a:xfrm>
            <a:prstGeom prst="rect">
              <a:avLst/>
            </a:prstGeom>
          </xdr:spPr>
        </xdr:pic>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6687352" y="6159202"/>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Team Members:</a:t>
              </a:r>
            </a:p>
          </xdr:txBody>
        </xdr:sp>
        <xdr:sp macro="" textlink="projectSponsor">
          <xdr:nvSpPr>
            <xdr:cNvPr id="21" name="TextBox 20">
              <a:extLst>
                <a:ext uri="{FF2B5EF4-FFF2-40B4-BE49-F238E27FC236}">
                  <a16:creationId xmlns:a16="http://schemas.microsoft.com/office/drawing/2014/main" id="{00000000-0008-0000-0200-000015000000}"/>
                </a:ext>
              </a:extLst>
            </xdr:cNvPr>
            <xdr:cNvSpPr txBox="1"/>
          </xdr:nvSpPr>
          <xdr:spPr>
            <a:xfrm>
              <a:off x="18436364" y="5164118"/>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sp macro="" textlink="projectManager">
          <xdr:nvSpPr>
            <xdr:cNvPr id="22" name="TextBox 21">
              <a:extLst>
                <a:ext uri="{FF2B5EF4-FFF2-40B4-BE49-F238E27FC236}">
                  <a16:creationId xmlns:a16="http://schemas.microsoft.com/office/drawing/2014/main" id="{00000000-0008-0000-0200-000016000000}"/>
                </a:ext>
              </a:extLst>
            </xdr:cNvPr>
            <xdr:cNvSpPr txBox="1"/>
          </xdr:nvSpPr>
          <xdr:spPr>
            <a:xfrm>
              <a:off x="18436364" y="5522707"/>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B37F4B57-8563-423F-87AB-73DC24AD37A0}" type="TxLink">
                <a:rPr lang="en-US" sz="1800" b="0" i="0" u="none" strike="noStrike">
                  <a:solidFill>
                    <a:schemeClr val="bg1">
                      <a:lumMod val="95000"/>
                    </a:schemeClr>
                  </a:solidFill>
                  <a:latin typeface="Calibri"/>
                  <a:cs typeface="Calibri"/>
                </a:rPr>
                <a:pPr algn="l"/>
                <a:t>Name of Project Manager</a:t>
              </a:fld>
              <a:endParaRPr lang="en-PH" sz="1800" b="1">
                <a:solidFill>
                  <a:schemeClr val="bg1">
                    <a:lumMod val="95000"/>
                  </a:schemeClr>
                </a:solidFill>
              </a:endParaRPr>
            </a:p>
          </xdr:txBody>
        </xdr:sp>
        <xdr:sp macro="" textlink="projectChampion">
          <xdr:nvSpPr>
            <xdr:cNvPr id="23" name="TextBox 22">
              <a:extLst>
                <a:ext uri="{FF2B5EF4-FFF2-40B4-BE49-F238E27FC236}">
                  <a16:creationId xmlns:a16="http://schemas.microsoft.com/office/drawing/2014/main" id="{00000000-0008-0000-0200-000017000000}"/>
                </a:ext>
              </a:extLst>
            </xdr:cNvPr>
            <xdr:cNvSpPr txBox="1"/>
          </xdr:nvSpPr>
          <xdr:spPr>
            <a:xfrm>
              <a:off x="18436364" y="5845436"/>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FD9AE3F-7FDE-46CE-8AE7-069BD55B5EE2}" type="TxLink">
                <a:rPr lang="en-US" sz="1800" b="0" i="0" u="none" strike="noStrike">
                  <a:solidFill>
                    <a:schemeClr val="bg1">
                      <a:lumMod val="95000"/>
                    </a:schemeClr>
                  </a:solidFill>
                  <a:latin typeface="Calibri"/>
                  <a:cs typeface="Calibri"/>
                </a:rPr>
                <a:pPr algn="l"/>
                <a:t>Name of Project Champion</a:t>
              </a:fld>
              <a:endParaRPr lang="en-PH" sz="1800" b="1">
                <a:solidFill>
                  <a:schemeClr val="bg1">
                    <a:lumMod val="95000"/>
                  </a:schemeClr>
                </a:solidFill>
              </a:endParaRPr>
            </a:p>
          </xdr:txBody>
        </xdr:sp>
        <xdr:sp macro="" textlink="team_members_Concat">
          <xdr:nvSpPr>
            <xdr:cNvPr id="24" name="TextBox 23">
              <a:extLst>
                <a:ext uri="{FF2B5EF4-FFF2-40B4-BE49-F238E27FC236}">
                  <a16:creationId xmlns:a16="http://schemas.microsoft.com/office/drawing/2014/main" id="{00000000-0008-0000-0200-000018000000}"/>
                </a:ext>
              </a:extLst>
            </xdr:cNvPr>
            <xdr:cNvSpPr txBox="1"/>
          </xdr:nvSpPr>
          <xdr:spPr>
            <a:xfrm>
              <a:off x="18472224" y="6177131"/>
              <a:ext cx="5257354" cy="1424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AD8AF9AB-FBEF-48FA-B903-35ECBAB3E01A}" type="TxLink">
                <a:rPr lang="en-US" sz="1600" b="0" i="0" u="none" strike="noStrike">
                  <a:solidFill>
                    <a:schemeClr val="bg1">
                      <a:lumMod val="95000"/>
                    </a:schemeClr>
                  </a:solidFill>
                  <a:latin typeface="Calibri"/>
                  <a:cs typeface="Calibri"/>
                </a:rPr>
                <a:pPr algn="l"/>
                <a:t>Team Member A
Team Member B
Team Member C
Team Member D
Team Member E</a:t>
              </a:fld>
              <a:endParaRPr lang="en-US" sz="2800" b="0" i="0" u="none" strike="noStrike">
                <a:solidFill>
                  <a:schemeClr val="bg1">
                    <a:lumMod val="95000"/>
                  </a:schemeClr>
                </a:solidFill>
                <a:latin typeface="Calibri"/>
                <a:cs typeface="Calibri"/>
              </a:endParaRPr>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41013</xdr:colOff>
      <xdr:row>5</xdr:row>
      <xdr:rowOff>117438</xdr:rowOff>
    </xdr:from>
    <xdr:to>
      <xdr:col>8</xdr:col>
      <xdr:colOff>419851</xdr:colOff>
      <xdr:row>10</xdr:row>
      <xdr:rowOff>1344</xdr:rowOff>
    </xdr:to>
    <xdr:sp macro="" textlink="">
      <xdr:nvSpPr>
        <xdr:cNvPr id="2" name="Text Box 44"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5093970" y="1348740"/>
          <a:ext cx="3533775" cy="100584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15</xdr:col>
          <xdr:colOff>0</xdr:colOff>
          <xdr:row>6</xdr:row>
          <xdr:rowOff>68580</xdr:rowOff>
        </xdr:from>
        <xdr:to>
          <xdr:col>34</xdr:col>
          <xdr:colOff>38101</xdr:colOff>
          <xdr:row>7</xdr:row>
          <xdr:rowOff>38100</xdr:rowOff>
        </xdr:to>
        <xdr:sp macro="" textlink="">
          <xdr:nvSpPr>
            <xdr:cNvPr id="5121" name="Scroll Bar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769620</xdr:colOff>
          <xdr:row>8</xdr:row>
          <xdr:rowOff>228600</xdr:rowOff>
        </xdr:from>
        <xdr:to>
          <xdr:col>2</xdr:col>
          <xdr:colOff>1874520</xdr:colOff>
          <xdr:row>9</xdr:row>
          <xdr:rowOff>152400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a:cs typeface="Calibri"/>
                </a:rPr>
                <a:t>Add Sub Phase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8</xdr:row>
          <xdr:rowOff>220980</xdr:rowOff>
        </xdr:from>
        <xdr:to>
          <xdr:col>4</xdr:col>
          <xdr:colOff>144780</xdr:colOff>
          <xdr:row>9</xdr:row>
          <xdr:rowOff>144780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a:cs typeface="Calibri"/>
                </a:rPr>
                <a:t>Delete</a:t>
              </a:r>
            </a:p>
          </xdr:txBody>
        </xdr:sp>
        <xdr:clientData fPrintsWithSheet="0"/>
      </xdr:twoCellAnchor>
    </mc:Choice>
    <mc:Fallback/>
  </mc:AlternateContent>
  <xdr:twoCellAnchor editAs="oneCell">
    <xdr:from>
      <xdr:col>1</xdr:col>
      <xdr:colOff>62752</xdr:colOff>
      <xdr:row>9</xdr:row>
      <xdr:rowOff>146363</xdr:rowOff>
    </xdr:from>
    <xdr:to>
      <xdr:col>1</xdr:col>
      <xdr:colOff>268941</xdr:colOff>
      <xdr:row>10</xdr:row>
      <xdr:rowOff>103095</xdr:rowOff>
    </xdr:to>
    <xdr:pic macro="[0]!addNewItem">
      <xdr:nvPicPr>
        <xdr:cNvPr id="9" name="Picture 8" descr="Add Free Icon - Icon-Icons.com">
          <a:extLst>
            <a:ext uri="{FF2B5EF4-FFF2-40B4-BE49-F238E27FC236}">
              <a16:creationId xmlns:a16="http://schemas.microsoft.com/office/drawing/2014/main" id="{F1E1E3E5-E613-4C96-AEC7-7B311A682B81}"/>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8611" y="2253069"/>
          <a:ext cx="206189" cy="207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21</xdr:col>
      <xdr:colOff>0</xdr:colOff>
      <xdr:row>1</xdr:row>
      <xdr:rowOff>0</xdr:rowOff>
    </xdr:from>
    <xdr:to>
      <xdr:col>21</xdr:col>
      <xdr:colOff>0</xdr:colOff>
      <xdr:row>6874</xdr:row>
      <xdr:rowOff>103272</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22947086" y="185057"/>
          <a:ext cx="0" cy="1290746215"/>
          <a:chOff x="2855899" y="1963271"/>
          <a:chExt cx="19579558" cy="735073331"/>
        </a:xfrm>
      </xdr:grpSpPr>
      <xdr:sp macro="" textlink="">
        <xdr:nvSpPr>
          <xdr:cNvPr id="9" name="Rectangle 8">
            <a:extLst>
              <a:ext uri="{FF2B5EF4-FFF2-40B4-BE49-F238E27FC236}">
                <a16:creationId xmlns:a16="http://schemas.microsoft.com/office/drawing/2014/main" id="{00000000-0008-0000-0500-000009000000}"/>
              </a:ext>
            </a:extLst>
          </xdr:cNvPr>
          <xdr:cNvSpPr/>
        </xdr:nvSpPr>
        <xdr:spPr>
          <a:xfrm>
            <a:off x="2859741" y="1963271"/>
            <a:ext cx="1491983" cy="1290917"/>
          </a:xfrm>
          <a:prstGeom prst="rect">
            <a:avLst/>
          </a:prstGeom>
          <a:solidFill>
            <a:srgbClr val="161D2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10" name="Chart 9">
            <a:extLst>
              <a:ext uri="{FF2B5EF4-FFF2-40B4-BE49-F238E27FC236}">
                <a16:creationId xmlns:a16="http://schemas.microsoft.com/office/drawing/2014/main" id="{00000000-0008-0000-0500-00000A000000}"/>
              </a:ext>
            </a:extLst>
          </xdr:cNvPr>
          <xdr:cNvGraphicFramePr>
            <a:graphicFrameLocks/>
          </xdr:cNvGraphicFramePr>
        </xdr:nvGraphicFramePr>
        <xdr:xfrm>
          <a:off x="2855899" y="1992085"/>
          <a:ext cx="1484940" cy="1210877"/>
        </xdr:xfrm>
        <a:graphic>
          <a:graphicData uri="http://schemas.openxmlformats.org/drawingml/2006/chart">
            <c:chart xmlns:c="http://schemas.openxmlformats.org/drawingml/2006/chart" xmlns:r="http://schemas.openxmlformats.org/officeDocument/2006/relationships" r:id="rId1"/>
          </a:graphicData>
        </a:graphic>
      </xdr:graphicFrame>
      <xdr:sp macro="" textlink="'Project Data'!X6">
        <xdr:nvSpPr>
          <xdr:cNvPr id="11" name="TextBox 10">
            <a:extLst>
              <a:ext uri="{FF2B5EF4-FFF2-40B4-BE49-F238E27FC236}">
                <a16:creationId xmlns:a16="http://schemas.microsoft.com/office/drawing/2014/main" id="{00000000-0008-0000-0500-00000B000000}"/>
              </a:ext>
            </a:extLst>
          </xdr:cNvPr>
          <xdr:cNvSpPr txBox="1"/>
        </xdr:nvSpPr>
        <xdr:spPr>
          <a:xfrm>
            <a:off x="22435457" y="736560033"/>
            <a:ext cx="0" cy="4765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27AA6925-A0E9-4ED2-8803-C9DAA6012AE2}" type="TxLink">
              <a:rPr lang="en-US" sz="1600" b="1" i="0" u="none" strike="noStrike">
                <a:solidFill>
                  <a:srgbClr val="00FAFA"/>
                </a:solidFill>
                <a:latin typeface="Arial"/>
                <a:cs typeface="Arial"/>
              </a:rPr>
              <a:pPr algn="ctr"/>
              <a:t>48%</a:t>
            </a:fld>
            <a:endParaRPr lang="en-PH" sz="2000" b="1">
              <a:solidFill>
                <a:srgbClr val="00FAFA"/>
              </a:solidFil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108857</xdr:colOff>
      <xdr:row>0</xdr:row>
      <xdr:rowOff>65314</xdr:rowOff>
    </xdr:from>
    <xdr:to>
      <xdr:col>1</xdr:col>
      <xdr:colOff>1122317</xdr:colOff>
      <xdr:row>0</xdr:row>
      <xdr:rowOff>293914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729343" y="65314"/>
          <a:ext cx="101346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83820</xdr:colOff>
      <xdr:row>0</xdr:row>
      <xdr:rowOff>68580</xdr:rowOff>
    </xdr:from>
    <xdr:to>
      <xdr:col>9</xdr:col>
      <xdr:colOff>1097280</xdr:colOff>
      <xdr:row>1</xdr:row>
      <xdr:rowOff>15240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9700260" y="68580"/>
          <a:ext cx="101346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115145</xdr:colOff>
      <xdr:row>1</xdr:row>
      <xdr:rowOff>58420</xdr:rowOff>
    </xdr:from>
    <xdr:to>
      <xdr:col>0</xdr:col>
      <xdr:colOff>1667932</xdr:colOff>
      <xdr:row>1</xdr:row>
      <xdr:rowOff>296334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115145" y="557953"/>
          <a:ext cx="1552787" cy="23791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twoCellAnchor editAs="absolute">
    <xdr:from>
      <xdr:col>0</xdr:col>
      <xdr:colOff>85513</xdr:colOff>
      <xdr:row>18</xdr:row>
      <xdr:rowOff>36406</xdr:rowOff>
    </xdr:from>
    <xdr:to>
      <xdr:col>0</xdr:col>
      <xdr:colOff>1708573</xdr:colOff>
      <xdr:row>27</xdr:row>
      <xdr:rowOff>110066</xdr:rowOff>
    </xdr:to>
    <mc:AlternateContent xmlns:mc="http://schemas.openxmlformats.org/markup-compatibility/2006" xmlns:sle15="http://schemas.microsoft.com/office/drawing/2012/slicer">
      <mc:Choice Requires="sle15">
        <xdr:graphicFrame macro="">
          <xdr:nvGraphicFramePr>
            <xdr:cNvPr id="3" name="Position">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Position"/>
            </a:graphicData>
          </a:graphic>
        </xdr:graphicFrame>
      </mc:Choice>
      <mc:Fallback xmlns="">
        <xdr:sp macro="" textlink="">
          <xdr:nvSpPr>
            <xdr:cNvPr id="0" name=""/>
            <xdr:cNvSpPr>
              <a:spLocks noTextEdit="1"/>
            </xdr:cNvSpPr>
          </xdr:nvSpPr>
          <xdr:spPr>
            <a:xfrm>
              <a:off x="85513" y="3854873"/>
              <a:ext cx="1623060" cy="1750060"/>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91440</xdr:colOff>
      <xdr:row>9</xdr:row>
      <xdr:rowOff>135465</xdr:rowOff>
    </xdr:from>
    <xdr:to>
      <xdr:col>0</xdr:col>
      <xdr:colOff>1699260</xdr:colOff>
      <xdr:row>17</xdr:row>
      <xdr:rowOff>160866</xdr:rowOff>
    </xdr:to>
    <mc:AlternateContent xmlns:mc="http://schemas.openxmlformats.org/markup-compatibility/2006" xmlns:sle15="http://schemas.microsoft.com/office/drawing/2012/slicer">
      <mc:Choice Requires="sle15">
        <xdr:graphicFrame macro="">
          <xdr:nvGraphicFramePr>
            <xdr:cNvPr id="4" name="Department">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91440" y="2277532"/>
              <a:ext cx="1607820" cy="1515534"/>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80432</xdr:colOff>
      <xdr:row>2</xdr:row>
      <xdr:rowOff>73659</xdr:rowOff>
    </xdr:from>
    <xdr:to>
      <xdr:col>0</xdr:col>
      <xdr:colOff>1701799</xdr:colOff>
      <xdr:row>9</xdr:row>
      <xdr:rowOff>59265</xdr:rowOff>
    </xdr:to>
    <mc:AlternateContent xmlns:mc="http://schemas.openxmlformats.org/markup-compatibility/2006" xmlns:sle15="http://schemas.microsoft.com/office/drawing/2012/slicer">
      <mc:Choice Requires="sle15">
        <xdr:graphicFrame macro="">
          <xdr:nvGraphicFramePr>
            <xdr:cNvPr id="5" name="Project Role">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microsoft.com/office/drawing/2010/slicer">
              <sle:slicer xmlns:sle="http://schemas.microsoft.com/office/drawing/2010/slicer" name="Project Role"/>
            </a:graphicData>
          </a:graphic>
        </xdr:graphicFrame>
      </mc:Choice>
      <mc:Fallback xmlns="">
        <xdr:sp macro="" textlink="">
          <xdr:nvSpPr>
            <xdr:cNvPr id="0" name=""/>
            <xdr:cNvSpPr>
              <a:spLocks noTextEdit="1"/>
            </xdr:cNvSpPr>
          </xdr:nvSpPr>
          <xdr:spPr>
            <a:xfrm>
              <a:off x="80432" y="911859"/>
              <a:ext cx="1621367" cy="1289473"/>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106680</xdr:colOff>
      <xdr:row>0</xdr:row>
      <xdr:rowOff>45720</xdr:rowOff>
    </xdr:from>
    <xdr:to>
      <xdr:col>1</xdr:col>
      <xdr:colOff>510540</xdr:colOff>
      <xdr:row>0</xdr:row>
      <xdr:rowOff>274320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06680" y="45720"/>
          <a:ext cx="101346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83820</xdr:colOff>
      <xdr:row>3</xdr:row>
      <xdr:rowOff>22860</xdr:rowOff>
    </xdr:from>
    <xdr:to>
      <xdr:col>0</xdr:col>
      <xdr:colOff>1341120</xdr:colOff>
      <xdr:row>3</xdr:row>
      <xdr:rowOff>190500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83820" y="388620"/>
          <a:ext cx="125730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293792</xdr:colOff>
      <xdr:row>8</xdr:row>
      <xdr:rowOff>41045</xdr:rowOff>
    </xdr:from>
    <xdr:to>
      <xdr:col>9</xdr:col>
      <xdr:colOff>53007</xdr:colOff>
      <xdr:row>17</xdr:row>
      <xdr:rowOff>68317</xdr:rowOff>
    </xdr:to>
    <xdr:grpSp>
      <xdr:nvGrpSpPr>
        <xdr:cNvPr id="33" name="Group 32">
          <a:extLst>
            <a:ext uri="{FF2B5EF4-FFF2-40B4-BE49-F238E27FC236}">
              <a16:creationId xmlns:a16="http://schemas.microsoft.com/office/drawing/2014/main" id="{00000000-0008-0000-0B00-000021000000}"/>
            </a:ext>
          </a:extLst>
        </xdr:cNvPr>
        <xdr:cNvGrpSpPr/>
      </xdr:nvGrpSpPr>
      <xdr:grpSpPr>
        <a:xfrm>
          <a:off x="1674357" y="1287139"/>
          <a:ext cx="4465685" cy="1640919"/>
          <a:chOff x="3759139" y="1237535"/>
          <a:chExt cx="4375009" cy="1845073"/>
        </a:xfrm>
        <a:solidFill>
          <a:schemeClr val="accent5">
            <a:lumMod val="20000"/>
            <a:lumOff val="80000"/>
          </a:schemeClr>
        </a:solidFill>
      </xdr:grpSpPr>
      <xdr:sp macro="" textlink="">
        <xdr:nvSpPr>
          <xdr:cNvPr id="27" name="TextBox 26">
            <a:extLst>
              <a:ext uri="{FF2B5EF4-FFF2-40B4-BE49-F238E27FC236}">
                <a16:creationId xmlns:a16="http://schemas.microsoft.com/office/drawing/2014/main" id="{00000000-0008-0000-0B00-00001B000000}"/>
              </a:ext>
            </a:extLst>
          </xdr:cNvPr>
          <xdr:cNvSpPr txBox="1"/>
        </xdr:nvSpPr>
        <xdr:spPr>
          <a:xfrm>
            <a:off x="4345768" y="1245707"/>
            <a:ext cx="3788380" cy="1209451"/>
          </a:xfrm>
          <a:prstGeom prst="rect">
            <a:avLst/>
          </a:prstGeom>
          <a:grpFill/>
          <a:ln>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1000" b="0" i="0" u="none" strike="noStrike">
              <a:solidFill>
                <a:srgbClr val="000000"/>
              </a:solidFill>
              <a:latin typeface="Arial"/>
              <a:cs typeface="Arial"/>
            </a:endParaRPr>
          </a:p>
        </xdr:txBody>
      </xdr:sp>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3759139" y="1486413"/>
          <a:ext cx="2334335" cy="159619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29" name="TextBox 28">
            <a:extLst>
              <a:ext uri="{FF2B5EF4-FFF2-40B4-BE49-F238E27FC236}">
                <a16:creationId xmlns:a16="http://schemas.microsoft.com/office/drawing/2014/main" id="{00000000-0008-0000-0B00-00001D000000}"/>
              </a:ext>
            </a:extLst>
          </xdr:cNvPr>
          <xdr:cNvSpPr txBox="1"/>
        </xdr:nvSpPr>
        <xdr:spPr>
          <a:xfrm>
            <a:off x="5291694" y="1237535"/>
            <a:ext cx="1395276" cy="301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PH" sz="1100" b="1" i="0" baseline="0">
                <a:solidFill>
                  <a:schemeClr val="tx1">
                    <a:lumMod val="65000"/>
                    <a:lumOff val="35000"/>
                  </a:schemeClr>
                </a:solidFill>
                <a:effectLst/>
                <a:latin typeface="+mn-lt"/>
                <a:ea typeface="+mn-ea"/>
                <a:cs typeface="+mn-cs"/>
              </a:rPr>
              <a:t>PROGRESS</a:t>
            </a:r>
            <a:endParaRPr lang="en-PH" sz="1100">
              <a:solidFill>
                <a:schemeClr val="tx1">
                  <a:lumMod val="65000"/>
                  <a:lumOff val="35000"/>
                </a:schemeClr>
              </a:solidFill>
              <a:effectLst/>
            </a:endParaRPr>
          </a:p>
        </xdr:txBody>
      </xdr:sp>
      <xdr:sp macro="" textlink="'Project Data'!X6">
        <xdr:nvSpPr>
          <xdr:cNvPr id="31" name="TextBox 30">
            <a:extLst>
              <a:ext uri="{FF2B5EF4-FFF2-40B4-BE49-F238E27FC236}">
                <a16:creationId xmlns:a16="http://schemas.microsoft.com/office/drawing/2014/main" id="{00000000-0008-0000-0B00-00001F000000}"/>
              </a:ext>
            </a:extLst>
          </xdr:cNvPr>
          <xdr:cNvSpPr txBox="1"/>
        </xdr:nvSpPr>
        <xdr:spPr>
          <a:xfrm>
            <a:off x="4852841" y="1863441"/>
            <a:ext cx="632252" cy="420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a:pPr>
            <a:fld id="{C78D5C9C-F67B-4CBF-9123-8F6B3A2F9A1E}" type="TxLink">
              <a:rPr lang="en-US" sz="1800" b="1" i="0" u="none" strike="noStrike">
                <a:solidFill>
                  <a:srgbClr val="000000"/>
                </a:solidFill>
                <a:effectLst/>
                <a:latin typeface="Arial"/>
                <a:cs typeface="Arial"/>
              </a:rPr>
              <a:pPr marL="0" marR="0" lvl="0" indent="0" algn="ctr" defTabSz="914400" rtl="0" eaLnBrk="1" fontAlgn="auto" latinLnBrk="0" hangingPunct="1">
                <a:lnSpc>
                  <a:spcPct val="100000"/>
                </a:lnSpc>
                <a:spcBef>
                  <a:spcPts val="0"/>
                </a:spcBef>
                <a:spcAft>
                  <a:spcPts val="0"/>
                </a:spcAft>
                <a:buClrTx/>
                <a:buSzTx/>
                <a:buFontTx/>
                <a:buNone/>
                <a:tabLst/>
                <a:defRPr/>
              </a:pPr>
              <a:t>48%</a:t>
            </a:fld>
            <a:endParaRPr lang="en-PH" sz="2800" b="1">
              <a:solidFill>
                <a:schemeClr val="tx1">
                  <a:lumMod val="65000"/>
                  <a:lumOff val="35000"/>
                </a:schemeClr>
              </a:solidFill>
              <a:effectLst/>
            </a:endParaRPr>
          </a:p>
        </xdr:txBody>
      </xdr:sp>
      <xdr:sp macro="" textlink="">
        <xdr:nvSpPr>
          <xdr:cNvPr id="32" name="TextBox 31">
            <a:extLst>
              <a:ext uri="{FF2B5EF4-FFF2-40B4-BE49-F238E27FC236}">
                <a16:creationId xmlns:a16="http://schemas.microsoft.com/office/drawing/2014/main" id="{00000000-0008-0000-0B00-000020000000}"/>
              </a:ext>
            </a:extLst>
          </xdr:cNvPr>
          <xdr:cNvSpPr txBox="1"/>
        </xdr:nvSpPr>
        <xdr:spPr>
          <a:xfrm>
            <a:off x="4891660" y="2151015"/>
            <a:ext cx="591309" cy="210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PH" sz="700" b="1" i="0" baseline="0">
                <a:solidFill>
                  <a:schemeClr val="bg1">
                    <a:lumMod val="65000"/>
                  </a:schemeClr>
                </a:solidFill>
                <a:effectLst/>
                <a:latin typeface="+mn-lt"/>
                <a:ea typeface="+mn-ea"/>
                <a:cs typeface="+mn-cs"/>
              </a:rPr>
              <a:t>COMPLETE</a:t>
            </a:r>
            <a:endParaRPr lang="en-PH" sz="700">
              <a:solidFill>
                <a:schemeClr val="bg1">
                  <a:lumMod val="65000"/>
                </a:schemeClr>
              </a:solidFill>
              <a:effectLst/>
            </a:endParaRPr>
          </a:p>
        </xdr:txBody>
      </xdr:sp>
    </xdr:grpSp>
    <xdr:clientData/>
  </xdr:twoCellAnchor>
  <xdr:twoCellAnchor>
    <xdr:from>
      <xdr:col>5</xdr:col>
      <xdr:colOff>437986</xdr:colOff>
      <xdr:row>8</xdr:row>
      <xdr:rowOff>82826</xdr:rowOff>
    </xdr:from>
    <xdr:to>
      <xdr:col>10</xdr:col>
      <xdr:colOff>262758</xdr:colOff>
      <xdr:row>14</xdr:row>
      <xdr:rowOff>75206</xdr:rowOff>
    </xdr:to>
    <xdr:graphicFrame macro="">
      <xdr:nvGraphicFramePr>
        <xdr:cNvPr id="2" name="Chart 1" title="dfdf">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26505</xdr:colOff>
      <xdr:row>14</xdr:row>
      <xdr:rowOff>125894</xdr:rowOff>
    </xdr:from>
    <xdr:to>
      <xdr:col>3</xdr:col>
      <xdr:colOff>26505</xdr:colOff>
      <xdr:row>22</xdr:row>
      <xdr:rowOff>152399</xdr:rowOff>
    </xdr:to>
    <xdr:graphicFrame macro="">
      <xdr:nvGraphicFramePr>
        <xdr:cNvPr id="38" name="Chart 37">
          <a:extLst>
            <a:ext uri="{FF2B5EF4-FFF2-40B4-BE49-F238E27FC236}">
              <a16:creationId xmlns:a16="http://schemas.microsoft.com/office/drawing/2014/main" id="{00000000-0008-0000-0B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66262</xdr:colOff>
      <xdr:row>14</xdr:row>
      <xdr:rowOff>125894</xdr:rowOff>
    </xdr:from>
    <xdr:to>
      <xdr:col>6</xdr:col>
      <xdr:colOff>46383</xdr:colOff>
      <xdr:row>22</xdr:row>
      <xdr:rowOff>152399</xdr:rowOff>
    </xdr:to>
    <xdr:graphicFrame macro="">
      <xdr:nvGraphicFramePr>
        <xdr:cNvPr id="39" name="Chart 38">
          <a:extLst>
            <a:ext uri="{FF2B5EF4-FFF2-40B4-BE49-F238E27FC236}">
              <a16:creationId xmlns:a16="http://schemas.microsoft.com/office/drawing/2014/main" id="{00000000-0008-0000-0B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86140</xdr:colOff>
      <xdr:row>14</xdr:row>
      <xdr:rowOff>125894</xdr:rowOff>
    </xdr:from>
    <xdr:to>
      <xdr:col>9</xdr:col>
      <xdr:colOff>53009</xdr:colOff>
      <xdr:row>22</xdr:row>
      <xdr:rowOff>152399</xdr:rowOff>
    </xdr:to>
    <xdr:graphicFrame macro="">
      <xdr:nvGraphicFramePr>
        <xdr:cNvPr id="40" name="Chart 39">
          <a:extLst>
            <a:ext uri="{FF2B5EF4-FFF2-40B4-BE49-F238E27FC236}">
              <a16:creationId xmlns:a16="http://schemas.microsoft.com/office/drawing/2014/main" id="{00000000-0008-0000-0B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8</xdr:row>
      <xdr:rowOff>41045</xdr:rowOff>
    </xdr:from>
    <xdr:to>
      <xdr:col>3</xdr:col>
      <xdr:colOff>198784</xdr:colOff>
      <xdr:row>14</xdr:row>
      <xdr:rowOff>47671</xdr:rowOff>
    </xdr:to>
    <xdr:grpSp>
      <xdr:nvGrpSpPr>
        <xdr:cNvPr id="44" name="Group 43">
          <a:extLst>
            <a:ext uri="{FF2B5EF4-FFF2-40B4-BE49-F238E27FC236}">
              <a16:creationId xmlns:a16="http://schemas.microsoft.com/office/drawing/2014/main" id="{00000000-0008-0000-0B00-00002C000000}"/>
            </a:ext>
          </a:extLst>
        </xdr:cNvPr>
        <xdr:cNvGrpSpPr/>
      </xdr:nvGrpSpPr>
      <xdr:grpSpPr>
        <a:xfrm>
          <a:off x="0" y="1287139"/>
          <a:ext cx="2215843" cy="1082391"/>
          <a:chOff x="1994708" y="1332849"/>
          <a:chExt cx="2150169" cy="1097140"/>
        </a:xfrm>
      </xdr:grpSpPr>
      <xdr:sp macro="" textlink="">
        <xdr:nvSpPr>
          <xdr:cNvPr id="43" name="TextBox 42">
            <a:extLst>
              <a:ext uri="{FF2B5EF4-FFF2-40B4-BE49-F238E27FC236}">
                <a16:creationId xmlns:a16="http://schemas.microsoft.com/office/drawing/2014/main" id="{00000000-0008-0000-0B00-00002B000000}"/>
              </a:ext>
            </a:extLst>
          </xdr:cNvPr>
          <xdr:cNvSpPr txBox="1"/>
        </xdr:nvSpPr>
        <xdr:spPr>
          <a:xfrm>
            <a:off x="2033959" y="1332849"/>
            <a:ext cx="2110918" cy="1083620"/>
          </a:xfrm>
          <a:prstGeom prst="rect">
            <a:avLst/>
          </a:prstGeom>
          <a:solidFill>
            <a:schemeClr val="accent5">
              <a:lumMod val="20000"/>
              <a:lumOff val="80000"/>
            </a:schemeClr>
          </a:solidFill>
          <a:ln>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1000" b="0" i="0" u="none" strike="noStrike">
              <a:solidFill>
                <a:srgbClr val="000000"/>
              </a:solidFill>
              <a:latin typeface="Arial"/>
              <a:cs typeface="Arial"/>
            </a:endParaRPr>
          </a:p>
        </xdr:txBody>
      </xdr:sp>
      <xdr:graphicFrame macro="">
        <xdr:nvGraphicFramePr>
          <xdr:cNvPr id="41" name="Chart 10">
            <a:extLst>
              <a:ext uri="{FF2B5EF4-FFF2-40B4-BE49-F238E27FC236}">
                <a16:creationId xmlns:a16="http://schemas.microsoft.com/office/drawing/2014/main" id="{00000000-0008-0000-0B00-000029000000}"/>
              </a:ext>
            </a:extLst>
          </xdr:cNvPr>
          <xdr:cNvGraphicFramePr>
            <a:graphicFrameLocks/>
          </xdr:cNvGraphicFramePr>
        </xdr:nvGraphicFramePr>
        <xdr:xfrm>
          <a:off x="1994708" y="1352996"/>
          <a:ext cx="2104291" cy="1076993"/>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xdr:col>
      <xdr:colOff>393163</xdr:colOff>
      <xdr:row>11</xdr:row>
      <xdr:rowOff>170289</xdr:rowOff>
    </xdr:from>
    <xdr:to>
      <xdr:col>2</xdr:col>
      <xdr:colOff>379912</xdr:colOff>
      <xdr:row>12</xdr:row>
      <xdr:rowOff>169448</xdr:rowOff>
    </xdr:to>
    <xdr:sp macro="" textlink="">
      <xdr:nvSpPr>
        <xdr:cNvPr id="16" name="TextBox 15">
          <a:extLst>
            <a:ext uri="{FF2B5EF4-FFF2-40B4-BE49-F238E27FC236}">
              <a16:creationId xmlns:a16="http://schemas.microsoft.com/office/drawing/2014/main" id="{00000000-0008-0000-0B00-000010000000}"/>
            </a:ext>
          </a:extLst>
        </xdr:cNvPr>
        <xdr:cNvSpPr txBox="1"/>
      </xdr:nvSpPr>
      <xdr:spPr>
        <a:xfrm>
          <a:off x="1055014" y="1972963"/>
          <a:ext cx="644247" cy="1820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900" b="1" i="0" baseline="0">
              <a:solidFill>
                <a:schemeClr val="tx1">
                  <a:lumMod val="65000"/>
                  <a:lumOff val="35000"/>
                </a:schemeClr>
              </a:solidFill>
              <a:effectLst/>
              <a:latin typeface="+mn-lt"/>
              <a:ea typeface="+mn-ea"/>
              <a:cs typeface="+mn-cs"/>
            </a:rPr>
            <a:t>SPENT</a:t>
          </a:r>
          <a:endParaRPr lang="en-PH" sz="900">
            <a:solidFill>
              <a:schemeClr val="tx1">
                <a:lumMod val="65000"/>
                <a:lumOff val="35000"/>
              </a:schemeClr>
            </a:solidFill>
            <a:effectLst/>
          </a:endParaRPr>
        </a:p>
      </xdr:txBody>
    </xdr:sp>
    <xdr:clientData/>
  </xdr:twoCellAnchor>
  <xdr:twoCellAnchor>
    <xdr:from>
      <xdr:col>1</xdr:col>
      <xdr:colOff>369734</xdr:colOff>
      <xdr:row>9</xdr:row>
      <xdr:rowOff>139147</xdr:rowOff>
    </xdr:from>
    <xdr:to>
      <xdr:col>2</xdr:col>
      <xdr:colOff>542015</xdr:colOff>
      <xdr:row>10</xdr:row>
      <xdr:rowOff>99393</xdr:rowOff>
    </xdr:to>
    <xdr:sp macro="" textlink="">
      <xdr:nvSpPr>
        <xdr:cNvPr id="17" name="TextBox 16">
          <a:extLst>
            <a:ext uri="{FF2B5EF4-FFF2-40B4-BE49-F238E27FC236}">
              <a16:creationId xmlns:a16="http://schemas.microsoft.com/office/drawing/2014/main" id="{00000000-0008-0000-0B00-000011000000}"/>
            </a:ext>
          </a:extLst>
        </xdr:cNvPr>
        <xdr:cNvSpPr txBox="1"/>
      </xdr:nvSpPr>
      <xdr:spPr>
        <a:xfrm>
          <a:off x="1031585" y="1576061"/>
          <a:ext cx="829779" cy="143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900" b="1" i="0" baseline="0">
              <a:solidFill>
                <a:schemeClr val="tx1">
                  <a:lumMod val="65000"/>
                  <a:lumOff val="35000"/>
                </a:schemeClr>
              </a:solidFill>
              <a:effectLst/>
              <a:latin typeface="+mn-lt"/>
              <a:ea typeface="+mn-ea"/>
              <a:cs typeface="+mn-cs"/>
            </a:rPr>
            <a:t>REMAINING</a:t>
          </a:r>
          <a:endParaRPr lang="en-PH" sz="900">
            <a:solidFill>
              <a:schemeClr val="tx1">
                <a:lumMod val="65000"/>
                <a:lumOff val="35000"/>
              </a:schemeClr>
            </a:solidFill>
            <a:effectLst/>
          </a:endParaRP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0.13626</cdr:x>
      <cdr:y>0.4432</cdr:y>
    </cdr:from>
    <cdr:to>
      <cdr:x>0.41325</cdr:x>
      <cdr:y>0.68459</cdr:y>
    </cdr:to>
    <cdr:sp macro="" textlink="'Project Data'!AA4">
      <cdr:nvSpPr>
        <cdr:cNvPr id="4" name="TextBox 1">
          <a:extLst xmlns:a="http://schemas.openxmlformats.org/drawingml/2006/main">
            <a:ext uri="{FF2B5EF4-FFF2-40B4-BE49-F238E27FC236}">
              <a16:creationId xmlns:a16="http://schemas.microsoft.com/office/drawing/2014/main" id="{978FF532-749A-4D49-80B0-B1F7584EF411}"/>
            </a:ext>
          </a:extLst>
        </cdr:cNvPr>
        <cdr:cNvSpPr txBox="1"/>
      </cdr:nvSpPr>
      <cdr:spPr>
        <a:xfrm xmlns:a="http://schemas.openxmlformats.org/drawingml/2006/main">
          <a:off x="286219" y="487488"/>
          <a:ext cx="581798" cy="265512"/>
        </a:xfrm>
        <a:prstGeom xmlns:a="http://schemas.openxmlformats.org/drawingml/2006/main" prst="rect">
          <a:avLst/>
        </a:prstGeom>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B4189BAF-AD19-4064-9603-3DB57F61A041}" type="TxLink">
            <a:rPr lang="en-US" sz="1100" b="1" i="0" u="none" strike="noStrike">
              <a:solidFill>
                <a:srgbClr val="000000"/>
              </a:solidFill>
              <a:latin typeface="Calibri"/>
              <a:cs typeface="Calibri"/>
            </a:rPr>
            <a:pPr algn="ctr"/>
            <a:t>20%</a:t>
          </a:fld>
          <a:endParaRPr lang="en-AU" sz="3600" b="1"/>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n Paul Asensi" refreshedDate="44610.826098148151" createdVersion="7" refreshedVersion="7" minRefreshableVersion="3" recordCount="102" xr:uid="{00000000-000A-0000-FFFF-FFFF01000000}">
  <cacheSource type="worksheet">
    <worksheetSource name="TaskTable5"/>
  </cacheSource>
  <cacheFields count="20">
    <cacheField name="WBS" numFmtId="0">
      <sharedItems containsMixedTypes="1" containsNumber="1" minValue="1" maxValue="13.2"/>
    </cacheField>
    <cacheField name="PHASE" numFmtId="0">
      <sharedItems containsBlank="1"/>
    </cacheField>
    <cacheField name="MAIN PHASE" numFmtId="1">
      <sharedItems count="13">
        <s v="Project Kick-off"/>
        <s v="Data Sanitation and training content creation"/>
        <s v="Development"/>
        <s v="System Integration Testing"/>
        <s v="Training"/>
        <s v="PRG Business Process Creation - BRD"/>
        <s v="Configuration and Migration"/>
        <s v="Data Migration"/>
        <s v="Infrastructure"/>
        <s v="Pre Live Checklist/Preparation"/>
        <s v="Dry Run"/>
        <s v="Marketing Advertisements/Promotions"/>
        <s v="Go Live "/>
      </sharedItems>
    </cacheField>
    <cacheField name="SP-1" numFmtId="0">
      <sharedItems containsMixedTypes="1" containsNumber="1" containsInteger="1" minValue="0" maxValue="0" count="14">
        <s v="NONE"/>
        <s v="Data Extraction"/>
        <s v="Suki App"/>
        <s v="Test Scripts Creation"/>
        <s v="BRD Creation"/>
        <s v="BRD Submission"/>
        <s v="BRD Processing"/>
        <s v="Configure Business Settings"/>
        <s v="Master Products"/>
        <s v="Stable Internet Connection"/>
        <s v="Install and configure all Hardwares"/>
        <s v="Setup of Hardware and Connectivity"/>
        <s v="Flyers"/>
        <n v="0"/>
      </sharedItems>
    </cacheField>
    <cacheField name="SP-2" numFmtId="0">
      <sharedItems count="68">
        <s v="NONE"/>
        <s v="Data Clean-up"/>
        <s v="Product Update in JDA and My Suki"/>
        <s v="Data Clean-up Sign-off"/>
        <s v="Training Content Creation - Store Operation"/>
        <s v="Training Content Creation - For Customer"/>
        <s v="Training Content Sign-off"/>
        <s v="Suki Hub"/>
        <s v="Picker-Checker"/>
        <s v="Barter Middleware (Merging to prod version)"/>
        <s v="POS Interface"/>
        <s v="Core Middleware"/>
        <s v="Barter POS"/>
        <s v="Multiple Branch Capabilities"/>
        <s v="Customer Loyalty Points"/>
        <s v="System Integration Testing"/>
        <s v="Bugs Fixing"/>
        <s v="Re-testing"/>
        <s v="Sign-off"/>
        <s v="Picker-Checker-Driver"/>
        <s v="Suki App"/>
        <s v="Daily Inventory Uploading and Branch synching"/>
        <s v="Suki Agent"/>
        <s v="Data Management"/>
        <s v="Payment Collections"/>
        <s v="Exceptions and Limitations"/>
        <s v="Support Org Chart"/>
        <s v="Customer Awareness"/>
        <s v="Guidelines and policies"/>
        <s v="Company Configuration"/>
        <s v="Service Level Agreement"/>
        <s v="Shipping Rates"/>
        <s v="Advanced Configuration"/>
        <s v="Configure User Accesss for Suki Hub"/>
        <s v="Provide complete list of Users"/>
        <s v="Configure Users"/>
        <s v="Popular Products"/>
        <s v="Membership Data"/>
        <s v="Inventory"/>
        <s v="Images"/>
        <s v="Wifi acess for entire Store"/>
        <s v="Suki Hardware"/>
        <s v="PDTs"/>
        <s v="LAN Receipt Printer for Picker"/>
        <s v="Dedicated Barter POS"/>
        <s v="Barter POS Hardware"/>
        <s v="Double check all Hardwares if working"/>
        <s v="Check if all Hardwares if working"/>
        <s v="PDTs and Printer"/>
        <s v="POS"/>
        <s v="Wifi speed and availability in entire Stores"/>
        <s v="Double check and stress test Middleware"/>
        <s v="Checklist"/>
        <s v="Do we have Pickers?"/>
        <s v="Do we have central contact or lines?"/>
        <s v="Do we have Checker?"/>
        <s v="Do we have Delivery vehicle and driver?"/>
        <s v="Do we have dedicated lanes/section for Pickup?"/>
        <s v="Do we have dedicated resource for Money remittances?"/>
        <s v="Setup of Barter Suki Integration"/>
        <s v="Setup Picker-Checker-Driver Apps"/>
        <s v="Onboard assigned resources for Picker-Checker-Driver"/>
        <s v="Goods Fill Rate"/>
        <s v="Data re-synching"/>
        <s v="Trial Run (Targeted Customers)"/>
        <s v="Hypercare"/>
        <s v="Social Sites (Organique)"/>
        <s v="Freebies/GCs"/>
      </sharedItems>
    </cacheField>
    <cacheField name="SP-3" numFmtId="0">
      <sharedItems count="1">
        <s v="NONE"/>
      </sharedItems>
    </cacheField>
    <cacheField name="SP-4" numFmtId="0">
      <sharedItems/>
    </cacheField>
    <cacheField name="LEAD" numFmtId="0">
      <sharedItems containsBlank="1"/>
    </cacheField>
    <cacheField name="PREDECESSOR" numFmtId="0">
      <sharedItems containsNonDate="0" containsString="0" containsBlank="1"/>
    </cacheField>
    <cacheField name="WBS Level" numFmtId="0">
      <sharedItems containsSemiMixedTypes="0" containsString="0" containsNumber="1" containsInteger="1" minValue="2" maxValue="4"/>
    </cacheField>
    <cacheField name="PLANNED START" numFmtId="166">
      <sharedItems containsNonDate="0" containsDate="1" containsString="0" containsBlank="1" minDate="2020-03-25T00:00:00" maxDate="2020-05-29T00:00:00"/>
    </cacheField>
    <cacheField name="PLANNED END" numFmtId="166">
      <sharedItems containsNonDate="0" containsDate="1" containsString="0" containsBlank="1" minDate="2020-03-29T00:00:00" maxDate="2020-12-08T00:00:00"/>
    </cacheField>
    <cacheField name="PLANNED DAYS" numFmtId="0">
      <sharedItems containsString="0" containsBlank="1" containsNumber="1" containsInteger="1" minValue="1" maxValue="147"/>
    </cacheField>
    <cacheField name="ACTUAL START" numFmtId="0">
      <sharedItems containsNonDate="0" containsString="0" containsBlank="1"/>
    </cacheField>
    <cacheField name="ACTUAL END" numFmtId="0">
      <sharedItems containsNonDate="0" containsString="0" containsBlank="1"/>
    </cacheField>
    <cacheField name="ACTUAL DAYS" numFmtId="0">
      <sharedItems containsNonDate="0" containsString="0" containsBlank="1"/>
    </cacheField>
    <cacheField name="STATUS" numFmtId="0">
      <sharedItems containsBlank="1"/>
    </cacheField>
    <cacheField name="CMPLT" numFmtId="1">
      <sharedItems containsMixedTypes="1" containsNumber="1" containsInteger="1" minValue="1" maxValue="1"/>
    </cacheField>
    <cacheField name="% DONE" numFmtId="9">
      <sharedItems containsString="0" containsBlank="1" containsNumber="1" minValue="0" maxValue="1"/>
    </cacheField>
    <cacheField name="WORK DAYS" numFmtId="0">
      <sharedItems containsString="0" containsBlank="1" containsNumber="1" containsInteger="1" minValue="0" maxValue="14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
  <r>
    <n v="1"/>
    <s v="Project Kick-off"/>
    <x v="0"/>
    <x v="0"/>
    <x v="0"/>
    <x v="0"/>
    <s v="NONE"/>
    <s v="AC"/>
    <m/>
    <n v="2"/>
    <d v="2020-03-25T00:00:00"/>
    <d v="2020-03-29T00:00:00"/>
    <n v="5"/>
    <m/>
    <m/>
    <m/>
    <s v="IN PROGRESS"/>
    <s v=""/>
    <n v="1"/>
    <n v="3"/>
  </r>
  <r>
    <n v="2"/>
    <s v="Data Sanitation and training content creation"/>
    <x v="1"/>
    <x v="0"/>
    <x v="0"/>
    <x v="0"/>
    <s v="NONE"/>
    <s v="KT/DT/_x000a_BP"/>
    <m/>
    <n v="2"/>
    <d v="2020-04-13T00:00:00"/>
    <d v="2020-05-12T00:00:00"/>
    <n v="22"/>
    <m/>
    <m/>
    <m/>
    <s v="COMPLETE"/>
    <n v="1"/>
    <n v="0.5"/>
    <n v="22"/>
  </r>
  <r>
    <n v="2.1"/>
    <s v="Data Extraction"/>
    <x v="1"/>
    <x v="1"/>
    <x v="0"/>
    <x v="0"/>
    <s v="NONE"/>
    <s v="Bpublico"/>
    <m/>
    <n v="3"/>
    <d v="2020-04-13T00:00:00"/>
    <d v="2020-04-17T00:00:00"/>
    <n v="5"/>
    <m/>
    <m/>
    <m/>
    <s v="COMPLETE"/>
    <n v="1"/>
    <n v="1"/>
    <n v="5"/>
  </r>
  <r>
    <s v="2.1.1"/>
    <s v="Data Clean-up"/>
    <x v="1"/>
    <x v="1"/>
    <x v="1"/>
    <x v="0"/>
    <s v="NONE"/>
    <s v="Ktamis"/>
    <m/>
    <n v="4"/>
    <d v="2020-04-17T00:00:00"/>
    <d v="2020-05-07T00:00:00"/>
    <n v="21"/>
    <m/>
    <m/>
    <m/>
    <s v="COMPLETE"/>
    <n v="1"/>
    <n v="1"/>
    <n v="15"/>
  </r>
  <r>
    <s v="2.1.2"/>
    <s v="Product Update in JDA and My Suki"/>
    <x v="1"/>
    <x v="1"/>
    <x v="2"/>
    <x v="0"/>
    <s v="NONE"/>
    <s v="Ktamis"/>
    <m/>
    <n v="4"/>
    <d v="2020-04-17T00:00:00"/>
    <d v="2020-04-20T00:00:00"/>
    <n v="4"/>
    <m/>
    <m/>
    <m/>
    <s v="COMPLETE"/>
    <n v="1"/>
    <n v="0.9"/>
    <n v="2"/>
  </r>
  <r>
    <s v="2.1.3"/>
    <s v="Data Clean-up Sign-off"/>
    <x v="1"/>
    <x v="1"/>
    <x v="3"/>
    <x v="0"/>
    <s v="NONE"/>
    <m/>
    <m/>
    <n v="4"/>
    <d v="2020-05-07T00:00:00"/>
    <d v="2020-05-07T00:00:00"/>
    <n v="1"/>
    <m/>
    <m/>
    <m/>
    <m/>
    <s v=""/>
    <n v="0"/>
    <n v="1"/>
  </r>
  <r>
    <s v="2.1.4"/>
    <s v="Training Content Creation - Store Operation"/>
    <x v="1"/>
    <x v="1"/>
    <x v="4"/>
    <x v="0"/>
    <s v="NONE"/>
    <s v="Bpublico"/>
    <m/>
    <n v="4"/>
    <d v="2020-04-20T00:00:00"/>
    <d v="2020-05-12T00:00:00"/>
    <n v="23"/>
    <m/>
    <m/>
    <m/>
    <s v="COMPLETE"/>
    <n v="1"/>
    <n v="1"/>
    <n v="17"/>
  </r>
  <r>
    <s v="2.1.5"/>
    <s v="Training Content Creation - For Customer"/>
    <x v="1"/>
    <x v="1"/>
    <x v="5"/>
    <x v="0"/>
    <s v="NONE"/>
    <s v="Bpublico"/>
    <m/>
    <n v="4"/>
    <d v="2020-04-20T00:00:00"/>
    <d v="2020-05-12T00:00:00"/>
    <n v="23"/>
    <m/>
    <m/>
    <m/>
    <s v="COMPLETE"/>
    <n v="1"/>
    <n v="1"/>
    <n v="17"/>
  </r>
  <r>
    <s v="2.1.6"/>
    <s v="Training Content Sign-off"/>
    <x v="1"/>
    <x v="1"/>
    <x v="6"/>
    <x v="0"/>
    <s v="NONE"/>
    <m/>
    <m/>
    <n v="4"/>
    <d v="2020-05-12T00:00:00"/>
    <d v="2020-05-12T00:00:00"/>
    <n v="1"/>
    <m/>
    <m/>
    <m/>
    <m/>
    <s v=""/>
    <n v="0"/>
    <n v="1"/>
  </r>
  <r>
    <n v="3"/>
    <s v="Development"/>
    <x v="2"/>
    <x v="0"/>
    <x v="0"/>
    <x v="0"/>
    <s v="NONE"/>
    <s v="BP"/>
    <m/>
    <n v="2"/>
    <d v="2020-04-08T00:00:00"/>
    <d v="2020-05-08T00:00:00"/>
    <n v="23"/>
    <m/>
    <m/>
    <m/>
    <s v="COMPLETE"/>
    <n v="1"/>
    <n v="1"/>
    <n v="23"/>
  </r>
  <r>
    <n v="3.1"/>
    <s v="Suki App"/>
    <x v="2"/>
    <x v="2"/>
    <x v="0"/>
    <x v="0"/>
    <s v="NONE"/>
    <m/>
    <m/>
    <n v="3"/>
    <d v="2020-04-08T00:00:00"/>
    <d v="2020-04-08T00:00:00"/>
    <n v="1"/>
    <m/>
    <m/>
    <m/>
    <s v="COMPLETE"/>
    <n v="1"/>
    <n v="0.4"/>
    <n v="1"/>
  </r>
  <r>
    <s v="3.1.1"/>
    <s v="Suki Hub"/>
    <x v="2"/>
    <x v="2"/>
    <x v="7"/>
    <x v="0"/>
    <s v="NONE"/>
    <m/>
    <m/>
    <n v="4"/>
    <d v="2020-04-08T00:00:00"/>
    <d v="2020-04-08T00:00:00"/>
    <n v="1"/>
    <m/>
    <m/>
    <m/>
    <s v="COMPLETE"/>
    <n v="1"/>
    <n v="1"/>
    <n v="1"/>
  </r>
  <r>
    <s v="3.1.2"/>
    <s v="Picker-Checker"/>
    <x v="2"/>
    <x v="2"/>
    <x v="8"/>
    <x v="0"/>
    <s v="NONE"/>
    <m/>
    <m/>
    <n v="4"/>
    <d v="2020-04-08T00:00:00"/>
    <d v="2020-04-08T00:00:00"/>
    <n v="1"/>
    <m/>
    <m/>
    <m/>
    <s v="COMPLETE"/>
    <n v="1"/>
    <n v="1"/>
    <n v="1"/>
  </r>
  <r>
    <s v="3.1.3"/>
    <s v="Barter Middleware (Merging to prod version)"/>
    <x v="2"/>
    <x v="2"/>
    <x v="9"/>
    <x v="0"/>
    <s v="NONE"/>
    <m/>
    <m/>
    <n v="4"/>
    <d v="2020-05-01T00:00:00"/>
    <d v="2020-05-08T00:00:00"/>
    <n v="8"/>
    <m/>
    <m/>
    <m/>
    <s v="COMPLETE"/>
    <n v="1"/>
    <n v="1"/>
    <n v="6"/>
  </r>
  <r>
    <s v="3.1.4"/>
    <s v="POS Interface"/>
    <x v="2"/>
    <x v="2"/>
    <x v="10"/>
    <x v="0"/>
    <s v="NONE"/>
    <m/>
    <m/>
    <n v="4"/>
    <d v="2020-05-01T00:00:00"/>
    <d v="2020-05-08T00:00:00"/>
    <n v="8"/>
    <m/>
    <m/>
    <m/>
    <s v="COMPLETE"/>
    <n v="1"/>
    <n v="1"/>
    <n v="6"/>
  </r>
  <r>
    <s v="3.1.5"/>
    <s v="Core Middleware"/>
    <x v="2"/>
    <x v="2"/>
    <x v="11"/>
    <x v="0"/>
    <s v="NONE"/>
    <m/>
    <m/>
    <n v="4"/>
    <d v="2020-05-01T00:00:00"/>
    <d v="2020-05-08T00:00:00"/>
    <n v="8"/>
    <m/>
    <m/>
    <m/>
    <s v="COMPLETE"/>
    <n v="1"/>
    <n v="1"/>
    <n v="6"/>
  </r>
  <r>
    <s v="3.1.6"/>
    <s v="Barter POS"/>
    <x v="2"/>
    <x v="2"/>
    <x v="12"/>
    <x v="0"/>
    <s v="NONE"/>
    <m/>
    <m/>
    <n v="4"/>
    <d v="2020-05-01T00:00:00"/>
    <d v="2020-05-08T00:00:00"/>
    <n v="8"/>
    <m/>
    <m/>
    <m/>
    <s v="COMPLETE"/>
    <n v="1"/>
    <n v="1"/>
    <n v="6"/>
  </r>
  <r>
    <s v="3.1.7"/>
    <s v="Multiple Branch Capabilities"/>
    <x v="2"/>
    <x v="2"/>
    <x v="13"/>
    <x v="0"/>
    <s v="NONE"/>
    <m/>
    <m/>
    <n v="4"/>
    <d v="2020-05-01T00:00:00"/>
    <d v="2020-05-08T00:00:00"/>
    <n v="8"/>
    <m/>
    <m/>
    <m/>
    <s v="COMPLETE"/>
    <n v="1"/>
    <n v="1"/>
    <n v="6"/>
  </r>
  <r>
    <s v="3.1.8"/>
    <s v="Customer Loyalty Points"/>
    <x v="2"/>
    <x v="2"/>
    <x v="14"/>
    <x v="0"/>
    <s v="NONE"/>
    <m/>
    <m/>
    <n v="4"/>
    <d v="2020-05-01T00:00:00"/>
    <d v="2020-05-08T00:00:00"/>
    <n v="8"/>
    <m/>
    <m/>
    <m/>
    <s v="COMPLETE"/>
    <n v="1"/>
    <n v="1"/>
    <n v="6"/>
  </r>
  <r>
    <n v="4"/>
    <s v="System Integration Testing"/>
    <x v="3"/>
    <x v="0"/>
    <x v="0"/>
    <x v="0"/>
    <s v="NONE"/>
    <s v="BP"/>
    <m/>
    <n v="2"/>
    <d v="2020-05-01T00:00:00"/>
    <d v="2020-05-11T00:00:00"/>
    <n v="7"/>
    <m/>
    <m/>
    <m/>
    <s v="COMPLETE"/>
    <n v="1"/>
    <n v="1"/>
    <n v="7"/>
  </r>
  <r>
    <n v="4.0999999999999996"/>
    <s v="Test Scripts Creation"/>
    <x v="3"/>
    <x v="3"/>
    <x v="0"/>
    <x v="0"/>
    <s v="NONE"/>
    <m/>
    <m/>
    <n v="3"/>
    <d v="2020-05-04T00:00:00"/>
    <d v="2020-05-09T00:00:00"/>
    <n v="6"/>
    <m/>
    <m/>
    <m/>
    <s v="COMPLETE"/>
    <n v="1"/>
    <n v="1"/>
    <n v="5"/>
  </r>
  <r>
    <s v="4.1.1"/>
    <s v="System Integration Testing"/>
    <x v="3"/>
    <x v="3"/>
    <x v="15"/>
    <x v="0"/>
    <s v="NONE"/>
    <m/>
    <m/>
    <n v="4"/>
    <d v="2020-05-10T00:00:00"/>
    <d v="2020-05-10T00:00:00"/>
    <n v="1"/>
    <m/>
    <m/>
    <m/>
    <m/>
    <s v=""/>
    <n v="1"/>
    <n v="0"/>
  </r>
  <r>
    <s v="4.1.2"/>
    <s v="Bugs Fixing"/>
    <x v="3"/>
    <x v="3"/>
    <x v="16"/>
    <x v="0"/>
    <s v="NONE"/>
    <m/>
    <m/>
    <n v="4"/>
    <d v="2020-05-10T00:00:00"/>
    <d v="2020-05-10T00:00:00"/>
    <n v="1"/>
    <m/>
    <m/>
    <m/>
    <m/>
    <s v=""/>
    <n v="1"/>
    <n v="0"/>
  </r>
  <r>
    <s v="4.1.3"/>
    <s v="Re-testing"/>
    <x v="3"/>
    <x v="3"/>
    <x v="17"/>
    <x v="0"/>
    <s v="NONE"/>
    <m/>
    <m/>
    <n v="4"/>
    <d v="2020-05-10T00:00:00"/>
    <d v="2020-05-10T00:00:00"/>
    <n v="1"/>
    <m/>
    <m/>
    <m/>
    <m/>
    <s v=""/>
    <n v="1"/>
    <n v="0"/>
  </r>
  <r>
    <s v="4.1.4"/>
    <s v="Sign-off"/>
    <x v="3"/>
    <x v="3"/>
    <x v="18"/>
    <x v="0"/>
    <s v="NONE"/>
    <m/>
    <m/>
    <n v="4"/>
    <d v="2020-05-11T00:00:00"/>
    <d v="2020-05-11T00:00:00"/>
    <n v="1"/>
    <m/>
    <m/>
    <m/>
    <m/>
    <s v=""/>
    <n v="1"/>
    <n v="1"/>
  </r>
  <r>
    <n v="5"/>
    <s v="Training"/>
    <x v="4"/>
    <x v="0"/>
    <x v="0"/>
    <x v="0"/>
    <s v="NONE"/>
    <s v="JM/EA/_x000a_AC/BP"/>
    <m/>
    <n v="2"/>
    <d v="2020-05-07T00:00:00"/>
    <d v="2020-05-12T00:00:00"/>
    <n v="4"/>
    <m/>
    <m/>
    <m/>
    <s v="COMPLETE"/>
    <n v="1"/>
    <n v="1"/>
    <n v="4"/>
  </r>
  <r>
    <n v="5.0999999999999996"/>
    <s v="Suki App"/>
    <x v="4"/>
    <x v="2"/>
    <x v="0"/>
    <x v="0"/>
    <s v="NONE"/>
    <s v="Acodilla"/>
    <m/>
    <n v="3"/>
    <d v="2020-05-07T00:00:00"/>
    <d v="2020-05-07T00:00:00"/>
    <n v="1"/>
    <m/>
    <m/>
    <m/>
    <s v="COMPLETE"/>
    <n v="1"/>
    <n v="1"/>
    <n v="1"/>
  </r>
  <r>
    <s v="5.1.1"/>
    <s v="Suki Hub"/>
    <x v="4"/>
    <x v="2"/>
    <x v="7"/>
    <x v="0"/>
    <s v="NONE"/>
    <s v="Acodilla"/>
    <m/>
    <n v="4"/>
    <d v="2020-05-11T00:00:00"/>
    <d v="2020-05-11T00:00:00"/>
    <n v="1"/>
    <m/>
    <m/>
    <m/>
    <s v="COMPLETE"/>
    <n v="1"/>
    <n v="1"/>
    <n v="1"/>
  </r>
  <r>
    <s v="5.1.2"/>
    <s v="Picker-Checker-Driver"/>
    <x v="4"/>
    <x v="2"/>
    <x v="19"/>
    <x v="0"/>
    <s v="NONE"/>
    <s v="Acodilla"/>
    <m/>
    <n v="4"/>
    <d v="2020-05-12T00:00:00"/>
    <d v="2020-05-12T00:00:00"/>
    <n v="1"/>
    <m/>
    <m/>
    <m/>
    <s v="COMPLETE"/>
    <n v="1"/>
    <n v="1"/>
    <n v="1"/>
  </r>
  <r>
    <n v="6"/>
    <s v="PRG Business Process Creation - BRD"/>
    <x v="5"/>
    <x v="0"/>
    <x v="0"/>
    <x v="0"/>
    <s v="NONE"/>
    <s v="GS/JV"/>
    <m/>
    <n v="2"/>
    <d v="2020-04-17T00:00:00"/>
    <d v="2020-05-13T00:00:00"/>
    <n v="19"/>
    <m/>
    <m/>
    <m/>
    <m/>
    <s v=""/>
    <n v="1"/>
    <n v="19"/>
  </r>
  <r>
    <n v="6.1"/>
    <s v="BRD Creation"/>
    <x v="5"/>
    <x v="4"/>
    <x v="0"/>
    <x v="0"/>
    <s v="NONE"/>
    <m/>
    <m/>
    <n v="3"/>
    <d v="2020-04-17T00:00:00"/>
    <d v="2020-04-28T00:00:00"/>
    <n v="12"/>
    <m/>
    <m/>
    <m/>
    <m/>
    <s v=""/>
    <n v="1"/>
    <n v="8"/>
  </r>
  <r>
    <s v="6.1.1"/>
    <s v="Suki App"/>
    <x v="5"/>
    <x v="4"/>
    <x v="20"/>
    <x v="0"/>
    <s v="NONE"/>
    <m/>
    <m/>
    <n v="4"/>
    <d v="2020-04-17T00:00:00"/>
    <d v="2020-04-28T00:00:00"/>
    <n v="12"/>
    <m/>
    <m/>
    <m/>
    <m/>
    <s v=""/>
    <n v="1"/>
    <n v="8"/>
  </r>
  <r>
    <s v="6.1.2"/>
    <s v="Suki Hub"/>
    <x v="5"/>
    <x v="4"/>
    <x v="7"/>
    <x v="0"/>
    <s v="NONE"/>
    <m/>
    <m/>
    <n v="4"/>
    <d v="2020-04-17T00:00:00"/>
    <d v="2020-04-28T00:00:00"/>
    <n v="12"/>
    <m/>
    <m/>
    <m/>
    <m/>
    <s v=""/>
    <n v="1"/>
    <n v="8"/>
  </r>
  <r>
    <s v="6.1.3"/>
    <s v="Picker-Checker"/>
    <x v="5"/>
    <x v="4"/>
    <x v="8"/>
    <x v="0"/>
    <s v="NONE"/>
    <m/>
    <m/>
    <n v="4"/>
    <d v="2020-04-17T00:00:00"/>
    <d v="2020-04-28T00:00:00"/>
    <n v="12"/>
    <m/>
    <m/>
    <m/>
    <m/>
    <s v=""/>
    <n v="1"/>
    <n v="8"/>
  </r>
  <r>
    <s v="6.1.4"/>
    <s v="Daily Inventory Uploading and Branch synching"/>
    <x v="5"/>
    <x v="4"/>
    <x v="21"/>
    <x v="0"/>
    <s v="NONE"/>
    <m/>
    <m/>
    <n v="4"/>
    <d v="2020-04-17T00:00:00"/>
    <d v="2020-04-28T00:00:00"/>
    <n v="12"/>
    <m/>
    <m/>
    <m/>
    <m/>
    <s v=""/>
    <n v="1"/>
    <n v="8"/>
  </r>
  <r>
    <s v="6.1.5"/>
    <s v="Suki Agent"/>
    <x v="5"/>
    <x v="4"/>
    <x v="22"/>
    <x v="0"/>
    <s v="NONE"/>
    <m/>
    <m/>
    <n v="4"/>
    <d v="2020-04-17T00:00:00"/>
    <d v="2020-04-28T00:00:00"/>
    <n v="12"/>
    <m/>
    <m/>
    <m/>
    <m/>
    <s v=""/>
    <n v="1"/>
    <n v="8"/>
  </r>
  <r>
    <s v="6.1.6"/>
    <s v="Customer Loyalty Points"/>
    <x v="5"/>
    <x v="4"/>
    <x v="14"/>
    <x v="0"/>
    <s v="NONE"/>
    <m/>
    <m/>
    <n v="4"/>
    <d v="2020-04-17T00:00:00"/>
    <d v="2020-04-28T00:00:00"/>
    <n v="12"/>
    <m/>
    <m/>
    <m/>
    <m/>
    <s v=""/>
    <n v="1"/>
    <n v="8"/>
  </r>
  <r>
    <s v="6.1.7"/>
    <s v="Data Management"/>
    <x v="5"/>
    <x v="4"/>
    <x v="23"/>
    <x v="0"/>
    <s v="NONE"/>
    <m/>
    <m/>
    <n v="4"/>
    <d v="2020-04-17T00:00:00"/>
    <d v="2020-04-28T00:00:00"/>
    <n v="12"/>
    <m/>
    <m/>
    <m/>
    <m/>
    <s v=""/>
    <n v="1"/>
    <n v="8"/>
  </r>
  <r>
    <s v="6.1.8"/>
    <s v="Payment Collections"/>
    <x v="5"/>
    <x v="4"/>
    <x v="24"/>
    <x v="0"/>
    <s v="NONE"/>
    <m/>
    <m/>
    <n v="4"/>
    <d v="2020-04-17T00:00:00"/>
    <d v="2020-04-28T00:00:00"/>
    <n v="12"/>
    <m/>
    <m/>
    <m/>
    <m/>
    <s v=""/>
    <n v="1"/>
    <n v="8"/>
  </r>
  <r>
    <s v="6.1.9"/>
    <s v="Exceptions and Limitations"/>
    <x v="5"/>
    <x v="4"/>
    <x v="25"/>
    <x v="0"/>
    <s v="NONE"/>
    <m/>
    <m/>
    <n v="4"/>
    <d v="2020-04-17T00:00:00"/>
    <d v="2020-04-28T00:00:00"/>
    <n v="12"/>
    <m/>
    <m/>
    <m/>
    <m/>
    <s v=""/>
    <n v="1"/>
    <n v="8"/>
  </r>
  <r>
    <s v="6.1.10"/>
    <s v="Support Org Chart"/>
    <x v="5"/>
    <x v="4"/>
    <x v="26"/>
    <x v="0"/>
    <s v="NONE"/>
    <m/>
    <m/>
    <n v="4"/>
    <d v="2020-04-17T00:00:00"/>
    <d v="2020-04-28T00:00:00"/>
    <n v="12"/>
    <m/>
    <m/>
    <m/>
    <m/>
    <s v=""/>
    <n v="1"/>
    <n v="8"/>
  </r>
  <r>
    <s v="6.1.11"/>
    <s v="Customer Awareness"/>
    <x v="5"/>
    <x v="4"/>
    <x v="27"/>
    <x v="0"/>
    <s v="NONE"/>
    <m/>
    <m/>
    <n v="4"/>
    <d v="2020-04-17T00:00:00"/>
    <d v="2020-04-28T00:00:00"/>
    <n v="12"/>
    <m/>
    <m/>
    <m/>
    <m/>
    <s v=""/>
    <n v="1"/>
    <n v="8"/>
  </r>
  <r>
    <s v="6.1.12"/>
    <s v="Guidelines and policies"/>
    <x v="5"/>
    <x v="4"/>
    <x v="28"/>
    <x v="0"/>
    <s v="NONE"/>
    <m/>
    <m/>
    <n v="4"/>
    <d v="2020-04-17T00:00:00"/>
    <d v="2020-04-28T00:00:00"/>
    <n v="12"/>
    <m/>
    <m/>
    <m/>
    <m/>
    <s v=""/>
    <n v="1"/>
    <n v="8"/>
  </r>
  <r>
    <n v="6.2"/>
    <s v="BRD Submission"/>
    <x v="5"/>
    <x v="5"/>
    <x v="0"/>
    <x v="0"/>
    <s v="NONE"/>
    <m/>
    <m/>
    <n v="3"/>
    <d v="2020-04-29T00:00:00"/>
    <d v="2020-04-29T00:00:00"/>
    <n v="1"/>
    <m/>
    <m/>
    <m/>
    <m/>
    <s v=""/>
    <n v="1"/>
    <n v="1"/>
  </r>
  <r>
    <n v="6.3"/>
    <s v="BRD Processing"/>
    <x v="5"/>
    <x v="6"/>
    <x v="0"/>
    <x v="0"/>
    <s v="NONE"/>
    <m/>
    <m/>
    <n v="3"/>
    <d v="2020-04-30T00:00:00"/>
    <d v="2020-05-13T00:00:00"/>
    <n v="14"/>
    <m/>
    <m/>
    <m/>
    <m/>
    <s v=""/>
    <n v="1"/>
    <n v="10"/>
  </r>
  <r>
    <n v="7"/>
    <s v="Configuration and Migration"/>
    <x v="6"/>
    <x v="0"/>
    <x v="0"/>
    <x v="0"/>
    <s v="NONE"/>
    <s v="BP"/>
    <m/>
    <n v="2"/>
    <d v="2020-05-11T00:00:00"/>
    <d v="2020-05-15T00:00:00"/>
    <n v="5"/>
    <m/>
    <m/>
    <m/>
    <s v="COMPLETE"/>
    <n v="1"/>
    <n v="1"/>
    <n v="5"/>
  </r>
  <r>
    <n v="7.1"/>
    <s v="Configure Business Settings"/>
    <x v="6"/>
    <x v="7"/>
    <x v="0"/>
    <x v="0"/>
    <s v="NONE"/>
    <m/>
    <m/>
    <n v="3"/>
    <d v="2020-05-11T00:00:00"/>
    <d v="2020-05-15T00:00:00"/>
    <n v="5"/>
    <m/>
    <m/>
    <m/>
    <s v="COMPLETE"/>
    <n v="1"/>
    <n v="1"/>
    <n v="5"/>
  </r>
  <r>
    <s v="7.1.1"/>
    <s v="Company Configuration"/>
    <x v="6"/>
    <x v="7"/>
    <x v="29"/>
    <x v="0"/>
    <s v="NONE"/>
    <m/>
    <m/>
    <n v="4"/>
    <d v="2020-05-11T00:00:00"/>
    <d v="2020-05-15T00:00:00"/>
    <n v="5"/>
    <m/>
    <m/>
    <m/>
    <s v="COMPLETE"/>
    <n v="1"/>
    <n v="1"/>
    <n v="5"/>
  </r>
  <r>
    <s v="7.1.2"/>
    <s v="Service Level Agreement"/>
    <x v="6"/>
    <x v="7"/>
    <x v="30"/>
    <x v="0"/>
    <s v="NONE"/>
    <m/>
    <m/>
    <n v="4"/>
    <d v="2020-05-11T00:00:00"/>
    <d v="2020-05-15T00:00:00"/>
    <n v="5"/>
    <m/>
    <m/>
    <m/>
    <s v="COMPLETE"/>
    <n v="1"/>
    <n v="1"/>
    <n v="5"/>
  </r>
  <r>
    <s v="7.1.3"/>
    <s v="Shipping Rates"/>
    <x v="6"/>
    <x v="7"/>
    <x v="31"/>
    <x v="0"/>
    <s v="NONE"/>
    <m/>
    <m/>
    <n v="4"/>
    <d v="2020-05-11T00:00:00"/>
    <d v="2020-05-15T00:00:00"/>
    <n v="5"/>
    <m/>
    <m/>
    <m/>
    <s v="COMPLETE"/>
    <n v="1"/>
    <n v="1"/>
    <n v="5"/>
  </r>
  <r>
    <s v="7.1.4"/>
    <s v="Advanced Configuration"/>
    <x v="6"/>
    <x v="7"/>
    <x v="32"/>
    <x v="0"/>
    <s v="NONE"/>
    <m/>
    <m/>
    <n v="4"/>
    <d v="2020-05-11T00:00:00"/>
    <d v="2020-05-15T00:00:00"/>
    <n v="5"/>
    <m/>
    <m/>
    <m/>
    <s v="COMPLETE"/>
    <n v="1"/>
    <n v="1"/>
    <n v="5"/>
  </r>
  <r>
    <s v="7.1.5"/>
    <s v="Configure User Accesss for Suki Hub"/>
    <x v="6"/>
    <x v="7"/>
    <x v="33"/>
    <x v="0"/>
    <s v="NONE"/>
    <m/>
    <m/>
    <n v="4"/>
    <d v="2020-05-11T00:00:00"/>
    <d v="2020-05-15T00:00:00"/>
    <n v="5"/>
    <m/>
    <m/>
    <m/>
    <s v="COMPLETE"/>
    <n v="1"/>
    <n v="1"/>
    <n v="5"/>
  </r>
  <r>
    <s v="7.1.6"/>
    <s v="Provide complete list of Users"/>
    <x v="6"/>
    <x v="7"/>
    <x v="34"/>
    <x v="0"/>
    <s v="NONE"/>
    <m/>
    <m/>
    <n v="4"/>
    <d v="2020-05-11T00:00:00"/>
    <d v="2020-05-15T00:00:00"/>
    <n v="5"/>
    <m/>
    <m/>
    <m/>
    <s v="COMPLETE"/>
    <n v="1"/>
    <n v="1"/>
    <n v="5"/>
  </r>
  <r>
    <s v="7.1.7"/>
    <s v="Configure Users"/>
    <x v="6"/>
    <x v="7"/>
    <x v="35"/>
    <x v="0"/>
    <s v="NONE"/>
    <m/>
    <m/>
    <n v="4"/>
    <d v="2020-05-11T00:00:00"/>
    <d v="2020-05-15T00:00:00"/>
    <n v="5"/>
    <m/>
    <m/>
    <m/>
    <s v="COMPLETE"/>
    <n v="1"/>
    <n v="1"/>
    <n v="5"/>
  </r>
  <r>
    <n v="8"/>
    <s v="Data Migration"/>
    <x v="7"/>
    <x v="0"/>
    <x v="0"/>
    <x v="0"/>
    <s v="NONE"/>
    <s v="KT"/>
    <m/>
    <n v="2"/>
    <d v="2020-05-11T00:00:00"/>
    <d v="2020-05-15T00:00:00"/>
    <n v="5"/>
    <m/>
    <m/>
    <m/>
    <s v="COMPLETE"/>
    <n v="1"/>
    <n v="1"/>
    <n v="5"/>
  </r>
  <r>
    <n v="8.1"/>
    <s v="Master Products"/>
    <x v="7"/>
    <x v="8"/>
    <x v="0"/>
    <x v="0"/>
    <s v="NONE"/>
    <m/>
    <m/>
    <n v="3"/>
    <d v="2020-05-11T00:00:00"/>
    <d v="2020-05-15T00:00:00"/>
    <n v="5"/>
    <m/>
    <m/>
    <m/>
    <s v="COMPLETE"/>
    <n v="1"/>
    <n v="1"/>
    <n v="5"/>
  </r>
  <r>
    <s v="8.1.1"/>
    <s v="Popular Products"/>
    <x v="7"/>
    <x v="8"/>
    <x v="36"/>
    <x v="0"/>
    <s v="NONE"/>
    <m/>
    <m/>
    <n v="4"/>
    <d v="2020-05-11T00:00:00"/>
    <d v="2020-05-15T00:00:00"/>
    <n v="5"/>
    <m/>
    <m/>
    <m/>
    <s v="COMPLETE"/>
    <n v="1"/>
    <n v="1"/>
    <n v="5"/>
  </r>
  <r>
    <s v="8.1.2"/>
    <s v="Membership Data"/>
    <x v="7"/>
    <x v="8"/>
    <x v="37"/>
    <x v="0"/>
    <s v="NONE"/>
    <m/>
    <m/>
    <n v="4"/>
    <d v="2020-05-11T00:00:00"/>
    <d v="2020-05-15T00:00:00"/>
    <n v="5"/>
    <m/>
    <m/>
    <m/>
    <s v="COMPLETE"/>
    <n v="1"/>
    <n v="1"/>
    <n v="5"/>
  </r>
  <r>
    <s v="8.1.3"/>
    <s v="Inventory"/>
    <x v="7"/>
    <x v="8"/>
    <x v="38"/>
    <x v="0"/>
    <s v="NONE"/>
    <m/>
    <m/>
    <n v="4"/>
    <d v="2020-05-11T00:00:00"/>
    <d v="2020-05-15T00:00:00"/>
    <n v="5"/>
    <m/>
    <m/>
    <m/>
    <m/>
    <s v=""/>
    <n v="1"/>
    <n v="5"/>
  </r>
  <r>
    <s v="8.1.4"/>
    <s v="Images"/>
    <x v="7"/>
    <x v="8"/>
    <x v="39"/>
    <x v="0"/>
    <s v="NONE"/>
    <m/>
    <m/>
    <n v="4"/>
    <d v="2020-05-11T00:00:00"/>
    <d v="2020-05-15T00:00:00"/>
    <n v="5"/>
    <m/>
    <m/>
    <m/>
    <s v="COMPLETE"/>
    <n v="1"/>
    <n v="0.87"/>
    <n v="5"/>
  </r>
  <r>
    <n v="9"/>
    <s v="Infrastructure"/>
    <x v="8"/>
    <x v="0"/>
    <x v="0"/>
    <x v="0"/>
    <s v="NONE"/>
    <s v="AC"/>
    <m/>
    <n v="2"/>
    <d v="2020-04-30T00:00:00"/>
    <d v="2020-05-12T00:00:00"/>
    <n v="9"/>
    <m/>
    <m/>
    <m/>
    <s v="COMPLETE"/>
    <n v="1"/>
    <n v="1"/>
    <n v="9"/>
  </r>
  <r>
    <n v="9.1"/>
    <s v="Stable Internet Connection"/>
    <x v="8"/>
    <x v="9"/>
    <x v="0"/>
    <x v="0"/>
    <s v="NONE"/>
    <m/>
    <m/>
    <n v="3"/>
    <d v="2020-04-30T00:00:00"/>
    <d v="2020-04-30T00:00:00"/>
    <n v="1"/>
    <m/>
    <m/>
    <m/>
    <s v="COMPLETE"/>
    <n v="1"/>
    <n v="1"/>
    <n v="1"/>
  </r>
  <r>
    <s v="9.1.1"/>
    <s v="Wifi acess for entire Store"/>
    <x v="8"/>
    <x v="9"/>
    <x v="40"/>
    <x v="0"/>
    <s v="NONE"/>
    <m/>
    <m/>
    <n v="4"/>
    <d v="2020-04-30T00:00:00"/>
    <d v="2020-04-30T00:00:00"/>
    <n v="1"/>
    <m/>
    <m/>
    <m/>
    <s v="COMPLETE"/>
    <n v="1"/>
    <n v="1"/>
    <n v="1"/>
  </r>
  <r>
    <s v="9.1.2"/>
    <s v="Suki Hardware"/>
    <x v="8"/>
    <x v="9"/>
    <x v="41"/>
    <x v="0"/>
    <s v="NONE"/>
    <m/>
    <m/>
    <n v="4"/>
    <d v="2020-05-11T00:00:00"/>
    <d v="2020-05-12T00:00:00"/>
    <n v="2"/>
    <m/>
    <m/>
    <m/>
    <s v="COMPLETE"/>
    <n v="1"/>
    <n v="1"/>
    <n v="2"/>
  </r>
  <r>
    <s v="9.1.3"/>
    <s v="PDTs"/>
    <x v="8"/>
    <x v="9"/>
    <x v="42"/>
    <x v="0"/>
    <s v="NONE"/>
    <m/>
    <m/>
    <n v="4"/>
    <d v="2020-05-12T00:00:00"/>
    <d v="2020-05-12T00:00:00"/>
    <n v="1"/>
    <m/>
    <m/>
    <m/>
    <s v="COMPLETE"/>
    <n v="1"/>
    <n v="1"/>
    <n v="1"/>
  </r>
  <r>
    <s v="9.1.4"/>
    <s v="LAN Receipt Printer for Picker"/>
    <x v="8"/>
    <x v="9"/>
    <x v="43"/>
    <x v="0"/>
    <s v="NONE"/>
    <m/>
    <m/>
    <n v="4"/>
    <d v="2020-05-11T00:00:00"/>
    <d v="2020-05-12T00:00:00"/>
    <n v="2"/>
    <m/>
    <m/>
    <m/>
    <s v="COMPLETE"/>
    <n v="1"/>
    <n v="1"/>
    <n v="2"/>
  </r>
  <r>
    <s v="9.1.5"/>
    <s v="Dedicated Barter POS"/>
    <x v="8"/>
    <x v="9"/>
    <x v="44"/>
    <x v="0"/>
    <s v="NONE"/>
    <m/>
    <m/>
    <n v="4"/>
    <d v="2020-05-11T00:00:00"/>
    <d v="2020-05-12T00:00:00"/>
    <n v="2"/>
    <m/>
    <m/>
    <m/>
    <s v="COMPLETE"/>
    <n v="1"/>
    <n v="1"/>
    <n v="2"/>
  </r>
  <r>
    <s v="9.1.6"/>
    <s v="Barter POS Hardware"/>
    <x v="8"/>
    <x v="9"/>
    <x v="45"/>
    <x v="0"/>
    <s v="NONE"/>
    <m/>
    <m/>
    <n v="4"/>
    <d v="2020-05-11T00:00:00"/>
    <d v="2020-05-12T00:00:00"/>
    <n v="2"/>
    <m/>
    <m/>
    <m/>
    <s v="COMPLETE"/>
    <n v="1"/>
    <n v="1"/>
    <n v="2"/>
  </r>
  <r>
    <n v="10"/>
    <s v="Pre Live Checklist/Preparation"/>
    <x v="9"/>
    <x v="0"/>
    <x v="0"/>
    <x v="0"/>
    <s v="NONE"/>
    <s v="AC"/>
    <m/>
    <n v="2"/>
    <d v="2020-05-11T00:00:00"/>
    <d v="2020-05-15T00:00:00"/>
    <n v="5"/>
    <m/>
    <m/>
    <m/>
    <s v="COMPLETE"/>
    <n v="1"/>
    <n v="1"/>
    <n v="5"/>
  </r>
  <r>
    <n v="10.1"/>
    <s v="Install and configure all Hardwares"/>
    <x v="9"/>
    <x v="10"/>
    <x v="0"/>
    <x v="0"/>
    <s v="NONE"/>
    <m/>
    <m/>
    <n v="3"/>
    <d v="2020-05-11T00:00:00"/>
    <d v="2020-05-15T00:00:00"/>
    <n v="5"/>
    <m/>
    <m/>
    <m/>
    <s v="COMPLETE"/>
    <n v="1"/>
    <n v="1"/>
    <n v="5"/>
  </r>
  <r>
    <s v="10.1.1"/>
    <s v="PDTs"/>
    <x v="9"/>
    <x v="10"/>
    <x v="42"/>
    <x v="0"/>
    <s v="NONE"/>
    <m/>
    <m/>
    <n v="4"/>
    <d v="2020-05-11T00:00:00"/>
    <d v="2020-05-15T00:00:00"/>
    <n v="5"/>
    <m/>
    <m/>
    <m/>
    <s v="COMPLETE"/>
    <n v="1"/>
    <n v="1"/>
    <n v="5"/>
  </r>
  <r>
    <s v="10.1.2"/>
    <s v="LAN Receipt Printer for Picker"/>
    <x v="9"/>
    <x v="10"/>
    <x v="43"/>
    <x v="0"/>
    <s v="NONE"/>
    <m/>
    <m/>
    <n v="4"/>
    <d v="2020-05-11T00:00:00"/>
    <d v="2020-05-15T00:00:00"/>
    <n v="5"/>
    <m/>
    <m/>
    <m/>
    <m/>
    <s v=""/>
    <n v="1"/>
    <n v="5"/>
  </r>
  <r>
    <s v="10.1.3"/>
    <s v="Dedicated Barter POS"/>
    <x v="9"/>
    <x v="10"/>
    <x v="44"/>
    <x v="0"/>
    <s v="NONE"/>
    <m/>
    <m/>
    <n v="4"/>
    <d v="2020-05-11T00:00:00"/>
    <d v="2020-05-15T00:00:00"/>
    <n v="5"/>
    <m/>
    <m/>
    <m/>
    <s v="COMPLETE"/>
    <n v="1"/>
    <n v="1"/>
    <n v="5"/>
  </r>
  <r>
    <s v="10.1.4"/>
    <s v="Double check all Hardwares if working"/>
    <x v="9"/>
    <x v="10"/>
    <x v="46"/>
    <x v="0"/>
    <s v="NONE"/>
    <m/>
    <m/>
    <n v="4"/>
    <d v="2020-05-11T00:00:00"/>
    <d v="2020-05-15T00:00:00"/>
    <n v="5"/>
    <m/>
    <m/>
    <m/>
    <s v="COMPLETE"/>
    <n v="1"/>
    <n v="1"/>
    <n v="5"/>
  </r>
  <r>
    <s v="10.1.5"/>
    <s v="Check if all Hardwares if working"/>
    <x v="9"/>
    <x v="10"/>
    <x v="47"/>
    <x v="0"/>
    <s v="NONE"/>
    <m/>
    <m/>
    <n v="4"/>
    <d v="2020-05-11T00:00:00"/>
    <d v="2020-05-15T00:00:00"/>
    <n v="5"/>
    <m/>
    <m/>
    <m/>
    <s v="COMPLETE"/>
    <n v="1"/>
    <n v="1"/>
    <n v="5"/>
  </r>
  <r>
    <s v="10.1.6"/>
    <s v="PDTs and Printer"/>
    <x v="9"/>
    <x v="10"/>
    <x v="48"/>
    <x v="0"/>
    <s v="NONE"/>
    <m/>
    <m/>
    <n v="4"/>
    <d v="2020-05-11T00:00:00"/>
    <d v="2020-05-15T00:00:00"/>
    <n v="5"/>
    <m/>
    <m/>
    <m/>
    <s v="COMPLETE"/>
    <n v="1"/>
    <n v="1"/>
    <n v="5"/>
  </r>
  <r>
    <s v="10.1.7"/>
    <s v="POS"/>
    <x v="9"/>
    <x v="10"/>
    <x v="49"/>
    <x v="0"/>
    <s v="NONE"/>
    <m/>
    <m/>
    <n v="4"/>
    <d v="2020-05-11T00:00:00"/>
    <d v="2020-05-15T00:00:00"/>
    <n v="5"/>
    <m/>
    <m/>
    <m/>
    <s v="COMPLETE"/>
    <n v="1"/>
    <n v="1"/>
    <n v="5"/>
  </r>
  <r>
    <s v="10.1.8"/>
    <s v="Wifi speed and availability in entire Stores"/>
    <x v="9"/>
    <x v="10"/>
    <x v="50"/>
    <x v="0"/>
    <s v="NONE"/>
    <m/>
    <m/>
    <n v="4"/>
    <d v="2020-05-11T00:00:00"/>
    <d v="2020-05-15T00:00:00"/>
    <n v="5"/>
    <m/>
    <m/>
    <m/>
    <s v="COMPLETE"/>
    <n v="1"/>
    <n v="1"/>
    <n v="5"/>
  </r>
  <r>
    <s v="10.1.9"/>
    <s v="Double check and stress test Middleware"/>
    <x v="9"/>
    <x v="10"/>
    <x v="51"/>
    <x v="0"/>
    <s v="NONE"/>
    <m/>
    <m/>
    <n v="4"/>
    <d v="2020-05-11T00:00:00"/>
    <d v="2020-05-15T00:00:00"/>
    <n v="5"/>
    <m/>
    <m/>
    <m/>
    <s v="COMPLETE"/>
    <n v="1"/>
    <n v="1"/>
    <n v="5"/>
  </r>
  <r>
    <s v="10.1.10"/>
    <s v="Checklist"/>
    <x v="9"/>
    <x v="10"/>
    <x v="52"/>
    <x v="0"/>
    <s v="NONE"/>
    <m/>
    <m/>
    <n v="4"/>
    <d v="2020-05-11T00:00:00"/>
    <d v="2020-05-15T00:00:00"/>
    <n v="5"/>
    <m/>
    <m/>
    <m/>
    <s v="COMPLETE"/>
    <n v="1"/>
    <n v="1"/>
    <n v="5"/>
  </r>
  <r>
    <s v="10.1.11"/>
    <s v="Do we have Pickers?"/>
    <x v="9"/>
    <x v="10"/>
    <x v="53"/>
    <x v="0"/>
    <s v="NONE"/>
    <m/>
    <m/>
    <n v="4"/>
    <d v="2020-05-11T00:00:00"/>
    <d v="2020-05-15T00:00:00"/>
    <n v="5"/>
    <m/>
    <m/>
    <m/>
    <m/>
    <s v=""/>
    <n v="1"/>
    <n v="5"/>
  </r>
  <r>
    <s v="10.1.12"/>
    <s v="Do we have central contact or lines?"/>
    <x v="9"/>
    <x v="10"/>
    <x v="54"/>
    <x v="0"/>
    <s v="NONE"/>
    <m/>
    <m/>
    <n v="4"/>
    <d v="2020-05-11T00:00:00"/>
    <d v="2020-05-15T00:00:00"/>
    <n v="5"/>
    <m/>
    <m/>
    <m/>
    <m/>
    <s v=""/>
    <n v="1"/>
    <n v="5"/>
  </r>
  <r>
    <s v="10.1.13"/>
    <s v="Do we have Checker?"/>
    <x v="9"/>
    <x v="10"/>
    <x v="55"/>
    <x v="0"/>
    <s v="NONE"/>
    <m/>
    <m/>
    <n v="4"/>
    <d v="2020-05-11T00:00:00"/>
    <d v="2020-05-15T00:00:00"/>
    <n v="5"/>
    <m/>
    <m/>
    <m/>
    <m/>
    <s v=""/>
    <n v="1"/>
    <n v="5"/>
  </r>
  <r>
    <s v="10.1.14"/>
    <s v="Do we have Delivery vehicle and driver?"/>
    <x v="9"/>
    <x v="10"/>
    <x v="56"/>
    <x v="0"/>
    <s v="NONE"/>
    <m/>
    <m/>
    <n v="4"/>
    <d v="2020-05-11T00:00:00"/>
    <d v="2020-05-15T00:00:00"/>
    <n v="5"/>
    <m/>
    <m/>
    <m/>
    <m/>
    <s v=""/>
    <n v="1"/>
    <n v="5"/>
  </r>
  <r>
    <s v="10.1.15"/>
    <s v="Do we have dedicated lanes/section for Pickup?"/>
    <x v="9"/>
    <x v="10"/>
    <x v="57"/>
    <x v="0"/>
    <s v="NONE"/>
    <m/>
    <m/>
    <n v="4"/>
    <d v="2020-05-11T00:00:00"/>
    <d v="2020-05-15T00:00:00"/>
    <n v="5"/>
    <m/>
    <m/>
    <m/>
    <m/>
    <s v=""/>
    <n v="1"/>
    <n v="5"/>
  </r>
  <r>
    <s v="10.1.16"/>
    <s v="Do we have dedicated resource for Money remittances?"/>
    <x v="9"/>
    <x v="10"/>
    <x v="58"/>
    <x v="0"/>
    <s v="NONE"/>
    <m/>
    <m/>
    <n v="4"/>
    <d v="2020-05-11T00:00:00"/>
    <d v="2020-05-15T00:00:00"/>
    <n v="5"/>
    <m/>
    <m/>
    <m/>
    <m/>
    <s v=""/>
    <n v="1"/>
    <n v="5"/>
  </r>
  <r>
    <n v="11"/>
    <s v="Dry Run"/>
    <x v="10"/>
    <x v="0"/>
    <x v="0"/>
    <x v="0"/>
    <s v="NONE"/>
    <s v="JM/EA/_x000a_AC"/>
    <m/>
    <n v="2"/>
    <d v="2020-05-11T00:00:00"/>
    <d v="2020-05-26T00:00:00"/>
    <n v="12"/>
    <m/>
    <m/>
    <m/>
    <s v="COMPLETE"/>
    <n v="1"/>
    <n v="1"/>
    <n v="12"/>
  </r>
  <r>
    <n v="11.1"/>
    <s v="Setup of Hardware and Connectivity"/>
    <x v="10"/>
    <x v="11"/>
    <x v="0"/>
    <x v="0"/>
    <s v="NONE"/>
    <m/>
    <m/>
    <n v="3"/>
    <d v="2020-05-11T00:00:00"/>
    <d v="2020-05-15T00:00:00"/>
    <n v="5"/>
    <m/>
    <m/>
    <m/>
    <s v="COMPLETE"/>
    <n v="1"/>
    <n v="1"/>
    <n v="5"/>
  </r>
  <r>
    <s v="11.1.1"/>
    <s v="Setup of Barter Suki Integration"/>
    <x v="10"/>
    <x v="11"/>
    <x v="59"/>
    <x v="0"/>
    <s v="NONE"/>
    <m/>
    <m/>
    <n v="4"/>
    <d v="2020-05-11T00:00:00"/>
    <d v="2020-05-15T00:00:00"/>
    <n v="5"/>
    <m/>
    <m/>
    <m/>
    <s v="COMPLETE"/>
    <n v="1"/>
    <n v="1"/>
    <n v="5"/>
  </r>
  <r>
    <s v="11.1.2"/>
    <s v="Setup Picker-Checker-Driver Apps"/>
    <x v="10"/>
    <x v="11"/>
    <x v="60"/>
    <x v="0"/>
    <s v="NONE"/>
    <m/>
    <m/>
    <n v="4"/>
    <d v="2020-05-11T00:00:00"/>
    <d v="2020-05-15T00:00:00"/>
    <n v="5"/>
    <m/>
    <m/>
    <m/>
    <s v="COMPLETE"/>
    <n v="1"/>
    <n v="1"/>
    <n v="5"/>
  </r>
  <r>
    <s v="11.1.3"/>
    <s v="Onboard assigned resources for Picker-Checker-Driver"/>
    <x v="10"/>
    <x v="11"/>
    <x v="61"/>
    <x v="0"/>
    <s v="NONE"/>
    <m/>
    <m/>
    <n v="4"/>
    <d v="2020-05-11T00:00:00"/>
    <d v="2020-05-15T00:00:00"/>
    <n v="5"/>
    <m/>
    <m/>
    <m/>
    <s v="COMPLETE"/>
    <n v="1"/>
    <n v="1"/>
    <n v="5"/>
  </r>
  <r>
    <s v="11.1.4"/>
    <s v="Goods Fill Rate"/>
    <x v="10"/>
    <x v="11"/>
    <x v="62"/>
    <x v="0"/>
    <s v="NONE"/>
    <m/>
    <m/>
    <n v="4"/>
    <d v="2020-05-11T00:00:00"/>
    <d v="2020-05-15T00:00:00"/>
    <n v="5"/>
    <m/>
    <m/>
    <m/>
    <s v="COMPLETE"/>
    <n v="1"/>
    <n v="1"/>
    <n v="5"/>
  </r>
  <r>
    <s v="11.1.5"/>
    <s v="Data re-synching"/>
    <x v="10"/>
    <x v="11"/>
    <x v="63"/>
    <x v="0"/>
    <s v="NONE"/>
    <m/>
    <m/>
    <n v="4"/>
    <d v="2020-05-11T00:00:00"/>
    <d v="2020-05-15T00:00:00"/>
    <n v="5"/>
    <m/>
    <m/>
    <m/>
    <s v="COMPLETE"/>
    <n v="1"/>
    <n v="1"/>
    <n v="5"/>
  </r>
  <r>
    <s v="11.1.6"/>
    <s v="Trial Run (Targeted Customers)"/>
    <x v="10"/>
    <x v="11"/>
    <x v="64"/>
    <x v="0"/>
    <s v="NONE"/>
    <m/>
    <m/>
    <n v="4"/>
    <d v="2020-05-25T00:00:00"/>
    <d v="2020-05-26T00:00:00"/>
    <n v="2"/>
    <m/>
    <m/>
    <m/>
    <s v="COMPLETE"/>
    <n v="1"/>
    <n v="1"/>
    <n v="2"/>
  </r>
  <r>
    <s v="11.1.7"/>
    <s v="Hypercare"/>
    <x v="10"/>
    <x v="11"/>
    <x v="65"/>
    <x v="0"/>
    <s v="NONE"/>
    <m/>
    <m/>
    <n v="4"/>
    <d v="2020-05-11T00:00:00"/>
    <d v="2020-05-26T00:00:00"/>
    <n v="16"/>
    <m/>
    <m/>
    <m/>
    <s v="COMPLETE"/>
    <n v="1"/>
    <n v="1"/>
    <n v="12"/>
  </r>
  <r>
    <n v="12"/>
    <s v="Marketing Advertisements/Promotions"/>
    <x v="11"/>
    <x v="0"/>
    <x v="0"/>
    <x v="0"/>
    <s v="NONE"/>
    <s v="DT"/>
    <m/>
    <n v="2"/>
    <d v="2020-05-28T00:00:00"/>
    <d v="2020-05-29T00:00:00"/>
    <n v="2"/>
    <m/>
    <m/>
    <m/>
    <s v="COMPLETE"/>
    <n v="1"/>
    <n v="1"/>
    <n v="2"/>
  </r>
  <r>
    <n v="12.1"/>
    <s v="Flyers"/>
    <x v="11"/>
    <x v="12"/>
    <x v="0"/>
    <x v="0"/>
    <s v="NONE"/>
    <m/>
    <m/>
    <n v="3"/>
    <d v="2020-05-28T00:00:00"/>
    <d v="2020-05-29T00:00:00"/>
    <n v="2"/>
    <m/>
    <m/>
    <m/>
    <s v="COMPLETE"/>
    <n v="1"/>
    <n v="1"/>
    <n v="2"/>
  </r>
  <r>
    <s v="12.1.1"/>
    <s v="Social Sites (Organique)"/>
    <x v="11"/>
    <x v="12"/>
    <x v="66"/>
    <x v="0"/>
    <s v="NONE"/>
    <m/>
    <m/>
    <n v="4"/>
    <d v="2020-05-28T00:00:00"/>
    <d v="2020-05-29T00:00:00"/>
    <n v="2"/>
    <m/>
    <m/>
    <m/>
    <s v="COMPLETE"/>
    <n v="1"/>
    <n v="1"/>
    <n v="2"/>
  </r>
  <r>
    <s v="12.1.2"/>
    <s v="Freebies/GCs"/>
    <x v="11"/>
    <x v="12"/>
    <x v="67"/>
    <x v="0"/>
    <s v="NONE"/>
    <m/>
    <m/>
    <n v="4"/>
    <d v="2020-05-28T00:00:00"/>
    <d v="2020-05-29T00:00:00"/>
    <n v="2"/>
    <m/>
    <m/>
    <m/>
    <s v="COMPLETE"/>
    <n v="1"/>
    <n v="1"/>
    <n v="2"/>
  </r>
  <r>
    <n v="13"/>
    <s v="Go Live "/>
    <x v="12"/>
    <x v="0"/>
    <x v="0"/>
    <x v="0"/>
    <s v="NONE"/>
    <s v="JM/EA"/>
    <m/>
    <n v="2"/>
    <d v="2020-05-15T00:00:00"/>
    <d v="2020-12-07T00:00:00"/>
    <n v="147"/>
    <m/>
    <m/>
    <m/>
    <m/>
    <s v=""/>
    <n v="1"/>
    <n v="147"/>
  </r>
  <r>
    <n v="13.1"/>
    <m/>
    <x v="12"/>
    <x v="13"/>
    <x v="0"/>
    <x v="0"/>
    <s v="NONE"/>
    <m/>
    <m/>
    <n v="3"/>
    <m/>
    <m/>
    <m/>
    <m/>
    <m/>
    <m/>
    <m/>
    <s v=""/>
    <m/>
    <m/>
  </r>
  <r>
    <n v="13.2"/>
    <m/>
    <x v="12"/>
    <x v="13"/>
    <x v="0"/>
    <x v="0"/>
    <s v="NONE"/>
    <m/>
    <m/>
    <n v="3"/>
    <m/>
    <m/>
    <m/>
    <m/>
    <m/>
    <m/>
    <m/>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6"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3:F174" firstHeaderRow="0" firstDataRow="1" firstDataCol="1"/>
  <pivotFields count="20">
    <pivotField showAll="0"/>
    <pivotField showAll="0"/>
    <pivotField axis="axisRow" showAll="0">
      <items count="14">
        <item x="6"/>
        <item x="7"/>
        <item x="1"/>
        <item x="2"/>
        <item x="10"/>
        <item x="12"/>
        <item x="8"/>
        <item x="11"/>
        <item x="9"/>
        <item x="5"/>
        <item x="0"/>
        <item x="3"/>
        <item x="4"/>
        <item t="default"/>
      </items>
    </pivotField>
    <pivotField axis="axisRow" showAll="0">
      <items count="15">
        <item h="1" x="13"/>
        <item x="4"/>
        <item x="6"/>
        <item x="5"/>
        <item x="7"/>
        <item x="1"/>
        <item x="12"/>
        <item x="10"/>
        <item x="8"/>
        <item h="1" x="0"/>
        <item x="11"/>
        <item x="9"/>
        <item x="2"/>
        <item x="3"/>
        <item t="default"/>
      </items>
    </pivotField>
    <pivotField axis="axisRow" showAll="0">
      <items count="69">
        <item x="32"/>
        <item x="9"/>
        <item x="12"/>
        <item x="45"/>
        <item x="16"/>
        <item x="47"/>
        <item x="52"/>
        <item x="29"/>
        <item x="33"/>
        <item x="35"/>
        <item x="11"/>
        <item x="27"/>
        <item x="14"/>
        <item x="21"/>
        <item x="1"/>
        <item x="3"/>
        <item x="23"/>
        <item x="63"/>
        <item x="44"/>
        <item x="54"/>
        <item x="55"/>
        <item x="57"/>
        <item x="58"/>
        <item x="56"/>
        <item x="53"/>
        <item x="46"/>
        <item x="51"/>
        <item x="25"/>
        <item x="67"/>
        <item x="62"/>
        <item x="28"/>
        <item x="65"/>
        <item x="39"/>
        <item x="38"/>
        <item x="43"/>
        <item x="37"/>
        <item x="13"/>
        <item h="1" x="0"/>
        <item x="61"/>
        <item x="24"/>
        <item x="42"/>
        <item x="48"/>
        <item x="8"/>
        <item x="19"/>
        <item x="36"/>
        <item x="49"/>
        <item x="10"/>
        <item x="2"/>
        <item x="34"/>
        <item x="17"/>
        <item x="30"/>
        <item x="59"/>
        <item x="60"/>
        <item x="31"/>
        <item x="18"/>
        <item x="66"/>
        <item x="22"/>
        <item x="20"/>
        <item x="41"/>
        <item x="7"/>
        <item x="26"/>
        <item x="15"/>
        <item x="5"/>
        <item x="4"/>
        <item x="6"/>
        <item x="64"/>
        <item x="40"/>
        <item x="50"/>
        <item t="default"/>
      </items>
    </pivotField>
    <pivotField axis="axisRow" showAll="0">
      <items count="2">
        <item x="0"/>
        <item t="default"/>
      </items>
    </pivotField>
    <pivotField showAll="0"/>
    <pivotField showAll="0"/>
    <pivotField showAll="0"/>
    <pivotField showAll="0"/>
    <pivotField showAll="0"/>
    <pivotField showAll="0"/>
    <pivotField dataField="1" showAll="0"/>
    <pivotField showAll="0"/>
    <pivotField showAll="0"/>
    <pivotField dataField="1" showAll="0"/>
    <pivotField showAll="0"/>
    <pivotField showAll="0"/>
    <pivotField dataField="1" showAll="0"/>
    <pivotField dataField="1" showAll="0"/>
  </pivotFields>
  <rowFields count="4">
    <field x="2"/>
    <field x="3"/>
    <field x="4"/>
    <field x="5"/>
  </rowFields>
  <rowItems count="171">
    <i>
      <x/>
    </i>
    <i r="1">
      <x v="4"/>
    </i>
    <i r="2">
      <x/>
    </i>
    <i r="3">
      <x/>
    </i>
    <i r="2">
      <x v="7"/>
    </i>
    <i r="3">
      <x/>
    </i>
    <i r="2">
      <x v="8"/>
    </i>
    <i r="3">
      <x/>
    </i>
    <i r="2">
      <x v="9"/>
    </i>
    <i r="3">
      <x/>
    </i>
    <i r="2">
      <x v="48"/>
    </i>
    <i r="3">
      <x/>
    </i>
    <i r="2">
      <x v="50"/>
    </i>
    <i r="3">
      <x/>
    </i>
    <i r="2">
      <x v="53"/>
    </i>
    <i r="3">
      <x/>
    </i>
    <i>
      <x v="1"/>
    </i>
    <i r="1">
      <x v="8"/>
    </i>
    <i r="2">
      <x v="32"/>
    </i>
    <i r="3">
      <x/>
    </i>
    <i r="2">
      <x v="33"/>
    </i>
    <i r="3">
      <x/>
    </i>
    <i r="2">
      <x v="35"/>
    </i>
    <i r="3">
      <x/>
    </i>
    <i r="2">
      <x v="44"/>
    </i>
    <i r="3">
      <x/>
    </i>
    <i>
      <x v="2"/>
    </i>
    <i r="1">
      <x v="5"/>
    </i>
    <i r="2">
      <x v="14"/>
    </i>
    <i r="3">
      <x/>
    </i>
    <i r="2">
      <x v="15"/>
    </i>
    <i r="3">
      <x/>
    </i>
    <i r="2">
      <x v="47"/>
    </i>
    <i r="3">
      <x/>
    </i>
    <i r="2">
      <x v="62"/>
    </i>
    <i r="3">
      <x/>
    </i>
    <i r="2">
      <x v="63"/>
    </i>
    <i r="3">
      <x/>
    </i>
    <i r="2">
      <x v="64"/>
    </i>
    <i r="3">
      <x/>
    </i>
    <i>
      <x v="3"/>
    </i>
    <i r="1">
      <x v="12"/>
    </i>
    <i r="2">
      <x v="1"/>
    </i>
    <i r="3">
      <x/>
    </i>
    <i r="2">
      <x v="2"/>
    </i>
    <i r="3">
      <x/>
    </i>
    <i r="2">
      <x v="10"/>
    </i>
    <i r="3">
      <x/>
    </i>
    <i r="2">
      <x v="12"/>
    </i>
    <i r="3">
      <x/>
    </i>
    <i r="2">
      <x v="36"/>
    </i>
    <i r="3">
      <x/>
    </i>
    <i r="2">
      <x v="42"/>
    </i>
    <i r="3">
      <x/>
    </i>
    <i r="2">
      <x v="46"/>
    </i>
    <i r="3">
      <x/>
    </i>
    <i r="2">
      <x v="59"/>
    </i>
    <i r="3">
      <x/>
    </i>
    <i>
      <x v="4"/>
    </i>
    <i r="1">
      <x v="10"/>
    </i>
    <i r="2">
      <x v="17"/>
    </i>
    <i r="3">
      <x/>
    </i>
    <i r="2">
      <x v="29"/>
    </i>
    <i r="3">
      <x/>
    </i>
    <i r="2">
      <x v="31"/>
    </i>
    <i r="3">
      <x/>
    </i>
    <i r="2">
      <x v="38"/>
    </i>
    <i r="3">
      <x/>
    </i>
    <i r="2">
      <x v="51"/>
    </i>
    <i r="3">
      <x/>
    </i>
    <i r="2">
      <x v="52"/>
    </i>
    <i r="3">
      <x/>
    </i>
    <i r="2">
      <x v="65"/>
    </i>
    <i r="3">
      <x/>
    </i>
    <i>
      <x v="6"/>
    </i>
    <i r="1">
      <x v="11"/>
    </i>
    <i r="2">
      <x v="3"/>
    </i>
    <i r="3">
      <x/>
    </i>
    <i r="2">
      <x v="18"/>
    </i>
    <i r="3">
      <x/>
    </i>
    <i r="2">
      <x v="34"/>
    </i>
    <i r="3">
      <x/>
    </i>
    <i r="2">
      <x v="40"/>
    </i>
    <i r="3">
      <x/>
    </i>
    <i r="2">
      <x v="58"/>
    </i>
    <i r="3">
      <x/>
    </i>
    <i r="2">
      <x v="66"/>
    </i>
    <i r="3">
      <x/>
    </i>
    <i>
      <x v="7"/>
    </i>
    <i r="1">
      <x v="6"/>
    </i>
    <i r="2">
      <x v="28"/>
    </i>
    <i r="3">
      <x/>
    </i>
    <i r="2">
      <x v="55"/>
    </i>
    <i r="3">
      <x/>
    </i>
    <i>
      <x v="8"/>
    </i>
    <i r="1">
      <x v="7"/>
    </i>
    <i r="2">
      <x v="5"/>
    </i>
    <i r="3">
      <x/>
    </i>
    <i r="2">
      <x v="6"/>
    </i>
    <i r="3">
      <x/>
    </i>
    <i r="2">
      <x v="18"/>
    </i>
    <i r="3">
      <x/>
    </i>
    <i r="2">
      <x v="19"/>
    </i>
    <i r="3">
      <x/>
    </i>
    <i r="2">
      <x v="20"/>
    </i>
    <i r="3">
      <x/>
    </i>
    <i r="2">
      <x v="21"/>
    </i>
    <i r="3">
      <x/>
    </i>
    <i r="2">
      <x v="22"/>
    </i>
    <i r="3">
      <x/>
    </i>
    <i r="2">
      <x v="23"/>
    </i>
    <i r="3">
      <x/>
    </i>
    <i r="2">
      <x v="24"/>
    </i>
    <i r="3">
      <x/>
    </i>
    <i r="2">
      <x v="25"/>
    </i>
    <i r="3">
      <x/>
    </i>
    <i r="2">
      <x v="26"/>
    </i>
    <i r="3">
      <x/>
    </i>
    <i r="2">
      <x v="34"/>
    </i>
    <i r="3">
      <x/>
    </i>
    <i r="2">
      <x v="40"/>
    </i>
    <i r="3">
      <x/>
    </i>
    <i r="2">
      <x v="41"/>
    </i>
    <i r="3">
      <x/>
    </i>
    <i r="2">
      <x v="45"/>
    </i>
    <i r="3">
      <x/>
    </i>
    <i r="2">
      <x v="67"/>
    </i>
    <i r="3">
      <x/>
    </i>
    <i>
      <x v="9"/>
    </i>
    <i r="1">
      <x v="1"/>
    </i>
    <i r="2">
      <x v="11"/>
    </i>
    <i r="3">
      <x/>
    </i>
    <i r="2">
      <x v="12"/>
    </i>
    <i r="3">
      <x/>
    </i>
    <i r="2">
      <x v="13"/>
    </i>
    <i r="3">
      <x/>
    </i>
    <i r="2">
      <x v="16"/>
    </i>
    <i r="3">
      <x/>
    </i>
    <i r="2">
      <x v="27"/>
    </i>
    <i r="3">
      <x/>
    </i>
    <i r="2">
      <x v="30"/>
    </i>
    <i r="3">
      <x/>
    </i>
    <i r="2">
      <x v="39"/>
    </i>
    <i r="3">
      <x/>
    </i>
    <i r="2">
      <x v="42"/>
    </i>
    <i r="3">
      <x/>
    </i>
    <i r="2">
      <x v="56"/>
    </i>
    <i r="3">
      <x/>
    </i>
    <i r="2">
      <x v="57"/>
    </i>
    <i r="3">
      <x/>
    </i>
    <i r="2">
      <x v="59"/>
    </i>
    <i r="3">
      <x/>
    </i>
    <i r="2">
      <x v="60"/>
    </i>
    <i r="3">
      <x/>
    </i>
    <i>
      <x v="11"/>
    </i>
    <i r="1">
      <x v="13"/>
    </i>
    <i r="2">
      <x v="4"/>
    </i>
    <i r="3">
      <x/>
    </i>
    <i r="2">
      <x v="49"/>
    </i>
    <i r="3">
      <x/>
    </i>
    <i r="2">
      <x v="54"/>
    </i>
    <i r="3">
      <x/>
    </i>
    <i r="2">
      <x v="61"/>
    </i>
    <i r="3">
      <x/>
    </i>
    <i>
      <x v="12"/>
    </i>
    <i r="1">
      <x v="12"/>
    </i>
    <i r="2">
      <x v="43"/>
    </i>
    <i r="3">
      <x/>
    </i>
    <i r="2">
      <x v="59"/>
    </i>
    <i r="3">
      <x/>
    </i>
    <i t="grand">
      <x/>
    </i>
  </rowItems>
  <colFields count="1">
    <field x="-2"/>
  </colFields>
  <colItems count="4">
    <i>
      <x/>
    </i>
    <i i="1">
      <x v="1"/>
    </i>
    <i i="2">
      <x v="2"/>
    </i>
    <i i="3">
      <x v="3"/>
    </i>
  </colItems>
  <dataFields count="4">
    <dataField name="Sum of WORK DAYS" fld="19" baseField="0" baseItem="0"/>
    <dataField name="Count of ACTUAL DAYS" fld="15" subtotal="count" baseField="0" baseItem="0"/>
    <dataField name="Sum of PLANNED DAYS" fld="12" baseField="0" baseItem="0"/>
    <dataField name="Sum of % DONE"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 xr10:uid="{00000000-0013-0000-FFFF-FFFF01000000}" sourceName="Position">
  <extLst>
    <x:ext xmlns:x15="http://schemas.microsoft.com/office/spreadsheetml/2010/11/main" uri="{2F2917AC-EB37-4324-AD4E-5DD8C200BD13}">
      <x15:tableSlicerCache tableId="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0000000-0013-0000-FFFF-FFFF02000000}" sourceName="Department">
  <extLst>
    <x:ext xmlns:x15="http://schemas.microsoft.com/office/spreadsheetml/2010/11/main" uri="{2F2917AC-EB37-4324-AD4E-5DD8C200BD13}">
      <x15:tableSlicerCache tableId="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Role" xr10:uid="{00000000-0013-0000-FFFF-FFFF03000000}" sourceName="Project Role">
  <extLst>
    <x:ext xmlns:x15="http://schemas.microsoft.com/office/spreadsheetml/2010/11/main" uri="{2F2917AC-EB37-4324-AD4E-5DD8C200BD13}">
      <x15:tableSlicerCache tableId="6"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ition" xr10:uid="{00000000-0014-0000-FFFF-FFFF01000000}" cache="Slicer_Position" caption="Position" rowHeight="234950"/>
  <slicer name="Department" xr10:uid="{00000000-0014-0000-FFFF-FFFF02000000}" cache="Slicer_Department" caption="Department" rowHeight="234950"/>
  <slicer name="Project Role" xr10:uid="{00000000-0014-0000-FFFF-FFFF03000000}" cache="Slicer_Project_Role" caption="Project Rol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skTable" displayName="TaskTable" ref="D1:T103" totalsRowShown="0" headerRowDxfId="57" dataDxfId="56">
  <autoFilter ref="D1:T103" xr:uid="{00000000-0009-0000-0100-000001000000}"/>
  <tableColumns count="17">
    <tableColumn id="1" xr3:uid="{00000000-0010-0000-0000-000001000000}" name="WBS" dataDxfId="55"/>
    <tableColumn id="2" xr3:uid="{00000000-0010-0000-0000-000002000000}" name="PHASE" dataDxfId="54"/>
    <tableColumn id="15" xr3:uid="{00000000-0010-0000-0000-00000F000000}" name="MAIN PHASE" dataDxfId="53">
      <calculatedColumnFormula>IF(TaskTable[[#This Row],[WBS Level]]=2,TaskTable[[#This Row],[PHASE]],OFFSET(TaskTable[[#This Row],[MAIN PHASE]],-1,0))</calculatedColumnFormula>
    </tableColumn>
    <tableColumn id="17" xr3:uid="{00000000-0010-0000-0000-000011000000}" name="SP-1" dataDxfId="52">
      <calculatedColumnFormula>IF(TaskTable[[#This Row],[WBS Level]]=3,TaskTable[[#This Row],[PHASE]],IF(TaskTable[[#This Row],[WBS Level]]&lt;3,"NONE",OFFSET(TaskTable[[#This Row],[SP-1]],-1,0)))</calculatedColumnFormula>
    </tableColumn>
    <tableColumn id="18" xr3:uid="{00000000-0010-0000-0000-000012000000}" name="SP-2" dataDxfId="51">
      <calculatedColumnFormula>IF(TaskTable[[#This Row],[WBS Level]]=4,TaskTable[[#This Row],[PHASE]],IF(TaskTable[[#This Row],[WBS Level]]&lt;4,"NONE",OFFSET(TaskTable[[#This Row],[SP-2]],-1,0)))</calculatedColumnFormula>
    </tableColumn>
    <tableColumn id="20" xr3:uid="{00000000-0010-0000-0000-000014000000}" name="SP-3" dataDxfId="50">
      <calculatedColumnFormula>IF(TaskTable[[#This Row],[WBS Level]]=5,TaskTable[[#This Row],[PHASE]],IF(TaskTable[[#This Row],[WBS Level]]&lt;5,"NONE",OFFSET(TaskTable[[#This Row],[SP-3]],-1,0)))</calculatedColumnFormula>
    </tableColumn>
    <tableColumn id="19" xr3:uid="{00000000-0010-0000-0000-000013000000}" name="SP-4" dataDxfId="49">
      <calculatedColumnFormula>IF(TaskTable[[#This Row],[WBS Level]]=6,TaskTable[[#This Row],[PHASE]],IF(TaskTable[[#This Row],[WBS Level]]&lt;6,"NONE",OFFSET(TaskTable[[#This Row],[SP-4]],-1,0)))</calculatedColumnFormula>
    </tableColumn>
    <tableColumn id="3" xr3:uid="{00000000-0010-0000-0000-000003000000}" name="LEAD" dataDxfId="48"/>
    <tableColumn id="4" xr3:uid="{00000000-0010-0000-0000-000004000000}" name="PREDECESSOR" dataDxfId="47"/>
    <tableColumn id="12" xr3:uid="{00000000-0010-0000-0000-00000C000000}" name="WBS Level" dataDxfId="46">
      <calculatedColumnFormula>LEN(TaskTable[WBS])-LEN(SUBSTITUTE(TaskTable[WBS],".",""))+2</calculatedColumnFormula>
    </tableColumn>
    <tableColumn id="5" xr3:uid="{00000000-0010-0000-0000-000005000000}" name="START" dataDxfId="45"/>
    <tableColumn id="6" xr3:uid="{00000000-0010-0000-0000-000006000000}" name="END" dataDxfId="44"/>
    <tableColumn id="7" xr3:uid="{00000000-0010-0000-0000-000007000000}" name="DAYS" dataDxfId="43"/>
    <tableColumn id="8" xr3:uid="{00000000-0010-0000-0000-000008000000}" name="STATUS" dataDxfId="42"/>
    <tableColumn id="13" xr3:uid="{00000000-0010-0000-0000-00000D000000}" name="CMPLT" dataDxfId="41">
      <calculatedColumnFormula>IF(TaskTable[[#This Row],[STATUS]]="COMPLETE",1,"")</calculatedColumnFormula>
    </tableColumn>
    <tableColumn id="9" xr3:uid="{00000000-0010-0000-0000-000009000000}" name="% DONE" dataDxfId="40" dataCellStyle="Percent"/>
    <tableColumn id="10" xr3:uid="{00000000-0010-0000-0000-00000A000000}" name="WORK DAYS" dataDxf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ainPhaseTable" displayName="mainPhaseTable" ref="AS1:BB16" totalsRowShown="0" headerRowDxfId="38" dataDxfId="37">
  <autoFilter ref="AS1:BB16" xr:uid="{00000000-0009-0000-0100-000003000000}"/>
  <tableColumns count="10">
    <tableColumn id="1" xr3:uid="{00000000-0010-0000-0100-000001000000}" name="PHASE" dataDxfId="36"/>
    <tableColumn id="3" xr3:uid="{00000000-0010-0000-0100-000003000000}" name="START" dataDxfId="35"/>
    <tableColumn id="4" xr3:uid="{00000000-0010-0000-0100-000004000000}" name="DURATION" dataDxfId="34">
      <calculatedColumnFormula>AY2-AT2</calculatedColumnFormula>
    </tableColumn>
    <tableColumn id="5" xr3:uid="{00000000-0010-0000-0100-000005000000}" name="% COMPLETE" dataDxfId="33"/>
    <tableColumn id="6" xr3:uid="{00000000-0010-0000-0100-000006000000}" name="COMPLETION" dataDxfId="32">
      <calculatedColumnFormula>(AV2/100)*AU2</calculatedColumnFormula>
    </tableColumn>
    <tableColumn id="7" xr3:uid="{00000000-0010-0000-0100-000007000000}" name="HEIGHT" dataDxfId="31"/>
    <tableColumn id="8" xr3:uid="{00000000-0010-0000-0100-000008000000}" name="END" dataDxfId="30"/>
    <tableColumn id="9" xr3:uid="{00000000-0010-0000-0100-000009000000}" name="DAYS SINCE START" dataDxfId="29">
      <calculatedColumnFormula>AT2-$B$6</calculatedColumnFormula>
    </tableColumn>
    <tableColumn id="10" xr3:uid="{00000000-0010-0000-0100-00000A000000}" name="TODAY" dataDxfId="28">
      <calculatedColumnFormula>$AQ$4</calculatedColumnFormula>
    </tableColumn>
    <tableColumn id="11" xr3:uid="{00000000-0010-0000-0100-00000B000000}" name="DAYS SINCE TODAY" dataDxfId="27">
      <calculatedColumnFormula>BA2-AT2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6" displayName="Table6" ref="B2:J7" totalsRowShown="0" headerRowDxfId="26" dataDxfId="25" tableBorderDxfId="24">
  <autoFilter ref="B2:J7" xr:uid="{00000000-0009-0000-0100-000006000000}"/>
  <tableColumns count="9">
    <tableColumn id="1" xr3:uid="{00000000-0010-0000-0200-000001000000}" name="Name" dataDxfId="23"/>
    <tableColumn id="2" xr3:uid="{00000000-0010-0000-0200-000002000000}" name="Position" dataDxfId="22"/>
    <tableColumn id="3" xr3:uid="{00000000-0010-0000-0200-000003000000}" name="Department" dataDxfId="21"/>
    <tableColumn id="4" xr3:uid="{00000000-0010-0000-0200-000004000000}" name="Section" dataDxfId="20"/>
    <tableColumn id="5" xr3:uid="{00000000-0010-0000-0200-000005000000}" name="Project Role" dataDxfId="19"/>
    <tableColumn id="6" xr3:uid="{00000000-0010-0000-0200-000006000000}" name="Business Email Address" dataDxfId="18"/>
    <tableColumn id="7" xr3:uid="{00000000-0010-0000-0200-000007000000}" name="Mobile Number" dataDxfId="17"/>
    <tableColumn id="8" xr3:uid="{00000000-0010-0000-0200-000008000000}" name="Days Available" dataDxfId="16"/>
    <tableColumn id="9" xr3:uid="{00000000-0010-0000-0200-000009000000}" name="Comment" dataDxf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3.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
  <sheetViews>
    <sheetView workbookViewId="0">
      <selection activeCell="B35" sqref="B35"/>
    </sheetView>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4" tint="0.79998168889431442"/>
  </sheetPr>
  <dimension ref="A1:GN24"/>
  <sheetViews>
    <sheetView showGridLines="0" showRowColHeaders="0" zoomScale="90" zoomScaleNormal="90" workbookViewId="0">
      <pane ySplit="3" topLeftCell="A4" activePane="bottomLeft" state="frozen"/>
      <selection pane="bottomLeft" activeCell="I5" sqref="I5"/>
    </sheetView>
  </sheetViews>
  <sheetFormatPr defaultColWidth="0" defaultRowHeight="14.4" x14ac:dyDescent="0.3"/>
  <cols>
    <col min="1" max="2" width="8.88671875" style="226" customWidth="1"/>
    <col min="3" max="3" width="12.5546875" style="226" customWidth="1"/>
    <col min="4" max="4" width="1.33203125" style="226" customWidth="1"/>
    <col min="5" max="5" width="41.5546875" style="226" bestFit="1" customWidth="1"/>
    <col min="6" max="6" width="11.88671875" style="226" bestFit="1" customWidth="1"/>
    <col min="7" max="7" width="14.33203125" style="226" bestFit="1" customWidth="1"/>
    <col min="8" max="8" width="10" style="226" bestFit="1" customWidth="1"/>
    <col min="9" max="9" width="7.33203125" style="226" customWidth="1"/>
    <col min="10" max="11" width="18.6640625" style="226" customWidth="1"/>
    <col min="12" max="12" width="14.5546875" style="226" bestFit="1" customWidth="1"/>
    <col min="13" max="13" width="23.6640625" style="226" customWidth="1"/>
    <col min="14" max="14" width="5" style="226" customWidth="1"/>
    <col min="15" max="15" width="8.44140625" style="226" bestFit="1" customWidth="1"/>
    <col min="16" max="16" width="4.44140625" style="226" customWidth="1"/>
    <col min="17" max="17" width="25.33203125" style="226" bestFit="1" customWidth="1"/>
    <col min="18" max="18" width="24.33203125" style="226" hidden="1" customWidth="1"/>
    <col min="19" max="19" width="31.5546875" style="226" hidden="1" customWidth="1"/>
    <col min="20" max="20" width="14.33203125" style="226" hidden="1" customWidth="1"/>
    <col min="21" max="21" width="15.44140625" style="226" hidden="1" customWidth="1"/>
    <col min="22" max="22" width="18.6640625" style="226" hidden="1" customWidth="1"/>
    <col min="23" max="23" width="21.6640625" style="226" hidden="1" customWidth="1"/>
    <col min="24" max="24" width="41.5546875" style="226" hidden="1" customWidth="1"/>
    <col min="25" max="25" width="12.88671875" style="226" hidden="1" customWidth="1"/>
    <col min="26" max="26" width="20.33203125" style="226" hidden="1" customWidth="1"/>
    <col min="27" max="27" width="13.88671875" style="226" hidden="1" customWidth="1"/>
    <col min="28" max="28" width="16.6640625" style="226" hidden="1" customWidth="1"/>
    <col min="29" max="29" width="13.6640625" style="226" hidden="1" customWidth="1"/>
    <col min="30" max="30" width="15.33203125" style="226" hidden="1" customWidth="1"/>
    <col min="31" max="31" width="39.5546875" style="226" hidden="1" customWidth="1"/>
    <col min="32" max="32" width="19.109375" style="226" hidden="1" customWidth="1"/>
    <col min="33" max="33" width="12.33203125" style="226" hidden="1" customWidth="1"/>
    <col min="34" max="34" width="31.6640625" style="226" hidden="1" customWidth="1"/>
    <col min="35" max="35" width="19.109375" style="226" hidden="1" customWidth="1"/>
    <col min="36" max="36" width="42" style="226" hidden="1" customWidth="1"/>
    <col min="37" max="37" width="48.6640625" style="226" hidden="1" customWidth="1"/>
    <col min="38" max="38" width="34.88671875" style="226" hidden="1" customWidth="1"/>
    <col min="39" max="39" width="18.33203125" style="226" hidden="1" customWidth="1"/>
    <col min="40" max="40" width="33.33203125" style="226" hidden="1" customWidth="1"/>
    <col min="41" max="41" width="35.6640625" style="226" hidden="1" customWidth="1"/>
    <col min="42" max="42" width="7.6640625" style="226" hidden="1" customWidth="1"/>
    <col min="43" max="43" width="23.6640625" style="226" hidden="1" customWidth="1"/>
    <col min="44" max="44" width="5.6640625" style="226" hidden="1" customWidth="1"/>
    <col min="45" max="45" width="11.88671875" style="226" hidden="1" customWidth="1"/>
    <col min="46" max="46" width="7.5546875" style="226" hidden="1" customWidth="1"/>
    <col min="47" max="47" width="13.33203125" style="226" hidden="1" customWidth="1"/>
    <col min="48" max="48" width="20.33203125" style="226" hidden="1" customWidth="1"/>
    <col min="49" max="49" width="9.5546875" style="226" hidden="1" customWidth="1"/>
    <col min="50" max="50" width="7" style="226" hidden="1" customWidth="1"/>
    <col min="51" max="51" width="12.5546875" style="226" hidden="1" customWidth="1"/>
    <col min="52" max="52" width="30.33203125" style="226" hidden="1" customWidth="1"/>
    <col min="53" max="53" width="9.33203125" style="226" hidden="1" customWidth="1"/>
    <col min="54" max="54" width="26.109375" style="226" hidden="1" customWidth="1"/>
    <col min="55" max="55" width="34.5546875" style="226" hidden="1" customWidth="1"/>
    <col min="56" max="56" width="14.88671875" style="226" hidden="1" customWidth="1"/>
    <col min="57" max="57" width="16.109375" style="226" hidden="1" customWidth="1"/>
    <col min="58" max="58" width="24.6640625" style="226" hidden="1" customWidth="1"/>
    <col min="59" max="59" width="47.109375" style="226" hidden="1" customWidth="1"/>
    <col min="60" max="60" width="18.33203125" style="226" hidden="1" customWidth="1"/>
    <col min="61" max="61" width="5.109375" style="226" hidden="1" customWidth="1"/>
    <col min="62" max="62" width="15" style="226" hidden="1" customWidth="1"/>
    <col min="63" max="63" width="13.6640625" style="226" hidden="1" customWidth="1"/>
    <col min="64" max="64" width="19.44140625" style="226" hidden="1" customWidth="1"/>
    <col min="65" max="65" width="15.5546875" style="226" hidden="1" customWidth="1"/>
    <col min="66" max="66" width="4.44140625" style="226" hidden="1" customWidth="1"/>
    <col min="67" max="67" width="12.44140625" style="226" hidden="1" customWidth="1"/>
    <col min="68" max="68" width="26.6640625" style="226" hidden="1" customWidth="1"/>
    <col min="69" max="69" width="31.88671875" style="226" hidden="1" customWidth="1"/>
    <col min="70" max="70" width="31.33203125" style="226" hidden="1" customWidth="1"/>
    <col min="71" max="71" width="14.109375" style="226" hidden="1" customWidth="1"/>
    <col min="72" max="72" width="26.33203125" style="226" hidden="1" customWidth="1"/>
    <col min="73" max="73" width="9.44140625" style="226" hidden="1" customWidth="1"/>
    <col min="74" max="74" width="21.88671875" style="226" hidden="1" customWidth="1"/>
    <col min="75" max="75" width="27.88671875" style="226" hidden="1" customWidth="1"/>
    <col min="76" max="76" width="31.88671875" style="226" hidden="1" customWidth="1"/>
    <col min="77" max="77" width="29.6640625" style="226" hidden="1" customWidth="1"/>
    <col min="78" max="78" width="13.44140625" style="226" hidden="1" customWidth="1"/>
    <col min="79" max="79" width="7.6640625" style="226" hidden="1" customWidth="1"/>
    <col min="80" max="80" width="21" style="226" hidden="1" customWidth="1"/>
    <col min="81" max="81" width="23.88671875" style="226" hidden="1" customWidth="1"/>
    <col min="82" max="82" width="10" style="226" hidden="1" customWidth="1"/>
    <col min="83" max="83" width="8.44140625" style="226" hidden="1" customWidth="1"/>
    <col min="84" max="84" width="13.33203125" style="226" hidden="1" customWidth="1"/>
    <col min="85" max="85" width="8.44140625" style="226" hidden="1" customWidth="1"/>
    <col min="86" max="86" width="16.33203125" style="226" hidden="1" customWidth="1"/>
    <col min="87" max="87" width="23.6640625" style="226" hidden="1" customWidth="1"/>
    <col min="88" max="88" width="18.33203125" style="226" hidden="1" customWidth="1"/>
    <col min="89" max="89" width="7.6640625" style="226" hidden="1" customWidth="1"/>
    <col min="90" max="90" width="36" style="226" hidden="1" customWidth="1"/>
    <col min="91" max="91" width="38.33203125" style="226" hidden="1" customWidth="1"/>
    <col min="92" max="92" width="22.44140625" style="226" hidden="1" customWidth="1"/>
    <col min="93" max="93" width="27.33203125" style="226" hidden="1" customWidth="1"/>
    <col min="94" max="94" width="22.6640625" style="226" hidden="1" customWidth="1"/>
    <col min="95" max="95" width="36.5546875" style="226" hidden="1" customWidth="1"/>
    <col min="96" max="96" width="7" style="226" hidden="1" customWidth="1"/>
    <col min="97" max="97" width="10.6640625" style="226" hidden="1" customWidth="1"/>
    <col min="98" max="98" width="17.44140625" style="226" hidden="1" customWidth="1"/>
    <col min="99" max="99" width="32.33203125" style="226" hidden="1" customWidth="1"/>
    <col min="100" max="100" width="35.109375" style="226" hidden="1" customWidth="1"/>
    <col min="101" max="101" width="13.6640625" style="226" hidden="1" customWidth="1"/>
    <col min="102" max="102" width="14" style="226" hidden="1" customWidth="1"/>
    <col min="103" max="104" width="28.109375" style="226" hidden="1" customWidth="1"/>
    <col min="105" max="105" width="30.88671875" style="226" hidden="1" customWidth="1"/>
    <col min="106" max="106" width="36.5546875" style="226" hidden="1" customWidth="1"/>
    <col min="107" max="107" width="39.33203125" style="226" hidden="1" customWidth="1"/>
    <col min="108" max="108" width="16.88671875" style="226" hidden="1" customWidth="1"/>
    <col min="109" max="109" width="19.6640625" style="226" hidden="1" customWidth="1"/>
    <col min="110" max="110" width="18.109375" style="226" hidden="1" customWidth="1"/>
    <col min="111" max="111" width="20.88671875" style="226" hidden="1" customWidth="1"/>
    <col min="112" max="112" width="26.6640625" style="226" hidden="1" customWidth="1"/>
    <col min="113" max="113" width="29.5546875" style="226" hidden="1" customWidth="1"/>
    <col min="114" max="114" width="49.109375" style="226" hidden="1" customWidth="1"/>
    <col min="115" max="115" width="51.88671875" style="226" hidden="1" customWidth="1"/>
    <col min="116" max="116" width="31.88671875" style="226" hidden="1" customWidth="1"/>
    <col min="117" max="117" width="23.109375" style="226" hidden="1" customWidth="1"/>
    <col min="118" max="119" width="26.6640625" style="226" hidden="1" customWidth="1"/>
    <col min="120" max="120" width="9.6640625" style="226" hidden="1" customWidth="1"/>
    <col min="121" max="121" width="26.6640625" style="226" hidden="1" customWidth="1"/>
    <col min="122" max="122" width="19.6640625" style="226" hidden="1" customWidth="1"/>
    <col min="123" max="124" width="31.88671875" style="226" hidden="1" customWidth="1"/>
    <col min="125" max="125" width="18.44140625" style="226" hidden="1" customWidth="1"/>
    <col min="126" max="126" width="21.44140625" style="226" hidden="1" customWidth="1"/>
    <col min="127" max="127" width="24.33203125" style="226" hidden="1" customWidth="1"/>
    <col min="128" max="128" width="17.5546875" style="226" hidden="1" customWidth="1"/>
    <col min="129" max="129" width="20.33203125" style="226" hidden="1" customWidth="1"/>
    <col min="130" max="130" width="26.6640625" style="226" hidden="1" customWidth="1"/>
    <col min="131" max="131" width="9.109375" style="226" hidden="1" customWidth="1"/>
    <col min="132" max="132" width="14.44140625" style="226" hidden="1" customWidth="1"/>
    <col min="133" max="133" width="17.33203125" style="226" hidden="1" customWidth="1"/>
    <col min="134" max="134" width="28.6640625" style="226" hidden="1" customWidth="1"/>
    <col min="135" max="135" width="31.44140625" style="226" hidden="1" customWidth="1"/>
    <col min="136" max="136" width="33.88671875" style="226" hidden="1" customWidth="1"/>
    <col min="137" max="137" width="36.6640625" style="226" hidden="1" customWidth="1"/>
    <col min="138" max="138" width="39.5546875" style="226" hidden="1" customWidth="1"/>
    <col min="139" max="139" width="36.109375" style="226" hidden="1" customWidth="1"/>
    <col min="140" max="140" width="16.109375" style="226" hidden="1" customWidth="1"/>
    <col min="141" max="141" width="18.88671875" style="226" hidden="1" customWidth="1"/>
    <col min="142" max="142" width="28.33203125" style="226" hidden="1" customWidth="1"/>
    <col min="143" max="143" width="31" style="226" hidden="1" customWidth="1"/>
    <col min="144" max="144" width="23.6640625" style="226" hidden="1" customWidth="1"/>
    <col min="145" max="145" width="14.33203125" style="226" hidden="1" customWidth="1"/>
    <col min="146" max="146" width="25.33203125" style="226" hidden="1" customWidth="1"/>
    <col min="147" max="147" width="26.6640625" style="226" hidden="1" customWidth="1"/>
    <col min="148" max="148" width="29.88671875" style="226" hidden="1" customWidth="1"/>
    <col min="149" max="149" width="32.6640625" style="226" hidden="1" customWidth="1"/>
    <col min="150" max="150" width="33.88671875" style="226" hidden="1" customWidth="1"/>
    <col min="151" max="151" width="36.6640625" style="226" hidden="1" customWidth="1"/>
    <col min="152" max="152" width="31.6640625" style="226" hidden="1" customWidth="1"/>
    <col min="153" max="153" width="34.5546875" style="226" hidden="1" customWidth="1"/>
    <col min="154" max="154" width="25.33203125" style="226" hidden="1" customWidth="1"/>
    <col min="155" max="155" width="18.33203125" style="226" hidden="1" customWidth="1"/>
    <col min="156" max="156" width="23.6640625" style="226" hidden="1" customWidth="1"/>
    <col min="157" max="157" width="12.33203125" style="226" hidden="1" customWidth="1"/>
    <col min="158" max="158" width="34.5546875" style="226" hidden="1" customWidth="1"/>
    <col min="159" max="160" width="25.88671875" style="226" hidden="1" customWidth="1"/>
    <col min="161" max="161" width="28.6640625" style="226" hidden="1" customWidth="1"/>
    <col min="162" max="162" width="31.88671875" style="226" hidden="1" customWidth="1"/>
    <col min="163" max="163" width="14.6640625" style="226" hidden="1" customWidth="1"/>
    <col min="164" max="166" width="31.88671875" style="226" hidden="1" customWidth="1"/>
    <col min="167" max="167" width="13.33203125" style="226" hidden="1" customWidth="1"/>
    <col min="168" max="168" width="15.33203125" style="226" hidden="1" customWidth="1"/>
    <col min="169" max="169" width="18" style="226" hidden="1" customWidth="1"/>
    <col min="170" max="172" width="31.88671875" style="226" hidden="1" customWidth="1"/>
    <col min="173" max="173" width="13.33203125" style="226" hidden="1" customWidth="1"/>
    <col min="174" max="174" width="31.88671875" style="226" hidden="1" customWidth="1"/>
    <col min="175" max="175" width="21.109375" style="226" hidden="1" customWidth="1"/>
    <col min="176" max="176" width="25.6640625" style="226" hidden="1" customWidth="1"/>
    <col min="177" max="177" width="28.44140625" style="226" hidden="1" customWidth="1"/>
    <col min="178" max="178" width="23.6640625" style="226" hidden="1" customWidth="1"/>
    <col min="179" max="179" width="23" style="226" hidden="1" customWidth="1"/>
    <col min="180" max="180" width="9.6640625" style="226" hidden="1" customWidth="1"/>
    <col min="181" max="181" width="12.44140625" style="226" hidden="1" customWidth="1"/>
    <col min="182" max="182" width="39.5546875" style="226" hidden="1" customWidth="1"/>
    <col min="183" max="183" width="40.6640625" style="226" hidden="1" customWidth="1"/>
    <col min="184" max="184" width="40.33203125" style="226" hidden="1" customWidth="1"/>
    <col min="185" max="185" width="43" style="226" hidden="1" customWidth="1"/>
    <col min="186" max="186" width="39.5546875" style="226" hidden="1" customWidth="1"/>
    <col min="187" max="187" width="27.33203125" style="226" hidden="1" customWidth="1"/>
    <col min="188" max="188" width="29.33203125" style="226" hidden="1" customWidth="1"/>
    <col min="189" max="189" width="32.109375" style="226" hidden="1" customWidth="1"/>
    <col min="190" max="190" width="24.6640625" style="226" hidden="1" customWidth="1"/>
    <col min="191" max="191" width="27.44140625" style="226" hidden="1" customWidth="1"/>
    <col min="192" max="192" width="38.5546875" style="226" hidden="1" customWidth="1"/>
    <col min="193" max="193" width="41.33203125" style="226" hidden="1" customWidth="1"/>
    <col min="194" max="194" width="9" style="226" hidden="1" customWidth="1"/>
    <col min="195" max="195" width="11.6640625" style="226" hidden="1" customWidth="1"/>
    <col min="196" max="196" width="10.6640625" style="226" hidden="1" customWidth="1"/>
    <col min="197" max="16384" width="8.88671875" style="226" hidden="1"/>
  </cols>
  <sheetData>
    <row r="1" spans="1:15" s="222" customFormat="1" ht="33" customHeight="1" x14ac:dyDescent="0.3">
      <c r="A1" s="220"/>
      <c r="B1" s="220"/>
      <c r="C1" s="231" t="s">
        <v>309</v>
      </c>
      <c r="D1" s="231"/>
      <c r="E1" s="231"/>
      <c r="F1" s="231"/>
      <c r="G1" s="231"/>
      <c r="H1" s="221"/>
      <c r="I1" s="221"/>
      <c r="J1" s="221"/>
      <c r="K1" s="221"/>
      <c r="N1" s="229"/>
      <c r="O1" s="229"/>
    </row>
    <row r="2" spans="1:15" s="222" customFormat="1" ht="22.2" customHeight="1" x14ac:dyDescent="0.3">
      <c r="A2" s="220"/>
      <c r="B2" s="220"/>
      <c r="C2" s="231"/>
      <c r="D2" s="231"/>
      <c r="E2" s="231"/>
      <c r="F2" s="231"/>
      <c r="G2" s="231"/>
      <c r="H2" s="221"/>
      <c r="I2" s="221"/>
      <c r="J2" s="221"/>
      <c r="K2" s="221"/>
      <c r="M2" s="230"/>
      <c r="N2" s="230"/>
      <c r="O2" s="230"/>
    </row>
    <row r="3" spans="1:15" s="222" customFormat="1" ht="30.6" customHeight="1" x14ac:dyDescent="0.3">
      <c r="A3" s="223"/>
      <c r="B3" s="223"/>
      <c r="C3" s="223"/>
      <c r="D3" s="223"/>
      <c r="E3" s="224"/>
      <c r="M3" s="225"/>
      <c r="N3" s="225"/>
      <c r="O3" s="225"/>
    </row>
    <row r="4" spans="1:15" s="222" customFormat="1" ht="14.4" customHeight="1" x14ac:dyDescent="0.3">
      <c r="A4" s="223"/>
      <c r="B4" s="223"/>
      <c r="C4" s="223"/>
      <c r="D4" s="223"/>
      <c r="E4" s="224"/>
      <c r="M4" s="225"/>
      <c r="N4" s="225"/>
      <c r="O4" s="225"/>
    </row>
    <row r="7" spans="1:15" x14ac:dyDescent="0.3">
      <c r="O7" s="227"/>
    </row>
    <row r="21" spans="1:5" x14ac:dyDescent="0.3">
      <c r="E21" s="228"/>
    </row>
    <row r="24" spans="1:5" x14ac:dyDescent="0.3">
      <c r="A24" s="226" t="s">
        <v>307</v>
      </c>
    </row>
  </sheetData>
  <sheetProtection sheet="1" objects="1" scenarios="1" selectLockedCells="1" selectUnlockedCells="1"/>
  <mergeCells count="3">
    <mergeCell ref="N1:O1"/>
    <mergeCell ref="M2:O2"/>
    <mergeCell ref="C1:G2"/>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B3:Q248"/>
  <sheetViews>
    <sheetView topLeftCell="G1" zoomScale="85" zoomScaleNormal="85" workbookViewId="0">
      <selection activeCell="I12" sqref="I12"/>
    </sheetView>
  </sheetViews>
  <sheetFormatPr defaultColWidth="8.88671875" defaultRowHeight="14.4" x14ac:dyDescent="0.3"/>
  <cols>
    <col min="1" max="1" width="8.88671875" style="128"/>
    <col min="2" max="2" width="54.6640625" style="128" bestFit="1" customWidth="1"/>
    <col min="3" max="3" width="18.88671875" style="128" bestFit="1" customWidth="1"/>
    <col min="4" max="4" width="21.5546875" style="128" bestFit="1" customWidth="1"/>
    <col min="5" max="5" width="21.6640625" style="128" bestFit="1" customWidth="1"/>
    <col min="6" max="6" width="15.109375" style="128" bestFit="1" customWidth="1"/>
    <col min="7" max="16384" width="8.88671875" style="128"/>
  </cols>
  <sheetData>
    <row r="3" spans="2:17" x14ac:dyDescent="0.3">
      <c r="B3" s="138" t="s">
        <v>338</v>
      </c>
      <c r="C3" t="s">
        <v>343</v>
      </c>
      <c r="D3" t="s">
        <v>344</v>
      </c>
      <c r="E3" t="s">
        <v>345</v>
      </c>
      <c r="F3" t="s">
        <v>346</v>
      </c>
    </row>
    <row r="4" spans="2:17" x14ac:dyDescent="0.3">
      <c r="B4" s="139" t="s">
        <v>98</v>
      </c>
      <c r="C4" s="144">
        <v>35</v>
      </c>
      <c r="D4" s="144"/>
      <c r="E4" s="144">
        <v>35</v>
      </c>
      <c r="F4" s="144">
        <v>7</v>
      </c>
    </row>
    <row r="5" spans="2:17" x14ac:dyDescent="0.3">
      <c r="B5" s="141" t="s">
        <v>99</v>
      </c>
      <c r="C5" s="144">
        <v>35</v>
      </c>
      <c r="D5" s="144"/>
      <c r="E5" s="144">
        <v>35</v>
      </c>
      <c r="F5" s="144">
        <v>7</v>
      </c>
    </row>
    <row r="6" spans="2:17" x14ac:dyDescent="0.3">
      <c r="B6" s="142" t="s">
        <v>103</v>
      </c>
      <c r="C6" s="144">
        <v>5</v>
      </c>
      <c r="D6" s="144"/>
      <c r="E6" s="144">
        <v>5</v>
      </c>
      <c r="F6" s="144">
        <v>1</v>
      </c>
    </row>
    <row r="7" spans="2:17" x14ac:dyDescent="0.3">
      <c r="B7" s="143" t="s">
        <v>342</v>
      </c>
      <c r="C7" s="144">
        <v>5</v>
      </c>
      <c r="D7" s="144"/>
      <c r="E7" s="144">
        <v>5</v>
      </c>
      <c r="F7" s="144">
        <v>1</v>
      </c>
    </row>
    <row r="8" spans="2:17" x14ac:dyDescent="0.3">
      <c r="B8" s="142" t="s">
        <v>100</v>
      </c>
      <c r="C8" s="144">
        <v>5</v>
      </c>
      <c r="D8" s="144"/>
      <c r="E8" s="144">
        <v>5</v>
      </c>
      <c r="F8" s="144">
        <v>1</v>
      </c>
    </row>
    <row r="9" spans="2:17" x14ac:dyDescent="0.3">
      <c r="B9" s="143" t="s">
        <v>342</v>
      </c>
      <c r="C9" s="144">
        <v>5</v>
      </c>
      <c r="D9" s="144"/>
      <c r="E9" s="144">
        <v>5</v>
      </c>
      <c r="F9" s="144">
        <v>1</v>
      </c>
    </row>
    <row r="10" spans="2:17" x14ac:dyDescent="0.3">
      <c r="B10" s="142" t="s">
        <v>104</v>
      </c>
      <c r="C10" s="144">
        <v>5</v>
      </c>
      <c r="D10" s="144"/>
      <c r="E10" s="144">
        <v>5</v>
      </c>
      <c r="F10" s="144">
        <v>1</v>
      </c>
    </row>
    <row r="11" spans="2:17" x14ac:dyDescent="0.3">
      <c r="B11" s="143" t="s">
        <v>342</v>
      </c>
      <c r="C11" s="144">
        <v>5</v>
      </c>
      <c r="D11" s="144"/>
      <c r="E11" s="144">
        <v>5</v>
      </c>
      <c r="F11" s="144">
        <v>1</v>
      </c>
    </row>
    <row r="12" spans="2:17" x14ac:dyDescent="0.3">
      <c r="B12" s="142" t="s">
        <v>106</v>
      </c>
      <c r="C12" s="144">
        <v>5</v>
      </c>
      <c r="D12" s="144"/>
      <c r="E12" s="144">
        <v>5</v>
      </c>
      <c r="F12" s="144">
        <v>1</v>
      </c>
      <c r="Q12" s="140"/>
    </row>
    <row r="13" spans="2:17" x14ac:dyDescent="0.3">
      <c r="B13" s="143" t="s">
        <v>342</v>
      </c>
      <c r="C13" s="144">
        <v>5</v>
      </c>
      <c r="D13" s="144"/>
      <c r="E13" s="144">
        <v>5</v>
      </c>
      <c r="F13" s="144">
        <v>1</v>
      </c>
    </row>
    <row r="14" spans="2:17" x14ac:dyDescent="0.3">
      <c r="B14" s="142" t="s">
        <v>105</v>
      </c>
      <c r="C14" s="144">
        <v>5</v>
      </c>
      <c r="D14" s="144"/>
      <c r="E14" s="144">
        <v>5</v>
      </c>
      <c r="F14" s="144">
        <v>1</v>
      </c>
    </row>
    <row r="15" spans="2:17" x14ac:dyDescent="0.3">
      <c r="B15" s="143" t="s">
        <v>342</v>
      </c>
      <c r="C15" s="144">
        <v>5</v>
      </c>
      <c r="D15" s="144"/>
      <c r="E15" s="144">
        <v>5</v>
      </c>
      <c r="F15" s="144">
        <v>1</v>
      </c>
    </row>
    <row r="16" spans="2:17" x14ac:dyDescent="0.3">
      <c r="B16" s="142" t="s">
        <v>101</v>
      </c>
      <c r="C16" s="144">
        <v>5</v>
      </c>
      <c r="D16" s="144"/>
      <c r="E16" s="144">
        <v>5</v>
      </c>
      <c r="F16" s="144">
        <v>1</v>
      </c>
    </row>
    <row r="17" spans="2:6" x14ac:dyDescent="0.3">
      <c r="B17" s="143" t="s">
        <v>342</v>
      </c>
      <c r="C17" s="144">
        <v>5</v>
      </c>
      <c r="D17" s="144"/>
      <c r="E17" s="144">
        <v>5</v>
      </c>
      <c r="F17" s="144">
        <v>1</v>
      </c>
    </row>
    <row r="18" spans="2:6" x14ac:dyDescent="0.3">
      <c r="B18" s="142" t="s">
        <v>102</v>
      </c>
      <c r="C18" s="144">
        <v>5</v>
      </c>
      <c r="D18" s="144"/>
      <c r="E18" s="144">
        <v>5</v>
      </c>
      <c r="F18" s="144">
        <v>1</v>
      </c>
    </row>
    <row r="19" spans="2:6" x14ac:dyDescent="0.3">
      <c r="B19" s="143" t="s">
        <v>342</v>
      </c>
      <c r="C19" s="144">
        <v>5</v>
      </c>
      <c r="D19" s="144"/>
      <c r="E19" s="144">
        <v>5</v>
      </c>
      <c r="F19" s="144">
        <v>1</v>
      </c>
    </row>
    <row r="20" spans="2:6" x14ac:dyDescent="0.3">
      <c r="B20" s="139" t="s">
        <v>107</v>
      </c>
      <c r="C20" s="144">
        <v>20</v>
      </c>
      <c r="D20" s="144"/>
      <c r="E20" s="144">
        <v>20</v>
      </c>
      <c r="F20" s="144">
        <v>3.87</v>
      </c>
    </row>
    <row r="21" spans="2:6" x14ac:dyDescent="0.3">
      <c r="B21" s="141" t="s">
        <v>109</v>
      </c>
      <c r="C21" s="144">
        <v>20</v>
      </c>
      <c r="D21" s="144"/>
      <c r="E21" s="144">
        <v>20</v>
      </c>
      <c r="F21" s="144">
        <v>3.87</v>
      </c>
    </row>
    <row r="22" spans="2:6" x14ac:dyDescent="0.3">
      <c r="B22" s="142" t="s">
        <v>113</v>
      </c>
      <c r="C22" s="144">
        <v>5</v>
      </c>
      <c r="D22" s="144"/>
      <c r="E22" s="144">
        <v>5</v>
      </c>
      <c r="F22" s="144">
        <v>0.87</v>
      </c>
    </row>
    <row r="23" spans="2:6" x14ac:dyDescent="0.3">
      <c r="B23" s="143" t="s">
        <v>342</v>
      </c>
      <c r="C23" s="144">
        <v>5</v>
      </c>
      <c r="D23" s="144"/>
      <c r="E23" s="144">
        <v>5</v>
      </c>
      <c r="F23" s="144">
        <v>0.87</v>
      </c>
    </row>
    <row r="24" spans="2:6" x14ac:dyDescent="0.3">
      <c r="B24" s="142" t="s">
        <v>112</v>
      </c>
      <c r="C24" s="144">
        <v>5</v>
      </c>
      <c r="D24" s="144"/>
      <c r="E24" s="144">
        <v>5</v>
      </c>
      <c r="F24" s="144">
        <v>1</v>
      </c>
    </row>
    <row r="25" spans="2:6" x14ac:dyDescent="0.3">
      <c r="B25" s="143" t="s">
        <v>342</v>
      </c>
      <c r="C25" s="144">
        <v>5</v>
      </c>
      <c r="D25" s="144"/>
      <c r="E25" s="144">
        <v>5</v>
      </c>
      <c r="F25" s="144">
        <v>1</v>
      </c>
    </row>
    <row r="26" spans="2:6" x14ac:dyDescent="0.3">
      <c r="B26" s="142" t="s">
        <v>111</v>
      </c>
      <c r="C26" s="144">
        <v>5</v>
      </c>
      <c r="D26" s="144"/>
      <c r="E26" s="144">
        <v>5</v>
      </c>
      <c r="F26" s="144">
        <v>1</v>
      </c>
    </row>
    <row r="27" spans="2:6" x14ac:dyDescent="0.3">
      <c r="B27" s="143" t="s">
        <v>342</v>
      </c>
      <c r="C27" s="144">
        <v>5</v>
      </c>
      <c r="D27" s="144"/>
      <c r="E27" s="144">
        <v>5</v>
      </c>
      <c r="F27" s="144">
        <v>1</v>
      </c>
    </row>
    <row r="28" spans="2:6" x14ac:dyDescent="0.3">
      <c r="B28" s="142" t="s">
        <v>110</v>
      </c>
      <c r="C28" s="144">
        <v>5</v>
      </c>
      <c r="D28" s="144"/>
      <c r="E28" s="144">
        <v>5</v>
      </c>
      <c r="F28" s="144">
        <v>1</v>
      </c>
    </row>
    <row r="29" spans="2:6" x14ac:dyDescent="0.3">
      <c r="B29" s="143" t="s">
        <v>342</v>
      </c>
      <c r="C29" s="144">
        <v>5</v>
      </c>
      <c r="D29" s="144"/>
      <c r="E29" s="144">
        <v>5</v>
      </c>
      <c r="F29" s="144">
        <v>1</v>
      </c>
    </row>
    <row r="30" spans="2:6" x14ac:dyDescent="0.3">
      <c r="B30" s="139" t="s">
        <v>54</v>
      </c>
      <c r="C30" s="144">
        <v>53</v>
      </c>
      <c r="D30" s="144"/>
      <c r="E30" s="144">
        <v>73</v>
      </c>
      <c r="F30" s="144">
        <v>3.9</v>
      </c>
    </row>
    <row r="31" spans="2:6" x14ac:dyDescent="0.3">
      <c r="B31" s="141" t="s">
        <v>56</v>
      </c>
      <c r="C31" s="144">
        <v>53</v>
      </c>
      <c r="D31" s="144"/>
      <c r="E31" s="144">
        <v>73</v>
      </c>
      <c r="F31" s="144">
        <v>3.9</v>
      </c>
    </row>
    <row r="32" spans="2:6" x14ac:dyDescent="0.3">
      <c r="B32" s="142" t="s">
        <v>58</v>
      </c>
      <c r="C32" s="144">
        <v>15</v>
      </c>
      <c r="D32" s="144"/>
      <c r="E32" s="144">
        <v>21</v>
      </c>
      <c r="F32" s="144">
        <v>1</v>
      </c>
    </row>
    <row r="33" spans="2:6" x14ac:dyDescent="0.3">
      <c r="B33" s="143" t="s">
        <v>342</v>
      </c>
      <c r="C33" s="144">
        <v>15</v>
      </c>
      <c r="D33" s="144"/>
      <c r="E33" s="144">
        <v>21</v>
      </c>
      <c r="F33" s="144">
        <v>1</v>
      </c>
    </row>
    <row r="34" spans="2:6" x14ac:dyDescent="0.3">
      <c r="B34" s="142" t="s">
        <v>61</v>
      </c>
      <c r="C34" s="144">
        <v>1</v>
      </c>
      <c r="D34" s="144"/>
      <c r="E34" s="144">
        <v>1</v>
      </c>
      <c r="F34" s="144">
        <v>0</v>
      </c>
    </row>
    <row r="35" spans="2:6" x14ac:dyDescent="0.3">
      <c r="B35" s="143" t="s">
        <v>342</v>
      </c>
      <c r="C35" s="144">
        <v>1</v>
      </c>
      <c r="D35" s="144"/>
      <c r="E35" s="144">
        <v>1</v>
      </c>
      <c r="F35" s="144">
        <v>0</v>
      </c>
    </row>
    <row r="36" spans="2:6" x14ac:dyDescent="0.3">
      <c r="B36" s="142" t="s">
        <v>60</v>
      </c>
      <c r="C36" s="144">
        <v>2</v>
      </c>
      <c r="D36" s="144"/>
      <c r="E36" s="144">
        <v>4</v>
      </c>
      <c r="F36" s="144">
        <v>0.9</v>
      </c>
    </row>
    <row r="37" spans="2:6" x14ac:dyDescent="0.3">
      <c r="B37" s="143" t="s">
        <v>342</v>
      </c>
      <c r="C37" s="144">
        <v>2</v>
      </c>
      <c r="D37" s="144"/>
      <c r="E37" s="144">
        <v>4</v>
      </c>
      <c r="F37" s="144">
        <v>0.9</v>
      </c>
    </row>
    <row r="38" spans="2:6" x14ac:dyDescent="0.3">
      <c r="B38" s="142" t="s">
        <v>63</v>
      </c>
      <c r="C38" s="144">
        <v>17</v>
      </c>
      <c r="D38" s="144"/>
      <c r="E38" s="144">
        <v>23</v>
      </c>
      <c r="F38" s="144">
        <v>1</v>
      </c>
    </row>
    <row r="39" spans="2:6" x14ac:dyDescent="0.3">
      <c r="B39" s="143" t="s">
        <v>342</v>
      </c>
      <c r="C39" s="144">
        <v>17</v>
      </c>
      <c r="D39" s="144"/>
      <c r="E39" s="144">
        <v>23</v>
      </c>
      <c r="F39" s="144">
        <v>1</v>
      </c>
    </row>
    <row r="40" spans="2:6" x14ac:dyDescent="0.3">
      <c r="B40" s="142" t="s">
        <v>62</v>
      </c>
      <c r="C40" s="144">
        <v>17</v>
      </c>
      <c r="D40" s="144"/>
      <c r="E40" s="144">
        <v>23</v>
      </c>
      <c r="F40" s="144">
        <v>1</v>
      </c>
    </row>
    <row r="41" spans="2:6" x14ac:dyDescent="0.3">
      <c r="B41" s="143" t="s">
        <v>342</v>
      </c>
      <c r="C41" s="144">
        <v>17</v>
      </c>
      <c r="D41" s="144"/>
      <c r="E41" s="144">
        <v>23</v>
      </c>
      <c r="F41" s="144">
        <v>1</v>
      </c>
    </row>
    <row r="42" spans="2:6" x14ac:dyDescent="0.3">
      <c r="B42" s="142" t="s">
        <v>64</v>
      </c>
      <c r="C42" s="144">
        <v>1</v>
      </c>
      <c r="D42" s="144"/>
      <c r="E42" s="144">
        <v>1</v>
      </c>
      <c r="F42" s="144">
        <v>0</v>
      </c>
    </row>
    <row r="43" spans="2:6" x14ac:dyDescent="0.3">
      <c r="B43" s="143" t="s">
        <v>342</v>
      </c>
      <c r="C43" s="144">
        <v>1</v>
      </c>
      <c r="D43" s="144"/>
      <c r="E43" s="144">
        <v>1</v>
      </c>
      <c r="F43" s="144">
        <v>0</v>
      </c>
    </row>
    <row r="44" spans="2:6" x14ac:dyDescent="0.3">
      <c r="B44" s="139" t="s">
        <v>65</v>
      </c>
      <c r="C44" s="144">
        <v>38</v>
      </c>
      <c r="D44" s="144"/>
      <c r="E44" s="144">
        <v>50</v>
      </c>
      <c r="F44" s="144">
        <v>8</v>
      </c>
    </row>
    <row r="45" spans="2:6" x14ac:dyDescent="0.3">
      <c r="B45" s="141" t="s">
        <v>67</v>
      </c>
      <c r="C45" s="144">
        <v>38</v>
      </c>
      <c r="D45" s="144"/>
      <c r="E45" s="144">
        <v>50</v>
      </c>
      <c r="F45" s="144">
        <v>8</v>
      </c>
    </row>
    <row r="46" spans="2:6" x14ac:dyDescent="0.3">
      <c r="B46" s="142" t="s">
        <v>70</v>
      </c>
      <c r="C46" s="144">
        <v>6</v>
      </c>
      <c r="D46" s="144"/>
      <c r="E46" s="144">
        <v>8</v>
      </c>
      <c r="F46" s="144">
        <v>1</v>
      </c>
    </row>
    <row r="47" spans="2:6" x14ac:dyDescent="0.3">
      <c r="B47" s="143" t="s">
        <v>342</v>
      </c>
      <c r="C47" s="144">
        <v>6</v>
      </c>
      <c r="D47" s="144"/>
      <c r="E47" s="144">
        <v>8</v>
      </c>
      <c r="F47" s="144">
        <v>1</v>
      </c>
    </row>
    <row r="48" spans="2:6" x14ac:dyDescent="0.3">
      <c r="B48" s="142" t="s">
        <v>73</v>
      </c>
      <c r="C48" s="144">
        <v>6</v>
      </c>
      <c r="D48" s="144"/>
      <c r="E48" s="144">
        <v>8</v>
      </c>
      <c r="F48" s="144">
        <v>1</v>
      </c>
    </row>
    <row r="49" spans="2:6" x14ac:dyDescent="0.3">
      <c r="B49" s="143" t="s">
        <v>342</v>
      </c>
      <c r="C49" s="144">
        <v>6</v>
      </c>
      <c r="D49" s="144"/>
      <c r="E49" s="144">
        <v>8</v>
      </c>
      <c r="F49" s="144">
        <v>1</v>
      </c>
    </row>
    <row r="50" spans="2:6" x14ac:dyDescent="0.3">
      <c r="B50" s="142" t="s">
        <v>72</v>
      </c>
      <c r="C50" s="144">
        <v>6</v>
      </c>
      <c r="D50" s="144"/>
      <c r="E50" s="144">
        <v>8</v>
      </c>
      <c r="F50" s="144">
        <v>1</v>
      </c>
    </row>
    <row r="51" spans="2:6" x14ac:dyDescent="0.3">
      <c r="B51" s="143" t="s">
        <v>342</v>
      </c>
      <c r="C51" s="144">
        <v>6</v>
      </c>
      <c r="D51" s="144"/>
      <c r="E51" s="144">
        <v>8</v>
      </c>
      <c r="F51" s="144">
        <v>1</v>
      </c>
    </row>
    <row r="52" spans="2:6" x14ac:dyDescent="0.3">
      <c r="B52" s="142" t="s">
        <v>75</v>
      </c>
      <c r="C52" s="144">
        <v>6</v>
      </c>
      <c r="D52" s="144"/>
      <c r="E52" s="144">
        <v>8</v>
      </c>
      <c r="F52" s="144">
        <v>1</v>
      </c>
    </row>
    <row r="53" spans="2:6" x14ac:dyDescent="0.3">
      <c r="B53" s="143" t="s">
        <v>342</v>
      </c>
      <c r="C53" s="144">
        <v>6</v>
      </c>
      <c r="D53" s="144"/>
      <c r="E53" s="144">
        <v>8</v>
      </c>
      <c r="F53" s="144">
        <v>1</v>
      </c>
    </row>
    <row r="54" spans="2:6" x14ac:dyDescent="0.3">
      <c r="B54" s="142" t="s">
        <v>74</v>
      </c>
      <c r="C54" s="144">
        <v>6</v>
      </c>
      <c r="D54" s="144"/>
      <c r="E54" s="144">
        <v>8</v>
      </c>
      <c r="F54" s="144">
        <v>1</v>
      </c>
    </row>
    <row r="55" spans="2:6" x14ac:dyDescent="0.3">
      <c r="B55" s="143" t="s">
        <v>342</v>
      </c>
      <c r="C55" s="144">
        <v>6</v>
      </c>
      <c r="D55" s="144"/>
      <c r="E55" s="144">
        <v>8</v>
      </c>
      <c r="F55" s="144">
        <v>1</v>
      </c>
    </row>
    <row r="56" spans="2:6" x14ac:dyDescent="0.3">
      <c r="B56" s="142" t="s">
        <v>69</v>
      </c>
      <c r="C56" s="144">
        <v>1</v>
      </c>
      <c r="D56" s="144"/>
      <c r="E56" s="144">
        <v>1</v>
      </c>
      <c r="F56" s="144">
        <v>1</v>
      </c>
    </row>
    <row r="57" spans="2:6" x14ac:dyDescent="0.3">
      <c r="B57" s="143" t="s">
        <v>342</v>
      </c>
      <c r="C57" s="144">
        <v>1</v>
      </c>
      <c r="D57" s="144"/>
      <c r="E57" s="144">
        <v>1</v>
      </c>
      <c r="F57" s="144">
        <v>1</v>
      </c>
    </row>
    <row r="58" spans="2:6" x14ac:dyDescent="0.3">
      <c r="B58" s="142" t="s">
        <v>71</v>
      </c>
      <c r="C58" s="144">
        <v>6</v>
      </c>
      <c r="D58" s="144"/>
      <c r="E58" s="144">
        <v>8</v>
      </c>
      <c r="F58" s="144">
        <v>1</v>
      </c>
    </row>
    <row r="59" spans="2:6" x14ac:dyDescent="0.3">
      <c r="B59" s="143" t="s">
        <v>342</v>
      </c>
      <c r="C59" s="144">
        <v>6</v>
      </c>
      <c r="D59" s="144"/>
      <c r="E59" s="144">
        <v>8</v>
      </c>
      <c r="F59" s="144">
        <v>1</v>
      </c>
    </row>
    <row r="60" spans="2:6" x14ac:dyDescent="0.3">
      <c r="B60" s="142" t="s">
        <v>68</v>
      </c>
      <c r="C60" s="144">
        <v>1</v>
      </c>
      <c r="D60" s="144"/>
      <c r="E60" s="144">
        <v>1</v>
      </c>
      <c r="F60" s="144">
        <v>1</v>
      </c>
    </row>
    <row r="61" spans="2:6" x14ac:dyDescent="0.3">
      <c r="B61" s="143" t="s">
        <v>342</v>
      </c>
      <c r="C61" s="144">
        <v>1</v>
      </c>
      <c r="D61" s="144"/>
      <c r="E61" s="144">
        <v>1</v>
      </c>
      <c r="F61" s="144">
        <v>1</v>
      </c>
    </row>
    <row r="62" spans="2:6" x14ac:dyDescent="0.3">
      <c r="B62" s="139" t="s">
        <v>137</v>
      </c>
      <c r="C62" s="144">
        <v>39</v>
      </c>
      <c r="D62" s="144"/>
      <c r="E62" s="144">
        <v>43</v>
      </c>
      <c r="F62" s="144">
        <v>7</v>
      </c>
    </row>
    <row r="63" spans="2:6" x14ac:dyDescent="0.3">
      <c r="B63" s="141" t="s">
        <v>139</v>
      </c>
      <c r="C63" s="144">
        <v>39</v>
      </c>
      <c r="D63" s="144"/>
      <c r="E63" s="144">
        <v>43</v>
      </c>
      <c r="F63" s="144">
        <v>7</v>
      </c>
    </row>
    <row r="64" spans="2:6" x14ac:dyDescent="0.3">
      <c r="B64" s="142" t="s">
        <v>144</v>
      </c>
      <c r="C64" s="144">
        <v>5</v>
      </c>
      <c r="D64" s="144"/>
      <c r="E64" s="144">
        <v>5</v>
      </c>
      <c r="F64" s="144">
        <v>1</v>
      </c>
    </row>
    <row r="65" spans="2:6" x14ac:dyDescent="0.3">
      <c r="B65" s="143" t="s">
        <v>342</v>
      </c>
      <c r="C65" s="144">
        <v>5</v>
      </c>
      <c r="D65" s="144"/>
      <c r="E65" s="144">
        <v>5</v>
      </c>
      <c r="F65" s="144">
        <v>1</v>
      </c>
    </row>
    <row r="66" spans="2:6" x14ac:dyDescent="0.3">
      <c r="B66" s="142" t="s">
        <v>143</v>
      </c>
      <c r="C66" s="144">
        <v>5</v>
      </c>
      <c r="D66" s="144"/>
      <c r="E66" s="144">
        <v>5</v>
      </c>
      <c r="F66" s="144">
        <v>1</v>
      </c>
    </row>
    <row r="67" spans="2:6" x14ac:dyDescent="0.3">
      <c r="B67" s="143" t="s">
        <v>342</v>
      </c>
      <c r="C67" s="144">
        <v>5</v>
      </c>
      <c r="D67" s="144"/>
      <c r="E67" s="144">
        <v>5</v>
      </c>
      <c r="F67" s="144">
        <v>1</v>
      </c>
    </row>
    <row r="68" spans="2:6" x14ac:dyDescent="0.3">
      <c r="B68" s="142" t="s">
        <v>146</v>
      </c>
      <c r="C68" s="144">
        <v>12</v>
      </c>
      <c r="D68" s="144"/>
      <c r="E68" s="144">
        <v>16</v>
      </c>
      <c r="F68" s="144">
        <v>1</v>
      </c>
    </row>
    <row r="69" spans="2:6" x14ac:dyDescent="0.3">
      <c r="B69" s="143" t="s">
        <v>342</v>
      </c>
      <c r="C69" s="144">
        <v>12</v>
      </c>
      <c r="D69" s="144"/>
      <c r="E69" s="144">
        <v>16</v>
      </c>
      <c r="F69" s="144">
        <v>1</v>
      </c>
    </row>
    <row r="70" spans="2:6" x14ac:dyDescent="0.3">
      <c r="B70" s="142" t="s">
        <v>142</v>
      </c>
      <c r="C70" s="144">
        <v>5</v>
      </c>
      <c r="D70" s="144"/>
      <c r="E70" s="144">
        <v>5</v>
      </c>
      <c r="F70" s="144">
        <v>1</v>
      </c>
    </row>
    <row r="71" spans="2:6" x14ac:dyDescent="0.3">
      <c r="B71" s="143" t="s">
        <v>342</v>
      </c>
      <c r="C71" s="144">
        <v>5</v>
      </c>
      <c r="D71" s="144"/>
      <c r="E71" s="144">
        <v>5</v>
      </c>
      <c r="F71" s="144">
        <v>1</v>
      </c>
    </row>
    <row r="72" spans="2:6" x14ac:dyDescent="0.3">
      <c r="B72" s="142" t="s">
        <v>140</v>
      </c>
      <c r="C72" s="144">
        <v>5</v>
      </c>
      <c r="D72" s="144"/>
      <c r="E72" s="144">
        <v>5</v>
      </c>
      <c r="F72" s="144">
        <v>1</v>
      </c>
    </row>
    <row r="73" spans="2:6" x14ac:dyDescent="0.3">
      <c r="B73" s="143" t="s">
        <v>342</v>
      </c>
      <c r="C73" s="144">
        <v>5</v>
      </c>
      <c r="D73" s="144"/>
      <c r="E73" s="144">
        <v>5</v>
      </c>
      <c r="F73" s="144">
        <v>1</v>
      </c>
    </row>
    <row r="74" spans="2:6" x14ac:dyDescent="0.3">
      <c r="B74" s="142" t="s">
        <v>141</v>
      </c>
      <c r="C74" s="144">
        <v>5</v>
      </c>
      <c r="D74" s="144"/>
      <c r="E74" s="144">
        <v>5</v>
      </c>
      <c r="F74" s="144">
        <v>1</v>
      </c>
    </row>
    <row r="75" spans="2:6" x14ac:dyDescent="0.3">
      <c r="B75" s="143" t="s">
        <v>342</v>
      </c>
      <c r="C75" s="144">
        <v>5</v>
      </c>
      <c r="D75" s="144"/>
      <c r="E75" s="144">
        <v>5</v>
      </c>
      <c r="F75" s="144">
        <v>1</v>
      </c>
    </row>
    <row r="76" spans="2:6" x14ac:dyDescent="0.3">
      <c r="B76" s="142" t="s">
        <v>145</v>
      </c>
      <c r="C76" s="144">
        <v>2</v>
      </c>
      <c r="D76" s="144"/>
      <c r="E76" s="144">
        <v>2</v>
      </c>
      <c r="F76" s="144">
        <v>1</v>
      </c>
    </row>
    <row r="77" spans="2:6" x14ac:dyDescent="0.3">
      <c r="B77" s="143" t="s">
        <v>342</v>
      </c>
      <c r="C77" s="144">
        <v>2</v>
      </c>
      <c r="D77" s="144"/>
      <c r="E77" s="144">
        <v>2</v>
      </c>
      <c r="F77" s="144">
        <v>1</v>
      </c>
    </row>
    <row r="78" spans="2:6" x14ac:dyDescent="0.3">
      <c r="B78" s="139" t="s">
        <v>114</v>
      </c>
      <c r="C78" s="144">
        <v>10</v>
      </c>
      <c r="D78" s="144"/>
      <c r="E78" s="144">
        <v>10</v>
      </c>
      <c r="F78" s="144">
        <v>6</v>
      </c>
    </row>
    <row r="79" spans="2:6" x14ac:dyDescent="0.3">
      <c r="B79" s="141" t="s">
        <v>115</v>
      </c>
      <c r="C79" s="144">
        <v>10</v>
      </c>
      <c r="D79" s="144"/>
      <c r="E79" s="144">
        <v>10</v>
      </c>
      <c r="F79" s="144">
        <v>6</v>
      </c>
    </row>
    <row r="80" spans="2:6" x14ac:dyDescent="0.3">
      <c r="B80" s="142" t="s">
        <v>121</v>
      </c>
      <c r="C80" s="144">
        <v>2</v>
      </c>
      <c r="D80" s="144"/>
      <c r="E80" s="144">
        <v>2</v>
      </c>
      <c r="F80" s="144">
        <v>1</v>
      </c>
    </row>
    <row r="81" spans="2:6" x14ac:dyDescent="0.3">
      <c r="B81" s="143" t="s">
        <v>342</v>
      </c>
      <c r="C81" s="144">
        <v>2</v>
      </c>
      <c r="D81" s="144"/>
      <c r="E81" s="144">
        <v>2</v>
      </c>
      <c r="F81" s="144">
        <v>1</v>
      </c>
    </row>
    <row r="82" spans="2:6" x14ac:dyDescent="0.3">
      <c r="B82" s="142" t="s">
        <v>120</v>
      </c>
      <c r="C82" s="144">
        <v>2</v>
      </c>
      <c r="D82" s="144"/>
      <c r="E82" s="144">
        <v>2</v>
      </c>
      <c r="F82" s="144">
        <v>1</v>
      </c>
    </row>
    <row r="83" spans="2:6" x14ac:dyDescent="0.3">
      <c r="B83" s="143" t="s">
        <v>342</v>
      </c>
      <c r="C83" s="144">
        <v>2</v>
      </c>
      <c r="D83" s="144"/>
      <c r="E83" s="144">
        <v>2</v>
      </c>
      <c r="F83" s="144">
        <v>1</v>
      </c>
    </row>
    <row r="84" spans="2:6" x14ac:dyDescent="0.3">
      <c r="B84" s="142" t="s">
        <v>119</v>
      </c>
      <c r="C84" s="144">
        <v>2</v>
      </c>
      <c r="D84" s="144"/>
      <c r="E84" s="144">
        <v>2</v>
      </c>
      <c r="F84" s="144">
        <v>1</v>
      </c>
    </row>
    <row r="85" spans="2:6" x14ac:dyDescent="0.3">
      <c r="B85" s="143" t="s">
        <v>342</v>
      </c>
      <c r="C85" s="144">
        <v>2</v>
      </c>
      <c r="D85" s="144"/>
      <c r="E85" s="144">
        <v>2</v>
      </c>
      <c r="F85" s="144">
        <v>1</v>
      </c>
    </row>
    <row r="86" spans="2:6" x14ac:dyDescent="0.3">
      <c r="B86" s="142" t="s">
        <v>118</v>
      </c>
      <c r="C86" s="144">
        <v>1</v>
      </c>
      <c r="D86" s="144"/>
      <c r="E86" s="144">
        <v>1</v>
      </c>
      <c r="F86" s="144">
        <v>1</v>
      </c>
    </row>
    <row r="87" spans="2:6" x14ac:dyDescent="0.3">
      <c r="B87" s="143" t="s">
        <v>342</v>
      </c>
      <c r="C87" s="144">
        <v>1</v>
      </c>
      <c r="D87" s="144"/>
      <c r="E87" s="144">
        <v>1</v>
      </c>
      <c r="F87" s="144">
        <v>1</v>
      </c>
    </row>
    <row r="88" spans="2:6" x14ac:dyDescent="0.3">
      <c r="B88" s="142" t="s">
        <v>117</v>
      </c>
      <c r="C88" s="144">
        <v>2</v>
      </c>
      <c r="D88" s="144"/>
      <c r="E88" s="144">
        <v>2</v>
      </c>
      <c r="F88" s="144">
        <v>1</v>
      </c>
    </row>
    <row r="89" spans="2:6" x14ac:dyDescent="0.3">
      <c r="B89" s="143" t="s">
        <v>342</v>
      </c>
      <c r="C89" s="144">
        <v>2</v>
      </c>
      <c r="D89" s="144"/>
      <c r="E89" s="144">
        <v>2</v>
      </c>
      <c r="F89" s="144">
        <v>1</v>
      </c>
    </row>
    <row r="90" spans="2:6" x14ac:dyDescent="0.3">
      <c r="B90" s="142" t="s">
        <v>116</v>
      </c>
      <c r="C90" s="144">
        <v>1</v>
      </c>
      <c r="D90" s="144"/>
      <c r="E90" s="144">
        <v>1</v>
      </c>
      <c r="F90" s="144">
        <v>1</v>
      </c>
    </row>
    <row r="91" spans="2:6" x14ac:dyDescent="0.3">
      <c r="B91" s="143" t="s">
        <v>342</v>
      </c>
      <c r="C91" s="144">
        <v>1</v>
      </c>
      <c r="D91" s="144"/>
      <c r="E91" s="144">
        <v>1</v>
      </c>
      <c r="F91" s="144">
        <v>1</v>
      </c>
    </row>
    <row r="92" spans="2:6" x14ac:dyDescent="0.3">
      <c r="B92" s="139" t="s">
        <v>147</v>
      </c>
      <c r="C92" s="144">
        <v>4</v>
      </c>
      <c r="D92" s="144"/>
      <c r="E92" s="144">
        <v>4</v>
      </c>
      <c r="F92" s="144">
        <v>2</v>
      </c>
    </row>
    <row r="93" spans="2:6" x14ac:dyDescent="0.3">
      <c r="B93" s="141" t="s">
        <v>149</v>
      </c>
      <c r="C93" s="144">
        <v>4</v>
      </c>
      <c r="D93" s="144"/>
      <c r="E93" s="144">
        <v>4</v>
      </c>
      <c r="F93" s="144">
        <v>2</v>
      </c>
    </row>
    <row r="94" spans="2:6" x14ac:dyDescent="0.3">
      <c r="B94" s="142" t="s">
        <v>151</v>
      </c>
      <c r="C94" s="144">
        <v>2</v>
      </c>
      <c r="D94" s="144"/>
      <c r="E94" s="144">
        <v>2</v>
      </c>
      <c r="F94" s="144">
        <v>1</v>
      </c>
    </row>
    <row r="95" spans="2:6" x14ac:dyDescent="0.3">
      <c r="B95" s="143" t="s">
        <v>342</v>
      </c>
      <c r="C95" s="144">
        <v>2</v>
      </c>
      <c r="D95" s="144"/>
      <c r="E95" s="144">
        <v>2</v>
      </c>
      <c r="F95" s="144">
        <v>1</v>
      </c>
    </row>
    <row r="96" spans="2:6" x14ac:dyDescent="0.3">
      <c r="B96" s="142" t="s">
        <v>150</v>
      </c>
      <c r="C96" s="144">
        <v>2</v>
      </c>
      <c r="D96" s="144"/>
      <c r="E96" s="144">
        <v>2</v>
      </c>
      <c r="F96" s="144">
        <v>1</v>
      </c>
    </row>
    <row r="97" spans="2:6" x14ac:dyDescent="0.3">
      <c r="B97" s="143" t="s">
        <v>342</v>
      </c>
      <c r="C97" s="144">
        <v>2</v>
      </c>
      <c r="D97" s="144"/>
      <c r="E97" s="144">
        <v>2</v>
      </c>
      <c r="F97" s="144">
        <v>1</v>
      </c>
    </row>
    <row r="98" spans="2:6" x14ac:dyDescent="0.3">
      <c r="B98" s="139" t="s">
        <v>122</v>
      </c>
      <c r="C98" s="144">
        <v>80</v>
      </c>
      <c r="D98" s="144"/>
      <c r="E98" s="144">
        <v>80</v>
      </c>
      <c r="F98" s="144">
        <v>16</v>
      </c>
    </row>
    <row r="99" spans="2:6" x14ac:dyDescent="0.3">
      <c r="B99" s="141" t="s">
        <v>123</v>
      </c>
      <c r="C99" s="144">
        <v>80</v>
      </c>
      <c r="D99" s="144"/>
      <c r="E99" s="144">
        <v>80</v>
      </c>
      <c r="F99" s="144">
        <v>16</v>
      </c>
    </row>
    <row r="100" spans="2:6" x14ac:dyDescent="0.3">
      <c r="B100" s="142" t="s">
        <v>125</v>
      </c>
      <c r="C100" s="144">
        <v>5</v>
      </c>
      <c r="D100" s="144"/>
      <c r="E100" s="144">
        <v>5</v>
      </c>
      <c r="F100" s="144">
        <v>1</v>
      </c>
    </row>
    <row r="101" spans="2:6" x14ac:dyDescent="0.3">
      <c r="B101" s="143" t="s">
        <v>342</v>
      </c>
      <c r="C101" s="144">
        <v>5</v>
      </c>
      <c r="D101" s="144"/>
      <c r="E101" s="144">
        <v>5</v>
      </c>
      <c r="F101" s="144">
        <v>1</v>
      </c>
    </row>
    <row r="102" spans="2:6" x14ac:dyDescent="0.3">
      <c r="B102" s="142" t="s">
        <v>130</v>
      </c>
      <c r="C102" s="144">
        <v>5</v>
      </c>
      <c r="D102" s="144"/>
      <c r="E102" s="144">
        <v>5</v>
      </c>
      <c r="F102" s="144">
        <v>1</v>
      </c>
    </row>
    <row r="103" spans="2:6" x14ac:dyDescent="0.3">
      <c r="B103" s="143" t="s">
        <v>342</v>
      </c>
      <c r="C103" s="144">
        <v>5</v>
      </c>
      <c r="D103" s="144"/>
      <c r="E103" s="144">
        <v>5</v>
      </c>
      <c r="F103" s="144">
        <v>1</v>
      </c>
    </row>
    <row r="104" spans="2:6" x14ac:dyDescent="0.3">
      <c r="B104" s="142" t="s">
        <v>120</v>
      </c>
      <c r="C104" s="144">
        <v>5</v>
      </c>
      <c r="D104" s="144"/>
      <c r="E104" s="144">
        <v>5</v>
      </c>
      <c r="F104" s="144">
        <v>1</v>
      </c>
    </row>
    <row r="105" spans="2:6" x14ac:dyDescent="0.3">
      <c r="B105" s="143" t="s">
        <v>342</v>
      </c>
      <c r="C105" s="144">
        <v>5</v>
      </c>
      <c r="D105" s="144"/>
      <c r="E105" s="144">
        <v>5</v>
      </c>
      <c r="F105" s="144">
        <v>1</v>
      </c>
    </row>
    <row r="106" spans="2:6" x14ac:dyDescent="0.3">
      <c r="B106" s="142" t="s">
        <v>132</v>
      </c>
      <c r="C106" s="144">
        <v>5</v>
      </c>
      <c r="D106" s="144"/>
      <c r="E106" s="144">
        <v>5</v>
      </c>
      <c r="F106" s="144">
        <v>1</v>
      </c>
    </row>
    <row r="107" spans="2:6" x14ac:dyDescent="0.3">
      <c r="B107" s="143" t="s">
        <v>342</v>
      </c>
      <c r="C107" s="144">
        <v>5</v>
      </c>
      <c r="D107" s="144"/>
      <c r="E107" s="144">
        <v>5</v>
      </c>
      <c r="F107" s="144">
        <v>1</v>
      </c>
    </row>
    <row r="108" spans="2:6" x14ac:dyDescent="0.3">
      <c r="B108" s="142" t="s">
        <v>133</v>
      </c>
      <c r="C108" s="144">
        <v>5</v>
      </c>
      <c r="D108" s="144"/>
      <c r="E108" s="144">
        <v>5</v>
      </c>
      <c r="F108" s="144">
        <v>1</v>
      </c>
    </row>
    <row r="109" spans="2:6" x14ac:dyDescent="0.3">
      <c r="B109" s="143" t="s">
        <v>342</v>
      </c>
      <c r="C109" s="144">
        <v>5</v>
      </c>
      <c r="D109" s="144"/>
      <c r="E109" s="144">
        <v>5</v>
      </c>
      <c r="F109" s="144">
        <v>1</v>
      </c>
    </row>
    <row r="110" spans="2:6" x14ac:dyDescent="0.3">
      <c r="B110" s="142" t="s">
        <v>135</v>
      </c>
      <c r="C110" s="144">
        <v>5</v>
      </c>
      <c r="D110" s="144"/>
      <c r="E110" s="144">
        <v>5</v>
      </c>
      <c r="F110" s="144">
        <v>1</v>
      </c>
    </row>
    <row r="111" spans="2:6" x14ac:dyDescent="0.3">
      <c r="B111" s="143" t="s">
        <v>342</v>
      </c>
      <c r="C111" s="144">
        <v>5</v>
      </c>
      <c r="D111" s="144"/>
      <c r="E111" s="144">
        <v>5</v>
      </c>
      <c r="F111" s="144">
        <v>1</v>
      </c>
    </row>
    <row r="112" spans="2:6" x14ac:dyDescent="0.3">
      <c r="B112" s="142" t="s">
        <v>136</v>
      </c>
      <c r="C112" s="144">
        <v>5</v>
      </c>
      <c r="D112" s="144"/>
      <c r="E112" s="144">
        <v>5</v>
      </c>
      <c r="F112" s="144">
        <v>1</v>
      </c>
    </row>
    <row r="113" spans="2:6" x14ac:dyDescent="0.3">
      <c r="B113" s="143" t="s">
        <v>342</v>
      </c>
      <c r="C113" s="144">
        <v>5</v>
      </c>
      <c r="D113" s="144"/>
      <c r="E113" s="144">
        <v>5</v>
      </c>
      <c r="F113" s="144">
        <v>1</v>
      </c>
    </row>
    <row r="114" spans="2:6" x14ac:dyDescent="0.3">
      <c r="B114" s="142" t="s">
        <v>134</v>
      </c>
      <c r="C114" s="144">
        <v>5</v>
      </c>
      <c r="D114" s="144"/>
      <c r="E114" s="144">
        <v>5</v>
      </c>
      <c r="F114" s="144">
        <v>1</v>
      </c>
    </row>
    <row r="115" spans="2:6" x14ac:dyDescent="0.3">
      <c r="B115" s="143" t="s">
        <v>342</v>
      </c>
      <c r="C115" s="144">
        <v>5</v>
      </c>
      <c r="D115" s="144"/>
      <c r="E115" s="144">
        <v>5</v>
      </c>
      <c r="F115" s="144">
        <v>1</v>
      </c>
    </row>
    <row r="116" spans="2:6" x14ac:dyDescent="0.3">
      <c r="B116" s="142" t="s">
        <v>131</v>
      </c>
      <c r="C116" s="144">
        <v>5</v>
      </c>
      <c r="D116" s="144"/>
      <c r="E116" s="144">
        <v>5</v>
      </c>
      <c r="F116" s="144">
        <v>1</v>
      </c>
    </row>
    <row r="117" spans="2:6" x14ac:dyDescent="0.3">
      <c r="B117" s="143" t="s">
        <v>342</v>
      </c>
      <c r="C117" s="144">
        <v>5</v>
      </c>
      <c r="D117" s="144"/>
      <c r="E117" s="144">
        <v>5</v>
      </c>
      <c r="F117" s="144">
        <v>1</v>
      </c>
    </row>
    <row r="118" spans="2:6" x14ac:dyDescent="0.3">
      <c r="B118" s="142" t="s">
        <v>124</v>
      </c>
      <c r="C118" s="144">
        <v>5</v>
      </c>
      <c r="D118" s="144"/>
      <c r="E118" s="144">
        <v>5</v>
      </c>
      <c r="F118" s="144">
        <v>1</v>
      </c>
    </row>
    <row r="119" spans="2:6" x14ac:dyDescent="0.3">
      <c r="B119" s="143" t="s">
        <v>342</v>
      </c>
      <c r="C119" s="144">
        <v>5</v>
      </c>
      <c r="D119" s="144"/>
      <c r="E119" s="144">
        <v>5</v>
      </c>
      <c r="F119" s="144">
        <v>1</v>
      </c>
    </row>
    <row r="120" spans="2:6" x14ac:dyDescent="0.3">
      <c r="B120" s="142" t="s">
        <v>129</v>
      </c>
      <c r="C120" s="144">
        <v>5</v>
      </c>
      <c r="D120" s="144"/>
      <c r="E120" s="144">
        <v>5</v>
      </c>
      <c r="F120" s="144">
        <v>1</v>
      </c>
    </row>
    <row r="121" spans="2:6" x14ac:dyDescent="0.3">
      <c r="B121" s="143" t="s">
        <v>342</v>
      </c>
      <c r="C121" s="144">
        <v>5</v>
      </c>
      <c r="D121" s="144"/>
      <c r="E121" s="144">
        <v>5</v>
      </c>
      <c r="F121" s="144">
        <v>1</v>
      </c>
    </row>
    <row r="122" spans="2:6" x14ac:dyDescent="0.3">
      <c r="B122" s="142" t="s">
        <v>119</v>
      </c>
      <c r="C122" s="144">
        <v>5</v>
      </c>
      <c r="D122" s="144"/>
      <c r="E122" s="144">
        <v>5</v>
      </c>
      <c r="F122" s="144">
        <v>1</v>
      </c>
    </row>
    <row r="123" spans="2:6" x14ac:dyDescent="0.3">
      <c r="B123" s="143" t="s">
        <v>342</v>
      </c>
      <c r="C123" s="144">
        <v>5</v>
      </c>
      <c r="D123" s="144"/>
      <c r="E123" s="144">
        <v>5</v>
      </c>
      <c r="F123" s="144">
        <v>1</v>
      </c>
    </row>
    <row r="124" spans="2:6" x14ac:dyDescent="0.3">
      <c r="B124" s="142" t="s">
        <v>118</v>
      </c>
      <c r="C124" s="144">
        <v>5</v>
      </c>
      <c r="D124" s="144"/>
      <c r="E124" s="144">
        <v>5</v>
      </c>
      <c r="F124" s="144">
        <v>1</v>
      </c>
    </row>
    <row r="125" spans="2:6" x14ac:dyDescent="0.3">
      <c r="B125" s="143" t="s">
        <v>342</v>
      </c>
      <c r="C125" s="144">
        <v>5</v>
      </c>
      <c r="D125" s="144"/>
      <c r="E125" s="144">
        <v>5</v>
      </c>
      <c r="F125" s="144">
        <v>1</v>
      </c>
    </row>
    <row r="126" spans="2:6" x14ac:dyDescent="0.3">
      <c r="B126" s="142" t="s">
        <v>126</v>
      </c>
      <c r="C126" s="144">
        <v>5</v>
      </c>
      <c r="D126" s="144"/>
      <c r="E126" s="144">
        <v>5</v>
      </c>
      <c r="F126" s="144">
        <v>1</v>
      </c>
    </row>
    <row r="127" spans="2:6" x14ac:dyDescent="0.3">
      <c r="B127" s="143" t="s">
        <v>342</v>
      </c>
      <c r="C127" s="144">
        <v>5</v>
      </c>
      <c r="D127" s="144"/>
      <c r="E127" s="144">
        <v>5</v>
      </c>
      <c r="F127" s="144">
        <v>1</v>
      </c>
    </row>
    <row r="128" spans="2:6" x14ac:dyDescent="0.3">
      <c r="B128" s="142" t="s">
        <v>127</v>
      </c>
      <c r="C128" s="144">
        <v>5</v>
      </c>
      <c r="D128" s="144"/>
      <c r="E128" s="144">
        <v>5</v>
      </c>
      <c r="F128" s="144">
        <v>1</v>
      </c>
    </row>
    <row r="129" spans="2:6" x14ac:dyDescent="0.3">
      <c r="B129" s="143" t="s">
        <v>342</v>
      </c>
      <c r="C129" s="144">
        <v>5</v>
      </c>
      <c r="D129" s="144"/>
      <c r="E129" s="144">
        <v>5</v>
      </c>
      <c r="F129" s="144">
        <v>1</v>
      </c>
    </row>
    <row r="130" spans="2:6" x14ac:dyDescent="0.3">
      <c r="B130" s="142" t="s">
        <v>128</v>
      </c>
      <c r="C130" s="144">
        <v>5</v>
      </c>
      <c r="D130" s="144"/>
      <c r="E130" s="144">
        <v>5</v>
      </c>
      <c r="F130" s="144">
        <v>1</v>
      </c>
    </row>
    <row r="131" spans="2:6" x14ac:dyDescent="0.3">
      <c r="B131" s="143" t="s">
        <v>342</v>
      </c>
      <c r="C131" s="144">
        <v>5</v>
      </c>
      <c r="D131" s="144"/>
      <c r="E131" s="144">
        <v>5</v>
      </c>
      <c r="F131" s="144">
        <v>1</v>
      </c>
    </row>
    <row r="132" spans="2:6" x14ac:dyDescent="0.3">
      <c r="B132" s="139" t="s">
        <v>85</v>
      </c>
      <c r="C132" s="144">
        <v>96</v>
      </c>
      <c r="D132" s="144"/>
      <c r="E132" s="144">
        <v>144</v>
      </c>
      <c r="F132" s="144">
        <v>12</v>
      </c>
    </row>
    <row r="133" spans="2:6" x14ac:dyDescent="0.3">
      <c r="B133" s="141" t="s">
        <v>87</v>
      </c>
      <c r="C133" s="144">
        <v>96</v>
      </c>
      <c r="D133" s="144"/>
      <c r="E133" s="144">
        <v>144</v>
      </c>
      <c r="F133" s="144">
        <v>12</v>
      </c>
    </row>
    <row r="134" spans="2:6" x14ac:dyDescent="0.3">
      <c r="B134" s="142" t="s">
        <v>94</v>
      </c>
      <c r="C134" s="144">
        <v>8</v>
      </c>
      <c r="D134" s="144"/>
      <c r="E134" s="144">
        <v>12</v>
      </c>
      <c r="F134" s="144">
        <v>1</v>
      </c>
    </row>
    <row r="135" spans="2:6" x14ac:dyDescent="0.3">
      <c r="B135" s="143" t="s">
        <v>342</v>
      </c>
      <c r="C135" s="144">
        <v>8</v>
      </c>
      <c r="D135" s="144"/>
      <c r="E135" s="144">
        <v>12</v>
      </c>
      <c r="F135" s="144">
        <v>1</v>
      </c>
    </row>
    <row r="136" spans="2:6" x14ac:dyDescent="0.3">
      <c r="B136" s="142" t="s">
        <v>75</v>
      </c>
      <c r="C136" s="144">
        <v>8</v>
      </c>
      <c r="D136" s="144"/>
      <c r="E136" s="144">
        <v>12</v>
      </c>
      <c r="F136" s="144">
        <v>1</v>
      </c>
    </row>
    <row r="137" spans="2:6" x14ac:dyDescent="0.3">
      <c r="B137" s="143" t="s">
        <v>342</v>
      </c>
      <c r="C137" s="144">
        <v>8</v>
      </c>
      <c r="D137" s="144"/>
      <c r="E137" s="144">
        <v>12</v>
      </c>
      <c r="F137" s="144">
        <v>1</v>
      </c>
    </row>
    <row r="138" spans="2:6" x14ac:dyDescent="0.3">
      <c r="B138" s="142" t="s">
        <v>88</v>
      </c>
      <c r="C138" s="144">
        <v>8</v>
      </c>
      <c r="D138" s="144"/>
      <c r="E138" s="144">
        <v>12</v>
      </c>
      <c r="F138" s="144">
        <v>1</v>
      </c>
    </row>
    <row r="139" spans="2:6" x14ac:dyDescent="0.3">
      <c r="B139" s="143" t="s">
        <v>342</v>
      </c>
      <c r="C139" s="144">
        <v>8</v>
      </c>
      <c r="D139" s="144"/>
      <c r="E139" s="144">
        <v>12</v>
      </c>
      <c r="F139" s="144">
        <v>1</v>
      </c>
    </row>
    <row r="140" spans="2:6" x14ac:dyDescent="0.3">
      <c r="B140" s="142" t="s">
        <v>90</v>
      </c>
      <c r="C140" s="144">
        <v>8</v>
      </c>
      <c r="D140" s="144"/>
      <c r="E140" s="144">
        <v>12</v>
      </c>
      <c r="F140" s="144">
        <v>1</v>
      </c>
    </row>
    <row r="141" spans="2:6" x14ac:dyDescent="0.3">
      <c r="B141" s="143" t="s">
        <v>342</v>
      </c>
      <c r="C141" s="144">
        <v>8</v>
      </c>
      <c r="D141" s="144"/>
      <c r="E141" s="144">
        <v>12</v>
      </c>
      <c r="F141" s="144">
        <v>1</v>
      </c>
    </row>
    <row r="142" spans="2:6" x14ac:dyDescent="0.3">
      <c r="B142" s="142" t="s">
        <v>92</v>
      </c>
      <c r="C142" s="144">
        <v>8</v>
      </c>
      <c r="D142" s="144"/>
      <c r="E142" s="144">
        <v>12</v>
      </c>
      <c r="F142" s="144">
        <v>1</v>
      </c>
    </row>
    <row r="143" spans="2:6" x14ac:dyDescent="0.3">
      <c r="B143" s="143" t="s">
        <v>342</v>
      </c>
      <c r="C143" s="144">
        <v>8</v>
      </c>
      <c r="D143" s="144"/>
      <c r="E143" s="144">
        <v>12</v>
      </c>
      <c r="F143" s="144">
        <v>1</v>
      </c>
    </row>
    <row r="144" spans="2:6" x14ac:dyDescent="0.3">
      <c r="B144" s="142" t="s">
        <v>95</v>
      </c>
      <c r="C144" s="144">
        <v>8</v>
      </c>
      <c r="D144" s="144"/>
      <c r="E144" s="144">
        <v>12</v>
      </c>
      <c r="F144" s="144">
        <v>1</v>
      </c>
    </row>
    <row r="145" spans="2:6" x14ac:dyDescent="0.3">
      <c r="B145" s="143" t="s">
        <v>342</v>
      </c>
      <c r="C145" s="144">
        <v>8</v>
      </c>
      <c r="D145" s="144"/>
      <c r="E145" s="144">
        <v>12</v>
      </c>
      <c r="F145" s="144">
        <v>1</v>
      </c>
    </row>
    <row r="146" spans="2:6" x14ac:dyDescent="0.3">
      <c r="B146" s="142" t="s">
        <v>91</v>
      </c>
      <c r="C146" s="144">
        <v>8</v>
      </c>
      <c r="D146" s="144"/>
      <c r="E146" s="144">
        <v>12</v>
      </c>
      <c r="F146" s="144">
        <v>1</v>
      </c>
    </row>
    <row r="147" spans="2:6" x14ac:dyDescent="0.3">
      <c r="B147" s="143" t="s">
        <v>342</v>
      </c>
      <c r="C147" s="144">
        <v>8</v>
      </c>
      <c r="D147" s="144"/>
      <c r="E147" s="144">
        <v>12</v>
      </c>
      <c r="F147" s="144">
        <v>1</v>
      </c>
    </row>
    <row r="148" spans="2:6" x14ac:dyDescent="0.3">
      <c r="B148" s="142" t="s">
        <v>69</v>
      </c>
      <c r="C148" s="144">
        <v>8</v>
      </c>
      <c r="D148" s="144"/>
      <c r="E148" s="144">
        <v>12</v>
      </c>
      <c r="F148" s="144">
        <v>1</v>
      </c>
    </row>
    <row r="149" spans="2:6" x14ac:dyDescent="0.3">
      <c r="B149" s="143" t="s">
        <v>342</v>
      </c>
      <c r="C149" s="144">
        <v>8</v>
      </c>
      <c r="D149" s="144"/>
      <c r="E149" s="144">
        <v>12</v>
      </c>
      <c r="F149" s="144">
        <v>1</v>
      </c>
    </row>
    <row r="150" spans="2:6" x14ac:dyDescent="0.3">
      <c r="B150" s="142" t="s">
        <v>89</v>
      </c>
      <c r="C150" s="144">
        <v>8</v>
      </c>
      <c r="D150" s="144"/>
      <c r="E150" s="144">
        <v>12</v>
      </c>
      <c r="F150" s="144">
        <v>1</v>
      </c>
    </row>
    <row r="151" spans="2:6" x14ac:dyDescent="0.3">
      <c r="B151" s="143" t="s">
        <v>342</v>
      </c>
      <c r="C151" s="144">
        <v>8</v>
      </c>
      <c r="D151" s="144"/>
      <c r="E151" s="144">
        <v>12</v>
      </c>
      <c r="F151" s="144">
        <v>1</v>
      </c>
    </row>
    <row r="152" spans="2:6" x14ac:dyDescent="0.3">
      <c r="B152" s="142" t="s">
        <v>67</v>
      </c>
      <c r="C152" s="144">
        <v>8</v>
      </c>
      <c r="D152" s="144"/>
      <c r="E152" s="144">
        <v>12</v>
      </c>
      <c r="F152" s="144">
        <v>1</v>
      </c>
    </row>
    <row r="153" spans="2:6" x14ac:dyDescent="0.3">
      <c r="B153" s="143" t="s">
        <v>342</v>
      </c>
      <c r="C153" s="144">
        <v>8</v>
      </c>
      <c r="D153" s="144"/>
      <c r="E153" s="144">
        <v>12</v>
      </c>
      <c r="F153" s="144">
        <v>1</v>
      </c>
    </row>
    <row r="154" spans="2:6" x14ac:dyDescent="0.3">
      <c r="B154" s="142" t="s">
        <v>68</v>
      </c>
      <c r="C154" s="144">
        <v>8</v>
      </c>
      <c r="D154" s="144"/>
      <c r="E154" s="144">
        <v>12</v>
      </c>
      <c r="F154" s="144">
        <v>1</v>
      </c>
    </row>
    <row r="155" spans="2:6" x14ac:dyDescent="0.3">
      <c r="B155" s="143" t="s">
        <v>342</v>
      </c>
      <c r="C155" s="144">
        <v>8</v>
      </c>
      <c r="D155" s="144"/>
      <c r="E155" s="144">
        <v>12</v>
      </c>
      <c r="F155" s="144">
        <v>1</v>
      </c>
    </row>
    <row r="156" spans="2:6" x14ac:dyDescent="0.3">
      <c r="B156" s="142" t="s">
        <v>93</v>
      </c>
      <c r="C156" s="144">
        <v>8</v>
      </c>
      <c r="D156" s="144"/>
      <c r="E156" s="144">
        <v>12</v>
      </c>
      <c r="F156" s="144">
        <v>1</v>
      </c>
    </row>
    <row r="157" spans="2:6" x14ac:dyDescent="0.3">
      <c r="B157" s="143" t="s">
        <v>342</v>
      </c>
      <c r="C157" s="144">
        <v>8</v>
      </c>
      <c r="D157" s="144"/>
      <c r="E157" s="144">
        <v>12</v>
      </c>
      <c r="F157" s="144">
        <v>1</v>
      </c>
    </row>
    <row r="158" spans="2:6" x14ac:dyDescent="0.3">
      <c r="B158" s="139" t="s">
        <v>76</v>
      </c>
      <c r="C158" s="144">
        <v>1</v>
      </c>
      <c r="D158" s="144"/>
      <c r="E158" s="144">
        <v>4</v>
      </c>
      <c r="F158" s="144">
        <v>4</v>
      </c>
    </row>
    <row r="159" spans="2:6" x14ac:dyDescent="0.3">
      <c r="B159" s="141" t="s">
        <v>77</v>
      </c>
      <c r="C159" s="144">
        <v>1</v>
      </c>
      <c r="D159" s="144"/>
      <c r="E159" s="144">
        <v>4</v>
      </c>
      <c r="F159" s="144">
        <v>4</v>
      </c>
    </row>
    <row r="160" spans="2:6" x14ac:dyDescent="0.3">
      <c r="B160" s="142" t="s">
        <v>78</v>
      </c>
      <c r="C160" s="144">
        <v>0</v>
      </c>
      <c r="D160" s="144"/>
      <c r="E160" s="144">
        <v>1</v>
      </c>
      <c r="F160" s="144">
        <v>1</v>
      </c>
    </row>
    <row r="161" spans="2:6" x14ac:dyDescent="0.3">
      <c r="B161" s="143" t="s">
        <v>342</v>
      </c>
      <c r="C161" s="144">
        <v>0</v>
      </c>
      <c r="D161" s="144"/>
      <c r="E161" s="144">
        <v>1</v>
      </c>
      <c r="F161" s="144">
        <v>1</v>
      </c>
    </row>
    <row r="162" spans="2:6" x14ac:dyDescent="0.3">
      <c r="B162" s="142" t="s">
        <v>79</v>
      </c>
      <c r="C162" s="144">
        <v>0</v>
      </c>
      <c r="D162" s="144"/>
      <c r="E162" s="144">
        <v>1</v>
      </c>
      <c r="F162" s="144">
        <v>1</v>
      </c>
    </row>
    <row r="163" spans="2:6" x14ac:dyDescent="0.3">
      <c r="B163" s="143" t="s">
        <v>342</v>
      </c>
      <c r="C163" s="144">
        <v>0</v>
      </c>
      <c r="D163" s="144"/>
      <c r="E163" s="144">
        <v>1</v>
      </c>
      <c r="F163" s="144">
        <v>1</v>
      </c>
    </row>
    <row r="164" spans="2:6" x14ac:dyDescent="0.3">
      <c r="B164" s="142" t="s">
        <v>80</v>
      </c>
      <c r="C164" s="144">
        <v>1</v>
      </c>
      <c r="D164" s="144"/>
      <c r="E164" s="144">
        <v>1</v>
      </c>
      <c r="F164" s="144">
        <v>1</v>
      </c>
    </row>
    <row r="165" spans="2:6" x14ac:dyDescent="0.3">
      <c r="B165" s="143" t="s">
        <v>342</v>
      </c>
      <c r="C165" s="144">
        <v>1</v>
      </c>
      <c r="D165" s="144"/>
      <c r="E165" s="144">
        <v>1</v>
      </c>
      <c r="F165" s="144">
        <v>1</v>
      </c>
    </row>
    <row r="166" spans="2:6" x14ac:dyDescent="0.3">
      <c r="B166" s="142" t="s">
        <v>76</v>
      </c>
      <c r="C166" s="144">
        <v>0</v>
      </c>
      <c r="D166" s="144"/>
      <c r="E166" s="144">
        <v>1</v>
      </c>
      <c r="F166" s="144">
        <v>1</v>
      </c>
    </row>
    <row r="167" spans="2:6" x14ac:dyDescent="0.3">
      <c r="B167" s="143" t="s">
        <v>342</v>
      </c>
      <c r="C167" s="144">
        <v>0</v>
      </c>
      <c r="D167" s="144"/>
      <c r="E167" s="144">
        <v>1</v>
      </c>
      <c r="F167" s="144">
        <v>1</v>
      </c>
    </row>
    <row r="168" spans="2:6" x14ac:dyDescent="0.3">
      <c r="B168" s="139" t="s">
        <v>81</v>
      </c>
      <c r="C168" s="144">
        <v>2</v>
      </c>
      <c r="D168" s="144"/>
      <c r="E168" s="144">
        <v>2</v>
      </c>
      <c r="F168" s="144">
        <v>2</v>
      </c>
    </row>
    <row r="169" spans="2:6" x14ac:dyDescent="0.3">
      <c r="B169" s="141" t="s">
        <v>67</v>
      </c>
      <c r="C169" s="144">
        <v>2</v>
      </c>
      <c r="D169" s="144"/>
      <c r="E169" s="144">
        <v>2</v>
      </c>
      <c r="F169" s="144">
        <v>2</v>
      </c>
    </row>
    <row r="170" spans="2:6" x14ac:dyDescent="0.3">
      <c r="B170" s="142" t="s">
        <v>84</v>
      </c>
      <c r="C170" s="144">
        <v>1</v>
      </c>
      <c r="D170" s="144"/>
      <c r="E170" s="144">
        <v>1</v>
      </c>
      <c r="F170" s="144">
        <v>1</v>
      </c>
    </row>
    <row r="171" spans="2:6" x14ac:dyDescent="0.3">
      <c r="B171" s="143" t="s">
        <v>342</v>
      </c>
      <c r="C171" s="144">
        <v>1</v>
      </c>
      <c r="D171" s="144"/>
      <c r="E171" s="144">
        <v>1</v>
      </c>
      <c r="F171" s="144">
        <v>1</v>
      </c>
    </row>
    <row r="172" spans="2:6" x14ac:dyDescent="0.3">
      <c r="B172" s="142" t="s">
        <v>68</v>
      </c>
      <c r="C172" s="144">
        <v>1</v>
      </c>
      <c r="D172" s="144"/>
      <c r="E172" s="144">
        <v>1</v>
      </c>
      <c r="F172" s="144">
        <v>1</v>
      </c>
    </row>
    <row r="173" spans="2:6" x14ac:dyDescent="0.3">
      <c r="B173" s="143" t="s">
        <v>342</v>
      </c>
      <c r="C173" s="144">
        <v>1</v>
      </c>
      <c r="D173" s="144"/>
      <c r="E173" s="144">
        <v>1</v>
      </c>
      <c r="F173" s="144">
        <v>1</v>
      </c>
    </row>
    <row r="174" spans="2:6" x14ac:dyDescent="0.3">
      <c r="B174" s="139" t="s">
        <v>339</v>
      </c>
      <c r="C174" s="144">
        <v>378</v>
      </c>
      <c r="D174" s="144"/>
      <c r="E174" s="144">
        <v>465</v>
      </c>
      <c r="F174" s="144">
        <v>71.77000000000001</v>
      </c>
    </row>
    <row r="175" spans="2:6" x14ac:dyDescent="0.3">
      <c r="B175"/>
    </row>
    <row r="176" spans="2:6" x14ac:dyDescent="0.3">
      <c r="B176"/>
    </row>
    <row r="177" spans="2:2" x14ac:dyDescent="0.3">
      <c r="B177"/>
    </row>
    <row r="178" spans="2:2" x14ac:dyDescent="0.3">
      <c r="B178"/>
    </row>
    <row r="179" spans="2:2" x14ac:dyDescent="0.3">
      <c r="B179"/>
    </row>
    <row r="180" spans="2:2" x14ac:dyDescent="0.3">
      <c r="B180"/>
    </row>
    <row r="181" spans="2:2" x14ac:dyDescent="0.3">
      <c r="B181"/>
    </row>
    <row r="182" spans="2:2" x14ac:dyDescent="0.3">
      <c r="B182"/>
    </row>
    <row r="183" spans="2:2" x14ac:dyDescent="0.3">
      <c r="B183"/>
    </row>
    <row r="184" spans="2:2" x14ac:dyDescent="0.3">
      <c r="B184"/>
    </row>
    <row r="185" spans="2:2" x14ac:dyDescent="0.3">
      <c r="B185"/>
    </row>
    <row r="186" spans="2:2" x14ac:dyDescent="0.3">
      <c r="B186"/>
    </row>
    <row r="187" spans="2:2" x14ac:dyDescent="0.3">
      <c r="B187"/>
    </row>
    <row r="188" spans="2:2" x14ac:dyDescent="0.3">
      <c r="B188"/>
    </row>
    <row r="189" spans="2:2" x14ac:dyDescent="0.3">
      <c r="B189"/>
    </row>
    <row r="190" spans="2:2" x14ac:dyDescent="0.3">
      <c r="B190"/>
    </row>
    <row r="191" spans="2:2" x14ac:dyDescent="0.3">
      <c r="B191"/>
    </row>
    <row r="192" spans="2:2" x14ac:dyDescent="0.3">
      <c r="B192"/>
    </row>
    <row r="193" spans="2:2" x14ac:dyDescent="0.3">
      <c r="B193"/>
    </row>
    <row r="194" spans="2:2" x14ac:dyDescent="0.3">
      <c r="B194"/>
    </row>
    <row r="195" spans="2:2" x14ac:dyDescent="0.3">
      <c r="B195"/>
    </row>
    <row r="196" spans="2:2" x14ac:dyDescent="0.3">
      <c r="B196"/>
    </row>
    <row r="197" spans="2:2" x14ac:dyDescent="0.3">
      <c r="B197"/>
    </row>
    <row r="198" spans="2:2" x14ac:dyDescent="0.3">
      <c r="B198"/>
    </row>
    <row r="199" spans="2:2" x14ac:dyDescent="0.3">
      <c r="B199"/>
    </row>
    <row r="200" spans="2:2" x14ac:dyDescent="0.3">
      <c r="B200"/>
    </row>
    <row r="201" spans="2:2" x14ac:dyDescent="0.3">
      <c r="B201"/>
    </row>
    <row r="202" spans="2:2" x14ac:dyDescent="0.3">
      <c r="B202"/>
    </row>
    <row r="203" spans="2:2" x14ac:dyDescent="0.3">
      <c r="B203"/>
    </row>
    <row r="204" spans="2:2" x14ac:dyDescent="0.3">
      <c r="B204"/>
    </row>
    <row r="205" spans="2:2" x14ac:dyDescent="0.3">
      <c r="B205"/>
    </row>
    <row r="206" spans="2:2" x14ac:dyDescent="0.3">
      <c r="B206"/>
    </row>
    <row r="207" spans="2:2" x14ac:dyDescent="0.3">
      <c r="B207"/>
    </row>
    <row r="208" spans="2:2" x14ac:dyDescent="0.3">
      <c r="B208"/>
    </row>
    <row r="209" spans="2:2" x14ac:dyDescent="0.3">
      <c r="B209"/>
    </row>
    <row r="210" spans="2:2" x14ac:dyDescent="0.3">
      <c r="B210"/>
    </row>
    <row r="211" spans="2:2" x14ac:dyDescent="0.3">
      <c r="B211"/>
    </row>
    <row r="212" spans="2:2" x14ac:dyDescent="0.3">
      <c r="B212"/>
    </row>
    <row r="213" spans="2:2" x14ac:dyDescent="0.3">
      <c r="B213"/>
    </row>
    <row r="214" spans="2:2" x14ac:dyDescent="0.3">
      <c r="B214"/>
    </row>
    <row r="215" spans="2:2" x14ac:dyDescent="0.3">
      <c r="B215"/>
    </row>
    <row r="216" spans="2:2" x14ac:dyDescent="0.3">
      <c r="B216"/>
    </row>
    <row r="217" spans="2:2" x14ac:dyDescent="0.3">
      <c r="B217"/>
    </row>
    <row r="218" spans="2:2" x14ac:dyDescent="0.3">
      <c r="B218"/>
    </row>
    <row r="219" spans="2:2" x14ac:dyDescent="0.3">
      <c r="B219"/>
    </row>
    <row r="220" spans="2:2" x14ac:dyDescent="0.3">
      <c r="B220"/>
    </row>
    <row r="221" spans="2:2" x14ac:dyDescent="0.3">
      <c r="B221"/>
    </row>
    <row r="222" spans="2:2" x14ac:dyDescent="0.3">
      <c r="B222"/>
    </row>
    <row r="223" spans="2:2" x14ac:dyDescent="0.3">
      <c r="B223"/>
    </row>
    <row r="224" spans="2:2" x14ac:dyDescent="0.3">
      <c r="B224"/>
    </row>
    <row r="225" spans="2:2" x14ac:dyDescent="0.3">
      <c r="B225"/>
    </row>
    <row r="226" spans="2:2" x14ac:dyDescent="0.3">
      <c r="B226"/>
    </row>
    <row r="227" spans="2:2" x14ac:dyDescent="0.3">
      <c r="B227"/>
    </row>
    <row r="228" spans="2:2" x14ac:dyDescent="0.3">
      <c r="B228"/>
    </row>
    <row r="229" spans="2:2" x14ac:dyDescent="0.3">
      <c r="B229"/>
    </row>
    <row r="230" spans="2:2" x14ac:dyDescent="0.3">
      <c r="B230"/>
    </row>
    <row r="231" spans="2:2" x14ac:dyDescent="0.3">
      <c r="B231"/>
    </row>
    <row r="232" spans="2:2" x14ac:dyDescent="0.3">
      <c r="B232"/>
    </row>
    <row r="233" spans="2:2" x14ac:dyDescent="0.3">
      <c r="B233"/>
    </row>
    <row r="234" spans="2:2" x14ac:dyDescent="0.3">
      <c r="B234"/>
    </row>
    <row r="235" spans="2:2" x14ac:dyDescent="0.3">
      <c r="B235"/>
    </row>
    <row r="236" spans="2:2" x14ac:dyDescent="0.3">
      <c r="B236"/>
    </row>
    <row r="237" spans="2:2" x14ac:dyDescent="0.3">
      <c r="B237"/>
    </row>
    <row r="238" spans="2:2" x14ac:dyDescent="0.3">
      <c r="B238"/>
    </row>
    <row r="239" spans="2:2" x14ac:dyDescent="0.3">
      <c r="B239"/>
    </row>
    <row r="240" spans="2:2" x14ac:dyDescent="0.3">
      <c r="B240"/>
    </row>
    <row r="241" spans="2:2" x14ac:dyDescent="0.3">
      <c r="B241"/>
    </row>
    <row r="242" spans="2:2" x14ac:dyDescent="0.3">
      <c r="B242"/>
    </row>
    <row r="243" spans="2:2" x14ac:dyDescent="0.3">
      <c r="B243"/>
    </row>
    <row r="244" spans="2:2" x14ac:dyDescent="0.3">
      <c r="B244"/>
    </row>
    <row r="245" spans="2:2" x14ac:dyDescent="0.3">
      <c r="B245"/>
    </row>
    <row r="246" spans="2:2" x14ac:dyDescent="0.3">
      <c r="B246"/>
    </row>
    <row r="247" spans="2:2" x14ac:dyDescent="0.3">
      <c r="B247"/>
    </row>
    <row r="248" spans="2:2" x14ac:dyDescent="0.3">
      <c r="B248"/>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7" tint="0.79998168889431442"/>
    <pageSetUpPr fitToPage="1"/>
  </sheetPr>
  <dimension ref="A1:BU452"/>
  <sheetViews>
    <sheetView showGridLines="0" tabSelected="1" zoomScale="85" zoomScaleNormal="85" workbookViewId="0">
      <pane xSplit="3" ySplit="12" topLeftCell="D13" activePane="bottomRight" state="frozen"/>
      <selection pane="topRight" activeCell="D1" sqref="D1"/>
      <selection pane="bottomLeft" activeCell="A13" sqref="A13"/>
      <selection pane="bottomRight" activeCell="M19" sqref="M19"/>
    </sheetView>
  </sheetViews>
  <sheetFormatPr defaultColWidth="0" defaultRowHeight="13.2" zeroHeight="1" x14ac:dyDescent="0.25"/>
  <cols>
    <col min="1" max="1" width="0.5546875" style="86" customWidth="1"/>
    <col min="2" max="2" width="11.44140625" style="185" customWidth="1"/>
    <col min="3" max="3" width="29.88671875" style="95" customWidth="1"/>
    <col min="4" max="4" width="16.109375" style="95" customWidth="1"/>
    <col min="5" max="5" width="15.44140625" style="95" customWidth="1"/>
    <col min="6" max="6" width="17.21875" style="309" customWidth="1"/>
    <col min="7" max="7" width="11.6640625" style="197" customWidth="1"/>
    <col min="8" max="9" width="17.21875" style="311" customWidth="1"/>
    <col min="10" max="10" width="11.33203125" style="197" customWidth="1"/>
    <col min="11" max="11" width="17.21875" style="306" customWidth="1"/>
    <col min="12" max="12" width="7.33203125" style="105" customWidth="1"/>
    <col min="13" max="13" width="12.33203125" style="167" customWidth="1"/>
    <col min="14" max="14" width="13.33203125" style="168" bestFit="1" customWidth="1"/>
    <col min="15" max="15" width="0.44140625" style="89" customWidth="1"/>
    <col min="16" max="71" width="2.44140625" style="86" customWidth="1"/>
    <col min="72" max="72" width="1.5546875" style="95" customWidth="1"/>
    <col min="73" max="73" width="0" style="86" hidden="1" customWidth="1"/>
    <col min="74" max="16384" width="9.109375" style="86" hidden="1"/>
  </cols>
  <sheetData>
    <row r="1" spans="1:72" ht="27" customHeight="1" x14ac:dyDescent="0.25">
      <c r="B1" s="232" t="s">
        <v>260</v>
      </c>
      <c r="C1" s="232"/>
      <c r="D1" s="235" t="s">
        <v>340</v>
      </c>
      <c r="E1" s="235"/>
      <c r="F1" s="235"/>
      <c r="G1" s="235"/>
      <c r="H1" s="235"/>
      <c r="I1" s="235"/>
      <c r="J1" s="235"/>
      <c r="K1" s="235"/>
      <c r="L1" s="235"/>
      <c r="M1" s="235"/>
      <c r="N1" s="235"/>
      <c r="O1" s="87"/>
      <c r="P1" s="44"/>
      <c r="Q1" s="44"/>
      <c r="R1" s="44"/>
      <c r="S1" s="44"/>
      <c r="T1" s="44"/>
      <c r="U1" s="44"/>
      <c r="V1" s="44"/>
      <c r="W1" s="44"/>
      <c r="X1" s="44"/>
      <c r="Y1" s="44"/>
      <c r="Z1" s="44"/>
      <c r="AA1" s="44"/>
      <c r="AB1" s="44"/>
      <c r="AC1" s="44"/>
      <c r="AD1" s="44"/>
      <c r="AE1" s="44"/>
      <c r="AF1" s="44"/>
      <c r="AG1" s="44"/>
      <c r="AH1" s="44"/>
      <c r="AI1" s="44"/>
      <c r="AJ1" s="44"/>
      <c r="AK1" s="88"/>
      <c r="AL1" s="88"/>
      <c r="AM1" s="88"/>
      <c r="AN1" s="88"/>
      <c r="AO1" s="88"/>
      <c r="AP1" s="88"/>
      <c r="AQ1" s="88"/>
      <c r="AR1" s="88"/>
      <c r="AS1" s="88"/>
      <c r="AT1" s="88"/>
      <c r="AU1" s="88"/>
      <c r="AV1" s="88"/>
      <c r="AW1" s="88"/>
      <c r="AX1" s="88"/>
      <c r="AY1" s="88"/>
      <c r="AZ1" s="88"/>
      <c r="BA1" s="88"/>
      <c r="BB1" s="88"/>
      <c r="BC1" s="88"/>
      <c r="BD1" s="88"/>
      <c r="BE1" s="88"/>
      <c r="BF1" s="88"/>
      <c r="BG1" s="88"/>
      <c r="BH1" s="88"/>
      <c r="BI1" s="88"/>
      <c r="BJ1" s="88"/>
      <c r="BK1" s="88"/>
      <c r="BL1" s="88"/>
      <c r="BM1" s="88"/>
      <c r="BN1" s="88"/>
      <c r="BO1" s="88"/>
      <c r="BP1" s="88"/>
      <c r="BQ1" s="88"/>
      <c r="BR1" s="88"/>
      <c r="BS1" s="88"/>
    </row>
    <row r="2" spans="1:72" ht="18.600000000000001" customHeight="1" x14ac:dyDescent="0.25">
      <c r="B2" s="232"/>
      <c r="C2" s="232"/>
      <c r="D2" s="236" t="s">
        <v>341</v>
      </c>
      <c r="E2" s="236"/>
      <c r="F2" s="236"/>
      <c r="G2" s="236"/>
      <c r="H2" s="236"/>
      <c r="I2" s="236"/>
      <c r="J2" s="236"/>
      <c r="K2" s="236"/>
      <c r="L2" s="236"/>
      <c r="M2" s="236"/>
      <c r="N2" s="236"/>
      <c r="P2" s="45"/>
      <c r="Q2" s="45"/>
      <c r="R2" s="45"/>
      <c r="S2" s="45"/>
      <c r="T2" s="45"/>
      <c r="U2" s="45"/>
      <c r="V2" s="45"/>
      <c r="W2" s="45"/>
      <c r="X2" s="45"/>
      <c r="Y2" s="45"/>
      <c r="Z2" s="45"/>
      <c r="AA2" s="45"/>
      <c r="AB2" s="45"/>
      <c r="AC2" s="45"/>
      <c r="AD2" s="45"/>
      <c r="AE2" s="45"/>
      <c r="AF2" s="45"/>
      <c r="AG2" s="45"/>
      <c r="AH2" s="45"/>
      <c r="AI2" s="45"/>
      <c r="AJ2" s="45"/>
      <c r="BS2" s="95"/>
    </row>
    <row r="3" spans="1:72" ht="18" x14ac:dyDescent="0.25">
      <c r="B3" s="183"/>
      <c r="C3" s="86"/>
      <c r="D3" s="91"/>
      <c r="E3" s="91"/>
      <c r="F3" s="200"/>
      <c r="G3" s="191"/>
      <c r="H3" s="300"/>
      <c r="I3" s="300"/>
      <c r="J3" s="191"/>
      <c r="K3" s="300"/>
      <c r="L3" s="92"/>
      <c r="M3" s="91"/>
      <c r="N3" s="93"/>
      <c r="AG3" s="45"/>
      <c r="AH3" s="45"/>
      <c r="AI3" s="45"/>
      <c r="AJ3" s="45"/>
      <c r="BS3" s="95"/>
    </row>
    <row r="4" spans="1:72" ht="16.95" customHeight="1" x14ac:dyDescent="0.3">
      <c r="B4" s="183"/>
      <c r="C4" s="94" t="s">
        <v>242</v>
      </c>
      <c r="D4" s="234">
        <v>44611</v>
      </c>
      <c r="E4" s="234"/>
      <c r="F4" s="234"/>
      <c r="G4" s="234"/>
      <c r="H4" s="234"/>
      <c r="I4" s="234"/>
      <c r="J4" s="191"/>
      <c r="K4" s="300"/>
      <c r="L4" s="92"/>
      <c r="M4" s="91"/>
      <c r="N4" s="93"/>
      <c r="P4" s="46"/>
      <c r="Q4" s="46"/>
      <c r="R4" s="47" t="s">
        <v>246</v>
      </c>
      <c r="S4" s="47"/>
      <c r="T4" s="47"/>
      <c r="U4" s="47"/>
      <c r="V4" s="47"/>
      <c r="W4" s="47"/>
      <c r="X4" s="47"/>
      <c r="Z4" s="48"/>
      <c r="AA4" s="48"/>
      <c r="AB4" s="47" t="s">
        <v>241</v>
      </c>
      <c r="AC4" s="47"/>
      <c r="AD4" s="47"/>
      <c r="AF4" s="57"/>
      <c r="AG4" s="58"/>
      <c r="AH4" s="47" t="s">
        <v>247</v>
      </c>
      <c r="AI4" s="47"/>
      <c r="AJ4" s="47"/>
      <c r="BS4" s="95"/>
    </row>
    <row r="5" spans="1:72" ht="16.95" customHeight="1" x14ac:dyDescent="0.3">
      <c r="B5" s="183"/>
      <c r="C5" s="94" t="s">
        <v>243</v>
      </c>
      <c r="D5" s="233" t="s">
        <v>259</v>
      </c>
      <c r="E5" s="233"/>
      <c r="F5" s="234"/>
      <c r="G5" s="234"/>
      <c r="H5" s="233"/>
      <c r="I5" s="233"/>
      <c r="J5" s="191"/>
      <c r="K5" s="300"/>
      <c r="L5" s="92"/>
      <c r="M5" s="163"/>
      <c r="N5" s="93"/>
      <c r="AI5" s="45"/>
      <c r="AJ5" s="45"/>
      <c r="BS5" s="95"/>
    </row>
    <row r="6" spans="1:72" ht="16.95" customHeight="1" x14ac:dyDescent="0.3">
      <c r="B6" s="183"/>
      <c r="C6" s="94" t="s">
        <v>244</v>
      </c>
      <c r="D6" s="233" t="s">
        <v>258</v>
      </c>
      <c r="E6" s="233"/>
      <c r="F6" s="233"/>
      <c r="G6" s="233"/>
      <c r="H6" s="233"/>
      <c r="I6" s="233"/>
      <c r="J6" s="191"/>
      <c r="K6" s="300"/>
      <c r="L6" s="92"/>
      <c r="M6" s="91"/>
      <c r="N6" s="93"/>
      <c r="P6" s="240" t="s">
        <v>248</v>
      </c>
      <c r="Q6" s="240"/>
      <c r="R6" s="240"/>
      <c r="S6" s="240"/>
      <c r="T6" s="240"/>
      <c r="U6" s="240"/>
      <c r="V6" s="241">
        <v>1</v>
      </c>
      <c r="W6" s="241"/>
      <c r="X6" s="241"/>
      <c r="Y6" s="45"/>
      <c r="Z6" s="45"/>
      <c r="AA6" s="45"/>
      <c r="AB6" s="45"/>
      <c r="AC6" s="45"/>
      <c r="AD6" s="45"/>
      <c r="AE6" s="45"/>
      <c r="AF6" s="45"/>
      <c r="AG6" s="45"/>
      <c r="AH6" s="45"/>
      <c r="AI6" s="45"/>
      <c r="AJ6" s="45"/>
      <c r="BS6" s="95"/>
    </row>
    <row r="7" spans="1:72" ht="16.95" customHeight="1" x14ac:dyDescent="0.3">
      <c r="B7" s="183"/>
      <c r="C7" s="94" t="s">
        <v>245</v>
      </c>
      <c r="D7" s="233" t="s">
        <v>257</v>
      </c>
      <c r="E7" s="233"/>
      <c r="F7" s="233"/>
      <c r="G7" s="233"/>
      <c r="H7" s="233"/>
      <c r="I7" s="233"/>
      <c r="J7" s="191"/>
      <c r="K7" s="300"/>
      <c r="L7" s="92"/>
      <c r="M7" s="91"/>
      <c r="N7" s="93"/>
      <c r="AG7" s="45"/>
      <c r="AH7" s="45"/>
      <c r="AI7" s="45"/>
      <c r="AJ7" s="45"/>
      <c r="BS7" s="95"/>
    </row>
    <row r="8" spans="1:72" ht="12" customHeight="1" x14ac:dyDescent="0.25">
      <c r="B8" s="183"/>
      <c r="C8" s="90"/>
      <c r="D8" s="91"/>
      <c r="E8" s="91"/>
      <c r="F8" s="200"/>
      <c r="G8" s="191"/>
      <c r="H8" s="300"/>
      <c r="I8" s="300"/>
      <c r="J8" s="191"/>
      <c r="K8" s="300"/>
      <c r="L8" s="92"/>
      <c r="M8" s="91"/>
      <c r="N8" s="93"/>
      <c r="P8" s="45"/>
      <c r="Q8" s="45"/>
      <c r="R8" s="45"/>
      <c r="S8" s="45"/>
      <c r="T8" s="45"/>
      <c r="U8" s="45"/>
      <c r="V8" s="45"/>
      <c r="W8" s="45"/>
      <c r="X8" s="45"/>
      <c r="Y8" s="45"/>
      <c r="Z8" s="45"/>
      <c r="AA8" s="45"/>
      <c r="AB8" s="45"/>
      <c r="AC8" s="45"/>
      <c r="AD8" s="45"/>
      <c r="AE8" s="45"/>
      <c r="AF8" s="45"/>
      <c r="AG8" s="45"/>
      <c r="AH8" s="45"/>
      <c r="AI8" s="45"/>
      <c r="AJ8" s="45"/>
      <c r="BS8" s="95"/>
    </row>
    <row r="9" spans="1:72" ht="22.95" customHeight="1" x14ac:dyDescent="0.3">
      <c r="A9" s="95"/>
      <c r="B9" s="184"/>
      <c r="C9" s="86"/>
      <c r="D9" s="86"/>
      <c r="E9" s="86"/>
      <c r="F9" s="307"/>
      <c r="G9" s="192"/>
      <c r="H9" s="310"/>
      <c r="I9" s="310"/>
      <c r="J9" s="207"/>
      <c r="K9" s="303"/>
      <c r="L9" s="96"/>
      <c r="M9" s="97"/>
      <c r="N9" s="98"/>
      <c r="O9" s="99"/>
      <c r="P9" s="239" t="str">
        <f>"Week "&amp;(P11-($D$4-WEEKDAY($D$4,1)+2))/7+1</f>
        <v>Week 1</v>
      </c>
      <c r="Q9" s="239"/>
      <c r="R9" s="239"/>
      <c r="S9" s="239"/>
      <c r="T9" s="239"/>
      <c r="U9" s="239"/>
      <c r="V9" s="239"/>
      <c r="W9" s="239" t="str">
        <f>"Week "&amp;(W11-($D$4-WEEKDAY($D$4,1)+2))/7+1</f>
        <v>Week 2</v>
      </c>
      <c r="X9" s="239"/>
      <c r="Y9" s="239"/>
      <c r="Z9" s="239"/>
      <c r="AA9" s="239"/>
      <c r="AB9" s="239"/>
      <c r="AC9" s="239"/>
      <c r="AD9" s="239" t="str">
        <f>"Week "&amp;(AD11-($D$4-WEEKDAY($D$4,1)+2))/7+1</f>
        <v>Week 3</v>
      </c>
      <c r="AE9" s="239"/>
      <c r="AF9" s="239"/>
      <c r="AG9" s="239"/>
      <c r="AH9" s="239"/>
      <c r="AI9" s="239"/>
      <c r="AJ9" s="239"/>
      <c r="AK9" s="239" t="str">
        <f>"Week "&amp;(AK11-($D$4-WEEKDAY($D$4,1)+2))/7+1</f>
        <v>Week 4</v>
      </c>
      <c r="AL9" s="239"/>
      <c r="AM9" s="239"/>
      <c r="AN9" s="239"/>
      <c r="AO9" s="239"/>
      <c r="AP9" s="239"/>
      <c r="AQ9" s="239"/>
      <c r="AR9" s="239" t="str">
        <f>"Week "&amp;(AR11-($D$4-WEEKDAY($D$4,1)+2))/7+1</f>
        <v>Week 5</v>
      </c>
      <c r="AS9" s="239"/>
      <c r="AT9" s="239"/>
      <c r="AU9" s="239"/>
      <c r="AV9" s="239"/>
      <c r="AW9" s="239"/>
      <c r="AX9" s="239"/>
      <c r="AY9" s="239" t="str">
        <f>"Week "&amp;(AY11-($D$4-WEEKDAY($D$4,1)+2))/7+1</f>
        <v>Week 6</v>
      </c>
      <c r="AZ9" s="239"/>
      <c r="BA9" s="239"/>
      <c r="BB9" s="239"/>
      <c r="BC9" s="239"/>
      <c r="BD9" s="239"/>
      <c r="BE9" s="239"/>
      <c r="BF9" s="239" t="str">
        <f>"Week "&amp;(BF11-($D$4-WEEKDAY($D$4,1)+2))/7+1</f>
        <v>Week 7</v>
      </c>
      <c r="BG9" s="239"/>
      <c r="BH9" s="239"/>
      <c r="BI9" s="239"/>
      <c r="BJ9" s="239"/>
      <c r="BK9" s="239"/>
      <c r="BL9" s="239"/>
      <c r="BM9" s="239" t="str">
        <f>"Week "&amp;(BM11-($D$4-WEEKDAY($D$4,1)+2))/7+1</f>
        <v>Week 8</v>
      </c>
      <c r="BN9" s="239"/>
      <c r="BO9" s="239"/>
      <c r="BP9" s="239"/>
      <c r="BQ9" s="239"/>
      <c r="BR9" s="239"/>
      <c r="BS9" s="242"/>
    </row>
    <row r="10" spans="1:72" ht="19.95" customHeight="1" x14ac:dyDescent="0.3">
      <c r="A10" s="95"/>
      <c r="B10" s="184"/>
      <c r="C10" s="86"/>
      <c r="D10" s="86"/>
      <c r="E10" s="86"/>
      <c r="F10" s="308"/>
      <c r="G10" s="192"/>
      <c r="H10" s="310"/>
      <c r="I10" s="310"/>
      <c r="J10" s="208"/>
      <c r="K10" s="304"/>
      <c r="L10" s="100"/>
      <c r="M10" s="101" t="str">
        <f>IF(N13=1,"COMPLETE","")</f>
        <v/>
      </c>
      <c r="N10" s="102"/>
      <c r="O10" s="99"/>
      <c r="P10" s="237">
        <f>P11</f>
        <v>44606</v>
      </c>
      <c r="Q10" s="237"/>
      <c r="R10" s="237"/>
      <c r="S10" s="237"/>
      <c r="T10" s="237"/>
      <c r="U10" s="237"/>
      <c r="V10" s="237"/>
      <c r="W10" s="237">
        <f>W11</f>
        <v>44613</v>
      </c>
      <c r="X10" s="237"/>
      <c r="Y10" s="237"/>
      <c r="Z10" s="237"/>
      <c r="AA10" s="237"/>
      <c r="AB10" s="237"/>
      <c r="AC10" s="237"/>
      <c r="AD10" s="237">
        <f>AD11</f>
        <v>44620</v>
      </c>
      <c r="AE10" s="237"/>
      <c r="AF10" s="237"/>
      <c r="AG10" s="237"/>
      <c r="AH10" s="237"/>
      <c r="AI10" s="237"/>
      <c r="AJ10" s="237"/>
      <c r="AK10" s="237">
        <f>AK11</f>
        <v>44627</v>
      </c>
      <c r="AL10" s="237"/>
      <c r="AM10" s="237"/>
      <c r="AN10" s="237"/>
      <c r="AO10" s="237"/>
      <c r="AP10" s="237"/>
      <c r="AQ10" s="237"/>
      <c r="AR10" s="237">
        <f>AR11</f>
        <v>44634</v>
      </c>
      <c r="AS10" s="237"/>
      <c r="AT10" s="237"/>
      <c r="AU10" s="237"/>
      <c r="AV10" s="237"/>
      <c r="AW10" s="237"/>
      <c r="AX10" s="237"/>
      <c r="AY10" s="237">
        <f>AY11</f>
        <v>44641</v>
      </c>
      <c r="AZ10" s="237"/>
      <c r="BA10" s="237"/>
      <c r="BB10" s="237"/>
      <c r="BC10" s="237"/>
      <c r="BD10" s="237"/>
      <c r="BE10" s="237"/>
      <c r="BF10" s="237">
        <f>BF11</f>
        <v>44648</v>
      </c>
      <c r="BG10" s="237"/>
      <c r="BH10" s="237"/>
      <c r="BI10" s="237"/>
      <c r="BJ10" s="237"/>
      <c r="BK10" s="237"/>
      <c r="BL10" s="237"/>
      <c r="BM10" s="237">
        <f>BM11</f>
        <v>44655</v>
      </c>
      <c r="BN10" s="237"/>
      <c r="BO10" s="237"/>
      <c r="BP10" s="237"/>
      <c r="BQ10" s="237"/>
      <c r="BR10" s="237"/>
      <c r="BS10" s="238"/>
    </row>
    <row r="11" spans="1:72" ht="15" customHeight="1" thickBot="1" x14ac:dyDescent="0.35">
      <c r="A11" s="289"/>
      <c r="B11" s="285"/>
      <c r="C11" s="285"/>
      <c r="D11" s="285"/>
      <c r="E11" s="285"/>
      <c r="F11" s="286"/>
      <c r="G11" s="286"/>
      <c r="H11" s="286"/>
      <c r="I11" s="287"/>
      <c r="J11" s="287"/>
      <c r="K11" s="287"/>
      <c r="L11" s="288"/>
      <c r="M11" s="288"/>
      <c r="N11" s="288"/>
      <c r="O11" s="99"/>
      <c r="P11" s="49">
        <f>D4-WEEKDAY(D4,1)+2+7*(V6-1)</f>
        <v>44606</v>
      </c>
      <c r="Q11" s="49">
        <f t="shared" ref="Q11:BS11" si="0">P11+1</f>
        <v>44607</v>
      </c>
      <c r="R11" s="49">
        <f t="shared" si="0"/>
        <v>44608</v>
      </c>
      <c r="S11" s="49">
        <f t="shared" si="0"/>
        <v>44609</v>
      </c>
      <c r="T11" s="49">
        <f t="shared" si="0"/>
        <v>44610</v>
      </c>
      <c r="U11" s="49">
        <f t="shared" si="0"/>
        <v>44611</v>
      </c>
      <c r="V11" s="49">
        <f t="shared" si="0"/>
        <v>44612</v>
      </c>
      <c r="W11" s="49">
        <f t="shared" si="0"/>
        <v>44613</v>
      </c>
      <c r="X11" s="49">
        <f t="shared" si="0"/>
        <v>44614</v>
      </c>
      <c r="Y11" s="49">
        <f t="shared" si="0"/>
        <v>44615</v>
      </c>
      <c r="Z11" s="49">
        <f t="shared" si="0"/>
        <v>44616</v>
      </c>
      <c r="AA11" s="49">
        <f t="shared" si="0"/>
        <v>44617</v>
      </c>
      <c r="AB11" s="49">
        <f t="shared" si="0"/>
        <v>44618</v>
      </c>
      <c r="AC11" s="49">
        <f t="shared" si="0"/>
        <v>44619</v>
      </c>
      <c r="AD11" s="49">
        <f t="shared" si="0"/>
        <v>44620</v>
      </c>
      <c r="AE11" s="49">
        <f t="shared" si="0"/>
        <v>44621</v>
      </c>
      <c r="AF11" s="49">
        <f t="shared" si="0"/>
        <v>44622</v>
      </c>
      <c r="AG11" s="49">
        <f t="shared" si="0"/>
        <v>44623</v>
      </c>
      <c r="AH11" s="49">
        <f t="shared" si="0"/>
        <v>44624</v>
      </c>
      <c r="AI11" s="49">
        <f t="shared" si="0"/>
        <v>44625</v>
      </c>
      <c r="AJ11" s="49">
        <f t="shared" si="0"/>
        <v>44626</v>
      </c>
      <c r="AK11" s="49">
        <f t="shared" si="0"/>
        <v>44627</v>
      </c>
      <c r="AL11" s="49">
        <f t="shared" si="0"/>
        <v>44628</v>
      </c>
      <c r="AM11" s="49">
        <f t="shared" si="0"/>
        <v>44629</v>
      </c>
      <c r="AN11" s="49">
        <f t="shared" si="0"/>
        <v>44630</v>
      </c>
      <c r="AO11" s="49">
        <f t="shared" si="0"/>
        <v>44631</v>
      </c>
      <c r="AP11" s="49">
        <f t="shared" si="0"/>
        <v>44632</v>
      </c>
      <c r="AQ11" s="49">
        <f t="shared" si="0"/>
        <v>44633</v>
      </c>
      <c r="AR11" s="49">
        <f t="shared" si="0"/>
        <v>44634</v>
      </c>
      <c r="AS11" s="49">
        <f t="shared" si="0"/>
        <v>44635</v>
      </c>
      <c r="AT11" s="49">
        <f t="shared" si="0"/>
        <v>44636</v>
      </c>
      <c r="AU11" s="49">
        <f t="shared" si="0"/>
        <v>44637</v>
      </c>
      <c r="AV11" s="49">
        <f t="shared" si="0"/>
        <v>44638</v>
      </c>
      <c r="AW11" s="49">
        <f t="shared" si="0"/>
        <v>44639</v>
      </c>
      <c r="AX11" s="49">
        <f t="shared" si="0"/>
        <v>44640</v>
      </c>
      <c r="AY11" s="49">
        <f t="shared" si="0"/>
        <v>44641</v>
      </c>
      <c r="AZ11" s="49">
        <f t="shared" si="0"/>
        <v>44642</v>
      </c>
      <c r="BA11" s="49">
        <f t="shared" si="0"/>
        <v>44643</v>
      </c>
      <c r="BB11" s="49">
        <f t="shared" si="0"/>
        <v>44644</v>
      </c>
      <c r="BC11" s="49">
        <f t="shared" si="0"/>
        <v>44645</v>
      </c>
      <c r="BD11" s="49">
        <f t="shared" si="0"/>
        <v>44646</v>
      </c>
      <c r="BE11" s="49">
        <f t="shared" si="0"/>
        <v>44647</v>
      </c>
      <c r="BF11" s="49">
        <f t="shared" si="0"/>
        <v>44648</v>
      </c>
      <c r="BG11" s="49">
        <f t="shared" si="0"/>
        <v>44649</v>
      </c>
      <c r="BH11" s="49">
        <f t="shared" si="0"/>
        <v>44650</v>
      </c>
      <c r="BI11" s="49">
        <f t="shared" si="0"/>
        <v>44651</v>
      </c>
      <c r="BJ11" s="49">
        <f t="shared" si="0"/>
        <v>44652</v>
      </c>
      <c r="BK11" s="49">
        <f t="shared" si="0"/>
        <v>44653</v>
      </c>
      <c r="BL11" s="49">
        <f t="shared" si="0"/>
        <v>44654</v>
      </c>
      <c r="BM11" s="49">
        <f t="shared" si="0"/>
        <v>44655</v>
      </c>
      <c r="BN11" s="49">
        <f t="shared" si="0"/>
        <v>44656</v>
      </c>
      <c r="BO11" s="49">
        <f t="shared" si="0"/>
        <v>44657</v>
      </c>
      <c r="BP11" s="49">
        <f t="shared" si="0"/>
        <v>44658</v>
      </c>
      <c r="BQ11" s="49">
        <f t="shared" si="0"/>
        <v>44659</v>
      </c>
      <c r="BR11" s="49">
        <f t="shared" si="0"/>
        <v>44660</v>
      </c>
      <c r="BS11" s="204">
        <f t="shared" si="0"/>
        <v>44661</v>
      </c>
    </row>
    <row r="12" spans="1:72" s="203" customFormat="1" ht="27" customHeight="1" thickBot="1" x14ac:dyDescent="0.35">
      <c r="A12" s="210"/>
      <c r="B12" s="290" t="s">
        <v>43</v>
      </c>
      <c r="C12" s="291" t="s">
        <v>371</v>
      </c>
      <c r="D12" s="292" t="s">
        <v>45</v>
      </c>
      <c r="E12" s="293" t="s">
        <v>46</v>
      </c>
      <c r="F12" s="294" t="s">
        <v>373</v>
      </c>
      <c r="G12" s="295" t="s">
        <v>374</v>
      </c>
      <c r="H12" s="301" t="s">
        <v>375</v>
      </c>
      <c r="I12" s="302" t="s">
        <v>376</v>
      </c>
      <c r="J12" s="296" t="s">
        <v>377</v>
      </c>
      <c r="K12" s="305" t="s">
        <v>378</v>
      </c>
      <c r="L12" s="297" t="s">
        <v>51</v>
      </c>
      <c r="M12" s="298" t="s">
        <v>6</v>
      </c>
      <c r="N12" s="299" t="s">
        <v>50</v>
      </c>
      <c r="O12" s="103"/>
      <c r="P12" s="54" t="str">
        <f t="shared" ref="P12:BS12" si="1">CHOOSE(WEEKDAY(P11,1),"S","M","T","W","T","F","S")</f>
        <v>M</v>
      </c>
      <c r="Q12" s="54" t="str">
        <f t="shared" si="1"/>
        <v>T</v>
      </c>
      <c r="R12" s="54" t="str">
        <f t="shared" si="1"/>
        <v>W</v>
      </c>
      <c r="S12" s="54" t="str">
        <f t="shared" si="1"/>
        <v>T</v>
      </c>
      <c r="T12" s="54" t="str">
        <f t="shared" si="1"/>
        <v>F</v>
      </c>
      <c r="U12" s="54" t="str">
        <f t="shared" si="1"/>
        <v>S</v>
      </c>
      <c r="V12" s="54" t="str">
        <f t="shared" si="1"/>
        <v>S</v>
      </c>
      <c r="W12" s="54" t="str">
        <f t="shared" si="1"/>
        <v>M</v>
      </c>
      <c r="X12" s="54" t="str">
        <f t="shared" si="1"/>
        <v>T</v>
      </c>
      <c r="Y12" s="54" t="str">
        <f t="shared" si="1"/>
        <v>W</v>
      </c>
      <c r="Z12" s="54" t="str">
        <f t="shared" si="1"/>
        <v>T</v>
      </c>
      <c r="AA12" s="54" t="str">
        <f t="shared" si="1"/>
        <v>F</v>
      </c>
      <c r="AB12" s="54" t="str">
        <f t="shared" si="1"/>
        <v>S</v>
      </c>
      <c r="AC12" s="54" t="str">
        <f t="shared" si="1"/>
        <v>S</v>
      </c>
      <c r="AD12" s="54" t="str">
        <f t="shared" si="1"/>
        <v>M</v>
      </c>
      <c r="AE12" s="54" t="str">
        <f t="shared" si="1"/>
        <v>T</v>
      </c>
      <c r="AF12" s="54" t="str">
        <f t="shared" si="1"/>
        <v>W</v>
      </c>
      <c r="AG12" s="54" t="str">
        <f t="shared" si="1"/>
        <v>T</v>
      </c>
      <c r="AH12" s="54" t="str">
        <f t="shared" si="1"/>
        <v>F</v>
      </c>
      <c r="AI12" s="54" t="str">
        <f t="shared" si="1"/>
        <v>S</v>
      </c>
      <c r="AJ12" s="54" t="str">
        <f t="shared" si="1"/>
        <v>S</v>
      </c>
      <c r="AK12" s="54" t="str">
        <f t="shared" si="1"/>
        <v>M</v>
      </c>
      <c r="AL12" s="54" t="str">
        <f t="shared" si="1"/>
        <v>T</v>
      </c>
      <c r="AM12" s="54" t="str">
        <f t="shared" si="1"/>
        <v>W</v>
      </c>
      <c r="AN12" s="54" t="str">
        <f t="shared" si="1"/>
        <v>T</v>
      </c>
      <c r="AO12" s="54" t="str">
        <f t="shared" si="1"/>
        <v>F</v>
      </c>
      <c r="AP12" s="54" t="str">
        <f t="shared" si="1"/>
        <v>S</v>
      </c>
      <c r="AQ12" s="54" t="str">
        <f t="shared" si="1"/>
        <v>S</v>
      </c>
      <c r="AR12" s="54" t="str">
        <f t="shared" si="1"/>
        <v>M</v>
      </c>
      <c r="AS12" s="54" t="str">
        <f t="shared" si="1"/>
        <v>T</v>
      </c>
      <c r="AT12" s="54" t="str">
        <f t="shared" si="1"/>
        <v>W</v>
      </c>
      <c r="AU12" s="54" t="str">
        <f t="shared" si="1"/>
        <v>T</v>
      </c>
      <c r="AV12" s="54" t="str">
        <f t="shared" si="1"/>
        <v>F</v>
      </c>
      <c r="AW12" s="54" t="str">
        <f t="shared" si="1"/>
        <v>S</v>
      </c>
      <c r="AX12" s="54" t="str">
        <f t="shared" si="1"/>
        <v>S</v>
      </c>
      <c r="AY12" s="54" t="str">
        <f t="shared" si="1"/>
        <v>M</v>
      </c>
      <c r="AZ12" s="54" t="str">
        <f t="shared" si="1"/>
        <v>T</v>
      </c>
      <c r="BA12" s="54" t="str">
        <f t="shared" si="1"/>
        <v>W</v>
      </c>
      <c r="BB12" s="54" t="str">
        <f t="shared" si="1"/>
        <v>T</v>
      </c>
      <c r="BC12" s="54" t="str">
        <f t="shared" si="1"/>
        <v>F</v>
      </c>
      <c r="BD12" s="54" t="str">
        <f t="shared" si="1"/>
        <v>S</v>
      </c>
      <c r="BE12" s="54" t="str">
        <f t="shared" si="1"/>
        <v>S</v>
      </c>
      <c r="BF12" s="54" t="str">
        <f t="shared" si="1"/>
        <v>M</v>
      </c>
      <c r="BG12" s="54" t="str">
        <f t="shared" si="1"/>
        <v>T</v>
      </c>
      <c r="BH12" s="54" t="str">
        <f t="shared" si="1"/>
        <v>W</v>
      </c>
      <c r="BI12" s="54" t="str">
        <f t="shared" si="1"/>
        <v>T</v>
      </c>
      <c r="BJ12" s="54" t="str">
        <f t="shared" si="1"/>
        <v>F</v>
      </c>
      <c r="BK12" s="54" t="str">
        <f t="shared" si="1"/>
        <v>S</v>
      </c>
      <c r="BL12" s="54" t="str">
        <f t="shared" si="1"/>
        <v>S</v>
      </c>
      <c r="BM12" s="54" t="str">
        <f t="shared" si="1"/>
        <v>M</v>
      </c>
      <c r="BN12" s="54" t="str">
        <f t="shared" si="1"/>
        <v>T</v>
      </c>
      <c r="BO12" s="54" t="str">
        <f t="shared" si="1"/>
        <v>W</v>
      </c>
      <c r="BP12" s="54" t="str">
        <f t="shared" si="1"/>
        <v>T</v>
      </c>
      <c r="BQ12" s="54" t="str">
        <f t="shared" si="1"/>
        <v>F</v>
      </c>
      <c r="BR12" s="54" t="str">
        <f t="shared" si="1"/>
        <v>S</v>
      </c>
      <c r="BS12" s="205" t="str">
        <f t="shared" si="1"/>
        <v>S</v>
      </c>
      <c r="BT12" s="206"/>
    </row>
    <row r="13" spans="1:72" x14ac:dyDescent="0.25">
      <c r="B13" s="314">
        <v>1</v>
      </c>
      <c r="C13" s="315" t="s">
        <v>370</v>
      </c>
      <c r="D13" s="316"/>
      <c r="E13" s="317"/>
      <c r="F13" s="318">
        <v>44611</v>
      </c>
      <c r="G13" s="319">
        <v>8</v>
      </c>
      <c r="H13" s="318">
        <f>F13+G13</f>
        <v>44619</v>
      </c>
      <c r="I13" s="318">
        <v>44611</v>
      </c>
      <c r="J13" s="319">
        <v>6</v>
      </c>
      <c r="K13" s="318">
        <f>I13+J13</f>
        <v>44617</v>
      </c>
      <c r="L13" s="320"/>
      <c r="M13" s="349" t="str">
        <f ca="1">IF(AND(TODAY() &gt; F13,N13=0),"OVERDUE",IF(N13=1,"COMPLETE",IF(AND(N13&lt;1,N13&gt;0),"ONGOING",IF(N13=0,"NOT STARTED",""))))</f>
        <v>OVERDUE</v>
      </c>
      <c r="N13" s="321">
        <v>0</v>
      </c>
      <c r="O13" s="104"/>
      <c r="P13" s="124"/>
      <c r="Q13" s="55"/>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55"/>
      <c r="AP13" s="55"/>
      <c r="AQ13" s="55"/>
      <c r="AR13" s="55"/>
      <c r="AS13" s="55"/>
      <c r="AT13" s="55"/>
      <c r="AU13" s="55"/>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row>
    <row r="14" spans="1:72" x14ac:dyDescent="0.25">
      <c r="B14" s="315">
        <v>1.1000000000000001</v>
      </c>
      <c r="C14" s="315" t="s">
        <v>379</v>
      </c>
      <c r="D14" s="316"/>
      <c r="E14" s="317"/>
      <c r="F14" s="318"/>
      <c r="G14" s="319"/>
      <c r="H14" s="318"/>
      <c r="I14" s="318"/>
      <c r="J14" s="319"/>
      <c r="K14" s="318"/>
      <c r="L14" s="320"/>
      <c r="M14" s="349" t="str">
        <f t="shared" ref="M14:M30" ca="1" si="2">IF(AND(TODAY() &gt; F14,N14=0),"OVERDUE",IF(N14=1,"COMPLETE",IF(AND(N14&lt;1,N14&gt;0),"ONGOING",IF(N14=0,"NOT STARTED",""))))</f>
        <v>ONGOING</v>
      </c>
      <c r="N14" s="322">
        <v>0.1</v>
      </c>
      <c r="O14" s="186"/>
      <c r="P14" s="56"/>
      <c r="Q14" s="56"/>
      <c r="R14" s="209"/>
      <c r="S14" s="209"/>
      <c r="T14" s="209"/>
      <c r="U14" s="209"/>
      <c r="V14" s="209"/>
      <c r="W14" s="209"/>
      <c r="X14" s="209"/>
      <c r="Y14" s="209"/>
      <c r="Z14" s="209"/>
      <c r="AA14" s="209"/>
      <c r="AB14" s="209"/>
      <c r="AC14" s="209"/>
      <c r="AD14" s="209"/>
      <c r="AE14" s="209"/>
      <c r="AF14" s="209"/>
      <c r="AG14" s="209"/>
      <c r="AH14" s="209"/>
      <c r="AI14" s="209"/>
      <c r="AJ14" s="209"/>
      <c r="AK14" s="209"/>
      <c r="AL14" s="209"/>
      <c r="AM14" s="209"/>
      <c r="AN14" s="209"/>
      <c r="AO14" s="56"/>
      <c r="AP14" s="56"/>
      <c r="AQ14" s="56"/>
      <c r="AR14" s="56"/>
      <c r="AS14" s="56"/>
      <c r="AT14" s="56"/>
      <c r="AU14" s="56"/>
      <c r="AV14" s="56"/>
      <c r="AW14" s="56"/>
      <c r="AX14" s="56"/>
      <c r="AY14" s="56"/>
      <c r="AZ14" s="56"/>
      <c r="BA14" s="56"/>
      <c r="BB14" s="56"/>
      <c r="BC14" s="56"/>
      <c r="BD14" s="56"/>
      <c r="BE14" s="56"/>
      <c r="BF14" s="56"/>
      <c r="BG14" s="56"/>
      <c r="BH14" s="56"/>
      <c r="BI14" s="56"/>
      <c r="BJ14" s="56"/>
      <c r="BK14" s="56"/>
      <c r="BL14" s="56"/>
      <c r="BM14" s="56"/>
      <c r="BN14" s="56"/>
      <c r="BO14" s="56"/>
      <c r="BP14" s="56"/>
      <c r="BQ14" s="56"/>
      <c r="BR14" s="56"/>
      <c r="BS14" s="56"/>
    </row>
    <row r="15" spans="1:72" x14ac:dyDescent="0.25">
      <c r="B15" s="315">
        <v>1.2</v>
      </c>
      <c r="C15" s="315" t="s">
        <v>380</v>
      </c>
      <c r="D15" s="316"/>
      <c r="E15" s="317"/>
      <c r="F15" s="318"/>
      <c r="G15" s="319"/>
      <c r="H15" s="318"/>
      <c r="I15" s="318"/>
      <c r="J15" s="319"/>
      <c r="K15" s="318"/>
      <c r="L15" s="320"/>
      <c r="M15" s="349" t="str">
        <f t="shared" ca="1" si="2"/>
        <v>ONGOING</v>
      </c>
      <c r="N15" s="322">
        <v>0.1</v>
      </c>
      <c r="O15" s="186"/>
      <c r="P15" s="56"/>
      <c r="Q15" s="56"/>
      <c r="R15" s="209"/>
      <c r="S15" s="209"/>
      <c r="T15" s="209"/>
      <c r="U15" s="209"/>
      <c r="V15" s="209"/>
      <c r="W15" s="209"/>
      <c r="X15" s="209"/>
      <c r="Y15" s="209"/>
      <c r="Z15" s="209"/>
      <c r="AA15" s="209"/>
      <c r="AB15" s="209"/>
      <c r="AC15" s="209"/>
      <c r="AD15" s="209"/>
      <c r="AE15" s="209"/>
      <c r="AF15" s="209"/>
      <c r="AG15" s="209"/>
      <c r="AH15" s="209"/>
      <c r="AI15" s="209"/>
      <c r="AJ15" s="209"/>
      <c r="AK15" s="209"/>
      <c r="AL15" s="209"/>
      <c r="AM15" s="209"/>
      <c r="AN15" s="209"/>
      <c r="AO15" s="56"/>
      <c r="AP15" s="56"/>
      <c r="AQ15" s="56"/>
      <c r="AR15" s="56"/>
      <c r="AS15" s="56"/>
      <c r="AT15" s="56"/>
      <c r="AU15" s="56"/>
      <c r="AV15" s="56"/>
      <c r="AW15" s="56"/>
      <c r="AX15" s="56"/>
      <c r="AY15" s="56"/>
      <c r="AZ15" s="56"/>
      <c r="BA15" s="56"/>
      <c r="BB15" s="56"/>
      <c r="BC15" s="56"/>
      <c r="BD15" s="56"/>
      <c r="BE15" s="56"/>
      <c r="BF15" s="56"/>
      <c r="BG15" s="56"/>
      <c r="BH15" s="56"/>
      <c r="BI15" s="56"/>
      <c r="BJ15" s="56"/>
      <c r="BK15" s="56"/>
      <c r="BL15" s="56"/>
      <c r="BM15" s="56"/>
      <c r="BN15" s="56"/>
      <c r="BO15" s="56"/>
      <c r="BP15" s="56"/>
      <c r="BQ15" s="56"/>
      <c r="BR15" s="56"/>
      <c r="BS15" s="56"/>
    </row>
    <row r="16" spans="1:72" x14ac:dyDescent="0.25">
      <c r="B16" s="315" t="s">
        <v>372</v>
      </c>
      <c r="C16" s="315"/>
      <c r="D16" s="316"/>
      <c r="E16" s="317"/>
      <c r="F16" s="318"/>
      <c r="G16" s="319"/>
      <c r="H16" s="318"/>
      <c r="I16" s="318"/>
      <c r="J16" s="319"/>
      <c r="K16" s="318"/>
      <c r="L16" s="320"/>
      <c r="M16" s="349" t="str">
        <f t="shared" ca="1" si="2"/>
        <v>OVERDUE</v>
      </c>
      <c r="N16" s="322"/>
      <c r="O16" s="186"/>
      <c r="P16" s="56"/>
      <c r="Q16" s="56"/>
      <c r="R16" s="209"/>
      <c r="S16" s="209"/>
      <c r="T16" s="209"/>
      <c r="U16" s="209"/>
      <c r="V16" s="209"/>
      <c r="W16" s="209"/>
      <c r="X16" s="209"/>
      <c r="Y16" s="209"/>
      <c r="Z16" s="209"/>
      <c r="AA16" s="209"/>
      <c r="AB16" s="209"/>
      <c r="AC16" s="209"/>
      <c r="AD16" s="209"/>
      <c r="AE16" s="209"/>
      <c r="AF16" s="209"/>
      <c r="AG16" s="209"/>
      <c r="AH16" s="209"/>
      <c r="AI16" s="209"/>
      <c r="AJ16" s="209"/>
      <c r="AK16" s="209"/>
      <c r="AL16" s="209"/>
      <c r="AM16" s="209"/>
      <c r="AN16" s="209"/>
      <c r="AO16" s="56"/>
      <c r="AP16" s="56"/>
      <c r="AQ16" s="56"/>
      <c r="AR16" s="56"/>
      <c r="AS16" s="56"/>
      <c r="AT16" s="56"/>
      <c r="AU16" s="56"/>
      <c r="AV16" s="56"/>
      <c r="AW16" s="56"/>
      <c r="AX16" s="56"/>
      <c r="AY16" s="56"/>
      <c r="AZ16" s="56"/>
      <c r="BA16" s="56"/>
      <c r="BB16" s="56"/>
      <c r="BC16" s="56"/>
      <c r="BD16" s="56"/>
      <c r="BE16" s="56"/>
      <c r="BF16" s="56"/>
      <c r="BG16" s="56"/>
      <c r="BH16" s="56"/>
      <c r="BI16" s="56"/>
      <c r="BJ16" s="56"/>
      <c r="BK16" s="56"/>
      <c r="BL16" s="56"/>
      <c r="BM16" s="56"/>
      <c r="BN16" s="56"/>
      <c r="BO16" s="56"/>
      <c r="BP16" s="56"/>
      <c r="BQ16" s="56"/>
      <c r="BR16" s="56"/>
      <c r="BS16" s="56"/>
    </row>
    <row r="17" spans="2:71" x14ac:dyDescent="0.25">
      <c r="B17" s="315">
        <v>1.3</v>
      </c>
      <c r="C17" s="315"/>
      <c r="D17" s="316"/>
      <c r="E17" s="317"/>
      <c r="F17" s="318"/>
      <c r="G17" s="319"/>
      <c r="H17" s="318"/>
      <c r="I17" s="318"/>
      <c r="J17" s="319"/>
      <c r="K17" s="318"/>
      <c r="L17" s="320"/>
      <c r="M17" s="349" t="str">
        <f t="shared" ca="1" si="2"/>
        <v>OVERDUE</v>
      </c>
      <c r="N17" s="322"/>
      <c r="O17" s="186"/>
      <c r="P17" s="56"/>
      <c r="Q17" s="56"/>
      <c r="R17" s="209"/>
      <c r="S17" s="209"/>
      <c r="T17" s="209"/>
      <c r="U17" s="209"/>
      <c r="V17" s="209"/>
      <c r="W17" s="209"/>
      <c r="X17" s="209"/>
      <c r="Y17" s="209"/>
      <c r="Z17" s="209"/>
      <c r="AA17" s="209"/>
      <c r="AB17" s="209"/>
      <c r="AC17" s="209"/>
      <c r="AD17" s="209"/>
      <c r="AE17" s="209"/>
      <c r="AF17" s="209"/>
      <c r="AG17" s="209"/>
      <c r="AH17" s="209"/>
      <c r="AI17" s="209"/>
      <c r="AJ17" s="209"/>
      <c r="AK17" s="209"/>
      <c r="AL17" s="209"/>
      <c r="AM17" s="209"/>
      <c r="AN17" s="209"/>
      <c r="AO17" s="56"/>
      <c r="AP17" s="56"/>
      <c r="AQ17" s="56"/>
      <c r="AR17" s="56"/>
      <c r="AS17" s="56"/>
      <c r="AT17" s="56"/>
      <c r="AU17" s="56"/>
      <c r="AV17" s="56"/>
      <c r="AW17" s="56"/>
      <c r="AX17" s="56"/>
      <c r="AY17" s="56"/>
      <c r="AZ17" s="56"/>
      <c r="BA17" s="56"/>
      <c r="BB17" s="56"/>
      <c r="BC17" s="56"/>
      <c r="BD17" s="56"/>
      <c r="BE17" s="56"/>
      <c r="BF17" s="56"/>
      <c r="BG17" s="56"/>
      <c r="BH17" s="56"/>
      <c r="BI17" s="56"/>
      <c r="BJ17" s="56"/>
      <c r="BK17" s="56"/>
      <c r="BL17" s="56"/>
      <c r="BM17" s="56"/>
      <c r="BN17" s="56"/>
      <c r="BO17" s="56"/>
      <c r="BP17" s="56"/>
      <c r="BQ17" s="56"/>
      <c r="BR17" s="56"/>
      <c r="BS17" s="56"/>
    </row>
    <row r="18" spans="2:71" x14ac:dyDescent="0.25">
      <c r="B18" s="315">
        <v>1.4</v>
      </c>
      <c r="C18" s="315"/>
      <c r="D18" s="316"/>
      <c r="E18" s="317"/>
      <c r="F18" s="318"/>
      <c r="G18" s="319"/>
      <c r="H18" s="318"/>
      <c r="I18" s="318"/>
      <c r="J18" s="319"/>
      <c r="K18" s="318"/>
      <c r="L18" s="320"/>
      <c r="M18" s="349" t="str">
        <f t="shared" ca="1" si="2"/>
        <v>OVERDUE</v>
      </c>
      <c r="N18" s="322"/>
      <c r="O18" s="186"/>
      <c r="P18" s="56"/>
      <c r="Q18" s="56"/>
      <c r="R18" s="209"/>
      <c r="S18" s="209"/>
      <c r="T18" s="209"/>
      <c r="U18" s="209"/>
      <c r="V18" s="209"/>
      <c r="W18" s="209"/>
      <c r="X18" s="209"/>
      <c r="Y18" s="209"/>
      <c r="Z18" s="209"/>
      <c r="AA18" s="209"/>
      <c r="AB18" s="209"/>
      <c r="AC18" s="209"/>
      <c r="AD18" s="209"/>
      <c r="AE18" s="209"/>
      <c r="AF18" s="209"/>
      <c r="AG18" s="209"/>
      <c r="AH18" s="209"/>
      <c r="AI18" s="209"/>
      <c r="AJ18" s="209"/>
      <c r="AK18" s="209"/>
      <c r="AL18" s="209"/>
      <c r="AM18" s="209"/>
      <c r="AN18" s="209"/>
      <c r="AO18" s="56"/>
      <c r="AP18" s="56"/>
      <c r="AQ18" s="56"/>
      <c r="AR18" s="56"/>
      <c r="AS18" s="56"/>
      <c r="AT18" s="56"/>
      <c r="AU18" s="56"/>
      <c r="AV18" s="56"/>
      <c r="AW18" s="56"/>
      <c r="AX18" s="56"/>
      <c r="AY18" s="56"/>
      <c r="AZ18" s="56"/>
      <c r="BA18" s="56"/>
      <c r="BB18" s="56"/>
      <c r="BC18" s="56"/>
      <c r="BD18" s="56"/>
      <c r="BE18" s="56"/>
      <c r="BF18" s="56"/>
      <c r="BG18" s="56"/>
      <c r="BH18" s="56"/>
      <c r="BI18" s="56"/>
      <c r="BJ18" s="56"/>
      <c r="BK18" s="56"/>
      <c r="BL18" s="56"/>
      <c r="BM18" s="56"/>
      <c r="BN18" s="56"/>
      <c r="BO18" s="56"/>
      <c r="BP18" s="56"/>
      <c r="BQ18" s="56"/>
      <c r="BR18" s="56"/>
      <c r="BS18" s="56"/>
    </row>
    <row r="19" spans="2:71" x14ac:dyDescent="0.25">
      <c r="B19" s="315">
        <v>2</v>
      </c>
      <c r="C19" s="315"/>
      <c r="D19" s="316"/>
      <c r="E19" s="317"/>
      <c r="F19" s="318"/>
      <c r="G19" s="319"/>
      <c r="H19" s="318"/>
      <c r="I19" s="318"/>
      <c r="J19" s="319"/>
      <c r="K19" s="318"/>
      <c r="L19" s="320"/>
      <c r="M19" s="349" t="str">
        <f t="shared" ca="1" si="2"/>
        <v>OVERDUE</v>
      </c>
      <c r="N19" s="322"/>
      <c r="O19" s="186"/>
      <c r="P19" s="56"/>
      <c r="Q19" s="56"/>
      <c r="R19" s="209"/>
      <c r="S19" s="209"/>
      <c r="T19" s="209"/>
      <c r="U19" s="209"/>
      <c r="V19" s="209"/>
      <c r="W19" s="209"/>
      <c r="X19" s="209"/>
      <c r="Y19" s="209"/>
      <c r="Z19" s="209"/>
      <c r="AA19" s="209"/>
      <c r="AB19" s="209"/>
      <c r="AC19" s="209"/>
      <c r="AD19" s="209"/>
      <c r="AE19" s="209"/>
      <c r="AF19" s="209"/>
      <c r="AG19" s="209"/>
      <c r="AH19" s="209"/>
      <c r="AI19" s="209"/>
      <c r="AJ19" s="209"/>
      <c r="AK19" s="209"/>
      <c r="AL19" s="209"/>
      <c r="AM19" s="209"/>
      <c r="AN19" s="209"/>
      <c r="AO19" s="56"/>
      <c r="AP19" s="56"/>
      <c r="AQ19" s="56"/>
      <c r="AR19" s="56"/>
      <c r="AS19" s="56"/>
      <c r="AT19" s="56"/>
      <c r="AU19" s="56"/>
      <c r="AV19" s="56"/>
      <c r="AW19" s="56"/>
      <c r="AX19" s="56"/>
      <c r="AY19" s="56"/>
      <c r="AZ19" s="56"/>
      <c r="BA19" s="56"/>
      <c r="BB19" s="56"/>
      <c r="BC19" s="56"/>
      <c r="BD19" s="56"/>
      <c r="BE19" s="56"/>
      <c r="BF19" s="56"/>
      <c r="BG19" s="56"/>
      <c r="BH19" s="56"/>
      <c r="BI19" s="56"/>
      <c r="BJ19" s="56"/>
      <c r="BK19" s="56"/>
      <c r="BL19" s="56"/>
      <c r="BM19" s="56"/>
      <c r="BN19" s="56"/>
      <c r="BO19" s="56"/>
      <c r="BP19" s="56"/>
      <c r="BQ19" s="56"/>
      <c r="BR19" s="56"/>
      <c r="BS19" s="56"/>
    </row>
    <row r="20" spans="2:71" x14ac:dyDescent="0.25">
      <c r="B20" s="315">
        <v>2.1</v>
      </c>
      <c r="C20" s="315"/>
      <c r="D20" s="316"/>
      <c r="E20" s="317"/>
      <c r="F20" s="318"/>
      <c r="G20" s="319"/>
      <c r="H20" s="318"/>
      <c r="I20" s="318"/>
      <c r="J20" s="319"/>
      <c r="K20" s="318"/>
      <c r="L20" s="320"/>
      <c r="M20" s="349" t="str">
        <f t="shared" ca="1" si="2"/>
        <v>OVERDUE</v>
      </c>
      <c r="N20" s="322"/>
      <c r="O20" s="186"/>
      <c r="P20" s="56"/>
      <c r="Q20" s="56"/>
      <c r="R20" s="209"/>
      <c r="S20" s="209"/>
      <c r="T20" s="209"/>
      <c r="U20" s="209"/>
      <c r="V20" s="209"/>
      <c r="W20" s="209"/>
      <c r="X20" s="209"/>
      <c r="Y20" s="209"/>
      <c r="Z20" s="209"/>
      <c r="AA20" s="209"/>
      <c r="AB20" s="209"/>
      <c r="AC20" s="209"/>
      <c r="AD20" s="209"/>
      <c r="AE20" s="209"/>
      <c r="AF20" s="209"/>
      <c r="AG20" s="209"/>
      <c r="AH20" s="209"/>
      <c r="AI20" s="209"/>
      <c r="AJ20" s="209"/>
      <c r="AK20" s="209"/>
      <c r="AL20" s="209"/>
      <c r="AM20" s="209"/>
      <c r="AN20" s="209"/>
      <c r="AO20" s="56"/>
      <c r="AP20" s="56"/>
      <c r="AQ20" s="56"/>
      <c r="AR20" s="56"/>
      <c r="AS20" s="56"/>
      <c r="AT20" s="56"/>
      <c r="AU20" s="56"/>
      <c r="AV20" s="56"/>
      <c r="AW20" s="56"/>
      <c r="AX20" s="56"/>
      <c r="AY20" s="56"/>
      <c r="AZ20" s="56"/>
      <c r="BA20" s="56"/>
      <c r="BB20" s="56"/>
      <c r="BC20" s="56"/>
      <c r="BD20" s="56"/>
      <c r="BE20" s="56"/>
      <c r="BF20" s="56"/>
      <c r="BG20" s="56"/>
      <c r="BH20" s="56"/>
      <c r="BI20" s="56"/>
      <c r="BJ20" s="56"/>
      <c r="BK20" s="56"/>
      <c r="BL20" s="56"/>
      <c r="BM20" s="56"/>
      <c r="BN20" s="56"/>
      <c r="BO20" s="56"/>
      <c r="BP20" s="56"/>
      <c r="BQ20" s="56"/>
      <c r="BR20" s="56"/>
      <c r="BS20" s="56"/>
    </row>
    <row r="21" spans="2:71" x14ac:dyDescent="0.25">
      <c r="B21" s="315" t="s">
        <v>154</v>
      </c>
      <c r="C21" s="315"/>
      <c r="D21" s="316"/>
      <c r="E21" s="317"/>
      <c r="F21" s="318"/>
      <c r="G21" s="319"/>
      <c r="H21" s="318"/>
      <c r="I21" s="318"/>
      <c r="J21" s="319"/>
      <c r="K21" s="318"/>
      <c r="L21" s="320"/>
      <c r="M21" s="349" t="str">
        <f t="shared" ca="1" si="2"/>
        <v>OVERDUE</v>
      </c>
      <c r="N21" s="322"/>
      <c r="O21" s="186"/>
      <c r="P21" s="56"/>
      <c r="Q21" s="56"/>
      <c r="R21" s="209"/>
      <c r="S21" s="209"/>
      <c r="T21" s="209"/>
      <c r="U21" s="209"/>
      <c r="V21" s="209"/>
      <c r="W21" s="209"/>
      <c r="X21" s="209"/>
      <c r="Y21" s="209"/>
      <c r="Z21" s="209"/>
      <c r="AA21" s="209"/>
      <c r="AB21" s="209"/>
      <c r="AC21" s="209"/>
      <c r="AD21" s="209"/>
      <c r="AE21" s="209"/>
      <c r="AF21" s="209"/>
      <c r="AG21" s="209"/>
      <c r="AH21" s="209"/>
      <c r="AI21" s="209"/>
      <c r="AJ21" s="209"/>
      <c r="AK21" s="209"/>
      <c r="AL21" s="209"/>
      <c r="AM21" s="209"/>
      <c r="AN21" s="209"/>
      <c r="AO21" s="56"/>
      <c r="AP21" s="56"/>
      <c r="AQ21" s="56"/>
      <c r="AR21" s="56"/>
      <c r="AS21" s="56"/>
      <c r="AT21" s="56"/>
      <c r="AU21" s="56"/>
      <c r="AV21" s="56"/>
      <c r="AW21" s="56"/>
      <c r="AX21" s="56"/>
      <c r="AY21" s="56"/>
      <c r="AZ21" s="56"/>
      <c r="BA21" s="56"/>
      <c r="BB21" s="56"/>
      <c r="BC21" s="56"/>
      <c r="BD21" s="56"/>
      <c r="BE21" s="56"/>
      <c r="BF21" s="56"/>
      <c r="BG21" s="56"/>
      <c r="BH21" s="56"/>
      <c r="BI21" s="56"/>
      <c r="BJ21" s="56"/>
      <c r="BK21" s="56"/>
      <c r="BL21" s="56"/>
      <c r="BM21" s="56"/>
      <c r="BN21" s="56"/>
      <c r="BO21" s="56"/>
      <c r="BP21" s="56"/>
      <c r="BQ21" s="56"/>
      <c r="BR21" s="56"/>
      <c r="BS21" s="56"/>
    </row>
    <row r="22" spans="2:71" x14ac:dyDescent="0.25">
      <c r="B22" s="315">
        <v>3</v>
      </c>
      <c r="C22" s="315"/>
      <c r="D22" s="316"/>
      <c r="E22" s="317"/>
      <c r="F22" s="318"/>
      <c r="G22" s="319"/>
      <c r="H22" s="318"/>
      <c r="I22" s="318"/>
      <c r="J22" s="319"/>
      <c r="K22" s="318"/>
      <c r="L22" s="320"/>
      <c r="M22" s="349" t="str">
        <f t="shared" ca="1" si="2"/>
        <v>OVERDUE</v>
      </c>
      <c r="N22" s="322"/>
      <c r="O22" s="186"/>
      <c r="P22" s="56"/>
      <c r="Q22" s="56"/>
      <c r="R22" s="209"/>
      <c r="S22" s="209"/>
      <c r="T22" s="209"/>
      <c r="U22" s="209"/>
      <c r="V22" s="209"/>
      <c r="W22" s="209"/>
      <c r="X22" s="209"/>
      <c r="Y22" s="209"/>
      <c r="Z22" s="209"/>
      <c r="AA22" s="209"/>
      <c r="AB22" s="209"/>
      <c r="AC22" s="209"/>
      <c r="AD22" s="209"/>
      <c r="AE22" s="209"/>
      <c r="AF22" s="209"/>
      <c r="AG22" s="209"/>
      <c r="AH22" s="209"/>
      <c r="AI22" s="209"/>
      <c r="AJ22" s="209"/>
      <c r="AK22" s="209"/>
      <c r="AL22" s="209"/>
      <c r="AM22" s="209"/>
      <c r="AN22" s="209"/>
      <c r="AO22" s="56"/>
      <c r="AP22" s="56"/>
      <c r="AQ22" s="56"/>
      <c r="AR22" s="56"/>
      <c r="AS22" s="56"/>
      <c r="AT22" s="56"/>
      <c r="AU22" s="56"/>
      <c r="AV22" s="56"/>
      <c r="AW22" s="56"/>
      <c r="AX22" s="56"/>
      <c r="AY22" s="56"/>
      <c r="AZ22" s="56"/>
      <c r="BA22" s="56"/>
      <c r="BB22" s="56"/>
      <c r="BC22" s="56"/>
      <c r="BD22" s="56"/>
      <c r="BE22" s="56"/>
      <c r="BF22" s="56"/>
      <c r="BG22" s="56"/>
      <c r="BH22" s="56"/>
      <c r="BI22" s="56"/>
      <c r="BJ22" s="56"/>
      <c r="BK22" s="56"/>
      <c r="BL22" s="56"/>
      <c r="BM22" s="56"/>
      <c r="BN22" s="56"/>
      <c r="BO22" s="56"/>
      <c r="BP22" s="56"/>
      <c r="BQ22" s="56"/>
      <c r="BR22" s="56"/>
      <c r="BS22" s="56"/>
    </row>
    <row r="23" spans="2:71" x14ac:dyDescent="0.25">
      <c r="B23" s="315">
        <v>3.1</v>
      </c>
      <c r="C23" s="315"/>
      <c r="D23" s="316"/>
      <c r="E23" s="317"/>
      <c r="F23" s="318"/>
      <c r="G23" s="319"/>
      <c r="H23" s="318"/>
      <c r="I23" s="318"/>
      <c r="J23" s="319"/>
      <c r="K23" s="318"/>
      <c r="L23" s="320"/>
      <c r="M23" s="349" t="str">
        <f t="shared" ca="1" si="2"/>
        <v>OVERDUE</v>
      </c>
      <c r="N23" s="322"/>
      <c r="O23" s="186"/>
      <c r="P23" s="56"/>
      <c r="Q23" s="56"/>
      <c r="R23" s="209"/>
      <c r="S23" s="209"/>
      <c r="T23" s="209"/>
      <c r="U23" s="209"/>
      <c r="V23" s="209"/>
      <c r="W23" s="209"/>
      <c r="X23" s="209"/>
      <c r="Y23" s="209"/>
      <c r="Z23" s="209"/>
      <c r="AA23" s="209"/>
      <c r="AB23" s="209"/>
      <c r="AC23" s="209"/>
      <c r="AD23" s="209"/>
      <c r="AE23" s="209"/>
      <c r="AF23" s="209"/>
      <c r="AG23" s="209"/>
      <c r="AH23" s="209"/>
      <c r="AI23" s="209"/>
      <c r="AJ23" s="209"/>
      <c r="AK23" s="209"/>
      <c r="AL23" s="209"/>
      <c r="AM23" s="209"/>
      <c r="AN23" s="209"/>
      <c r="AO23" s="56"/>
      <c r="AP23" s="56"/>
      <c r="AQ23" s="56"/>
      <c r="AR23" s="56"/>
      <c r="AS23" s="56"/>
      <c r="AT23" s="56"/>
      <c r="AU23" s="56"/>
      <c r="AV23" s="56"/>
      <c r="AW23" s="56"/>
      <c r="AX23" s="56"/>
      <c r="AY23" s="56"/>
      <c r="AZ23" s="56"/>
      <c r="BA23" s="56"/>
      <c r="BB23" s="56"/>
      <c r="BC23" s="56"/>
      <c r="BD23" s="56"/>
      <c r="BE23" s="56"/>
      <c r="BF23" s="56"/>
      <c r="BG23" s="56"/>
      <c r="BH23" s="56"/>
      <c r="BI23" s="56"/>
      <c r="BJ23" s="56"/>
      <c r="BK23" s="56"/>
      <c r="BL23" s="56"/>
      <c r="BM23" s="56"/>
      <c r="BN23" s="56"/>
      <c r="BO23" s="56"/>
      <c r="BP23" s="56"/>
      <c r="BQ23" s="56"/>
      <c r="BR23" s="56"/>
      <c r="BS23" s="56"/>
    </row>
    <row r="24" spans="2:71" x14ac:dyDescent="0.25">
      <c r="B24" s="315" t="s">
        <v>160</v>
      </c>
      <c r="C24" s="315"/>
      <c r="D24" s="316"/>
      <c r="E24" s="317"/>
      <c r="F24" s="318"/>
      <c r="G24" s="319"/>
      <c r="H24" s="318"/>
      <c r="I24" s="318"/>
      <c r="J24" s="319"/>
      <c r="K24" s="318"/>
      <c r="L24" s="320"/>
      <c r="M24" s="349" t="str">
        <f t="shared" ca="1" si="2"/>
        <v>OVERDUE</v>
      </c>
      <c r="N24" s="322"/>
      <c r="O24" s="186"/>
      <c r="P24" s="56"/>
      <c r="Q24" s="56"/>
      <c r="R24" s="209"/>
      <c r="S24" s="209"/>
      <c r="T24" s="209"/>
      <c r="U24" s="209"/>
      <c r="V24" s="209"/>
      <c r="W24" s="209"/>
      <c r="X24" s="209"/>
      <c r="Y24" s="209"/>
      <c r="Z24" s="209"/>
      <c r="AA24" s="209"/>
      <c r="AB24" s="209"/>
      <c r="AC24" s="209"/>
      <c r="AD24" s="209"/>
      <c r="AE24" s="209"/>
      <c r="AF24" s="209"/>
      <c r="AG24" s="209"/>
      <c r="AH24" s="209"/>
      <c r="AI24" s="209"/>
      <c r="AJ24" s="209"/>
      <c r="AK24" s="209"/>
      <c r="AL24" s="209"/>
      <c r="AM24" s="209"/>
      <c r="AN24" s="209"/>
      <c r="AO24" s="56"/>
      <c r="AP24" s="56"/>
      <c r="AQ24" s="56"/>
      <c r="AR24" s="56"/>
      <c r="AS24" s="56"/>
      <c r="AT24" s="56"/>
      <c r="AU24" s="56"/>
      <c r="AV24" s="56"/>
      <c r="AW24" s="56"/>
      <c r="AX24" s="56"/>
      <c r="AY24" s="56"/>
      <c r="AZ24" s="56"/>
      <c r="BA24" s="56"/>
      <c r="BB24" s="56"/>
      <c r="BC24" s="56"/>
      <c r="BD24" s="56"/>
      <c r="BE24" s="56"/>
      <c r="BF24" s="56"/>
      <c r="BG24" s="56"/>
      <c r="BH24" s="56"/>
      <c r="BI24" s="56"/>
      <c r="BJ24" s="56"/>
      <c r="BK24" s="56"/>
      <c r="BL24" s="56"/>
      <c r="BM24" s="56"/>
      <c r="BN24" s="56"/>
      <c r="BO24" s="56"/>
      <c r="BP24" s="56"/>
      <c r="BQ24" s="56"/>
      <c r="BR24" s="56"/>
      <c r="BS24" s="56"/>
    </row>
    <row r="25" spans="2:71" x14ac:dyDescent="0.25">
      <c r="B25" s="315">
        <v>4</v>
      </c>
      <c r="C25" s="315"/>
      <c r="D25" s="316"/>
      <c r="E25" s="317"/>
      <c r="F25" s="318"/>
      <c r="G25" s="319"/>
      <c r="H25" s="318"/>
      <c r="I25" s="318"/>
      <c r="J25" s="319"/>
      <c r="K25" s="318"/>
      <c r="L25" s="320"/>
      <c r="M25" s="349" t="str">
        <f t="shared" ca="1" si="2"/>
        <v>OVERDUE</v>
      </c>
      <c r="N25" s="322"/>
      <c r="O25" s="186"/>
      <c r="P25" s="56"/>
      <c r="Q25" s="56"/>
      <c r="R25" s="209"/>
      <c r="S25" s="209"/>
      <c r="T25" s="209"/>
      <c r="U25" s="209"/>
      <c r="V25" s="209"/>
      <c r="W25" s="209"/>
      <c r="X25" s="209"/>
      <c r="Y25" s="209"/>
      <c r="Z25" s="209"/>
      <c r="AA25" s="209"/>
      <c r="AB25" s="209"/>
      <c r="AC25" s="209"/>
      <c r="AD25" s="209"/>
      <c r="AE25" s="209"/>
      <c r="AF25" s="209"/>
      <c r="AG25" s="209"/>
      <c r="AH25" s="209"/>
      <c r="AI25" s="209"/>
      <c r="AJ25" s="209"/>
      <c r="AK25" s="209"/>
      <c r="AL25" s="209"/>
      <c r="AM25" s="209"/>
      <c r="AN25" s="209"/>
      <c r="AO25" s="56"/>
      <c r="AP25" s="56"/>
      <c r="AQ25" s="56"/>
      <c r="AR25" s="56"/>
      <c r="AS25" s="56"/>
      <c r="AT25" s="56"/>
      <c r="AU25" s="56"/>
      <c r="AV25" s="56"/>
      <c r="AW25" s="56"/>
      <c r="AX25" s="56"/>
      <c r="AY25" s="56"/>
      <c r="AZ25" s="56"/>
      <c r="BA25" s="56"/>
      <c r="BB25" s="56"/>
      <c r="BC25" s="56"/>
      <c r="BD25" s="56"/>
      <c r="BE25" s="56"/>
      <c r="BF25" s="56"/>
      <c r="BG25" s="56"/>
      <c r="BH25" s="56"/>
      <c r="BI25" s="56"/>
      <c r="BJ25" s="56"/>
      <c r="BK25" s="56"/>
      <c r="BL25" s="56"/>
      <c r="BM25" s="56"/>
      <c r="BN25" s="56"/>
      <c r="BO25" s="56"/>
      <c r="BP25" s="56"/>
      <c r="BQ25" s="56"/>
      <c r="BR25" s="56"/>
      <c r="BS25" s="56"/>
    </row>
    <row r="26" spans="2:71" x14ac:dyDescent="0.25">
      <c r="B26" s="315">
        <v>4.0999999999999996</v>
      </c>
      <c r="C26" s="315"/>
      <c r="D26" s="316"/>
      <c r="E26" s="317"/>
      <c r="F26" s="318"/>
      <c r="G26" s="319"/>
      <c r="H26" s="318"/>
      <c r="I26" s="318"/>
      <c r="J26" s="319"/>
      <c r="K26" s="318"/>
      <c r="L26" s="320"/>
      <c r="M26" s="349" t="str">
        <f t="shared" ca="1" si="2"/>
        <v>OVERDUE</v>
      </c>
      <c r="N26" s="322"/>
      <c r="O26" s="186"/>
      <c r="P26" s="56"/>
      <c r="Q26" s="56"/>
      <c r="R26" s="209"/>
      <c r="S26" s="209"/>
      <c r="T26" s="209"/>
      <c r="U26" s="209"/>
      <c r="V26" s="209"/>
      <c r="W26" s="209"/>
      <c r="X26" s="209"/>
      <c r="Y26" s="209"/>
      <c r="Z26" s="209"/>
      <c r="AA26" s="209"/>
      <c r="AB26" s="209"/>
      <c r="AC26" s="209"/>
      <c r="AD26" s="209"/>
      <c r="AE26" s="209"/>
      <c r="AF26" s="209"/>
      <c r="AG26" s="209"/>
      <c r="AH26" s="209"/>
      <c r="AI26" s="209"/>
      <c r="AJ26" s="209"/>
      <c r="AK26" s="209"/>
      <c r="AL26" s="209"/>
      <c r="AM26" s="209"/>
      <c r="AN26" s="209"/>
      <c r="AO26" s="56"/>
      <c r="AP26" s="56"/>
      <c r="AQ26" s="56"/>
      <c r="AR26" s="56"/>
      <c r="AS26" s="56"/>
      <c r="AT26" s="56"/>
      <c r="AU26" s="56"/>
      <c r="AV26" s="56"/>
      <c r="AW26" s="56"/>
      <c r="AX26" s="56"/>
      <c r="AY26" s="56"/>
      <c r="AZ26" s="56"/>
      <c r="BA26" s="56"/>
      <c r="BB26" s="56"/>
      <c r="BC26" s="56"/>
      <c r="BD26" s="56"/>
      <c r="BE26" s="56"/>
      <c r="BF26" s="56"/>
      <c r="BG26" s="56"/>
      <c r="BH26" s="56"/>
      <c r="BI26" s="56"/>
      <c r="BJ26" s="56"/>
      <c r="BK26" s="56"/>
      <c r="BL26" s="56"/>
      <c r="BM26" s="56"/>
      <c r="BN26" s="56"/>
      <c r="BO26" s="56"/>
      <c r="BP26" s="56"/>
      <c r="BQ26" s="56"/>
      <c r="BR26" s="56"/>
      <c r="BS26" s="56"/>
    </row>
    <row r="27" spans="2:71" x14ac:dyDescent="0.25">
      <c r="B27" s="315" t="s">
        <v>168</v>
      </c>
      <c r="C27" s="315"/>
      <c r="D27" s="316"/>
      <c r="E27" s="317"/>
      <c r="F27" s="318"/>
      <c r="G27" s="319"/>
      <c r="H27" s="318"/>
      <c r="I27" s="318"/>
      <c r="J27" s="319"/>
      <c r="K27" s="318"/>
      <c r="L27" s="320"/>
      <c r="M27" s="349" t="str">
        <f t="shared" ca="1" si="2"/>
        <v>OVERDUE</v>
      </c>
      <c r="N27" s="322"/>
      <c r="O27" s="186"/>
      <c r="P27" s="56"/>
      <c r="Q27" s="56"/>
      <c r="R27" s="209"/>
      <c r="S27" s="209"/>
      <c r="T27" s="209"/>
      <c r="U27" s="209"/>
      <c r="V27" s="209"/>
      <c r="W27" s="209"/>
      <c r="X27" s="209"/>
      <c r="Y27" s="209"/>
      <c r="Z27" s="209"/>
      <c r="AA27" s="209"/>
      <c r="AB27" s="209"/>
      <c r="AC27" s="209"/>
      <c r="AD27" s="209"/>
      <c r="AE27" s="209"/>
      <c r="AF27" s="209"/>
      <c r="AG27" s="209"/>
      <c r="AH27" s="209"/>
      <c r="AI27" s="209"/>
      <c r="AJ27" s="209"/>
      <c r="AK27" s="209"/>
      <c r="AL27" s="209"/>
      <c r="AM27" s="209"/>
      <c r="AN27" s="209"/>
      <c r="AO27" s="56"/>
      <c r="AP27" s="56"/>
      <c r="AQ27" s="56"/>
      <c r="AR27" s="56"/>
      <c r="AS27" s="56"/>
      <c r="AT27" s="56"/>
      <c r="AU27" s="56"/>
      <c r="AV27" s="56"/>
      <c r="AW27" s="56"/>
      <c r="AX27" s="56"/>
      <c r="AY27" s="56"/>
      <c r="AZ27" s="56"/>
      <c r="BA27" s="56"/>
      <c r="BB27" s="56"/>
      <c r="BC27" s="56"/>
      <c r="BD27" s="56"/>
      <c r="BE27" s="56"/>
      <c r="BF27" s="56"/>
      <c r="BG27" s="56"/>
      <c r="BH27" s="56"/>
      <c r="BI27" s="56"/>
      <c r="BJ27" s="56"/>
      <c r="BK27" s="56"/>
      <c r="BL27" s="56"/>
      <c r="BM27" s="56"/>
      <c r="BN27" s="56"/>
      <c r="BO27" s="56"/>
      <c r="BP27" s="56"/>
      <c r="BQ27" s="56"/>
      <c r="BR27" s="56"/>
      <c r="BS27" s="56"/>
    </row>
    <row r="28" spans="2:71" x14ac:dyDescent="0.25">
      <c r="B28" s="315">
        <v>5</v>
      </c>
      <c r="C28" s="315"/>
      <c r="D28" s="316"/>
      <c r="E28" s="317"/>
      <c r="F28" s="318"/>
      <c r="G28" s="319"/>
      <c r="H28" s="318"/>
      <c r="I28" s="318"/>
      <c r="J28" s="319"/>
      <c r="K28" s="318"/>
      <c r="L28" s="320"/>
      <c r="M28" s="349" t="str">
        <f t="shared" ca="1" si="2"/>
        <v>OVERDUE</v>
      </c>
      <c r="N28" s="322"/>
      <c r="O28" s="186"/>
      <c r="P28" s="56"/>
      <c r="Q28" s="56"/>
      <c r="R28" s="209"/>
      <c r="S28" s="209"/>
      <c r="T28" s="209"/>
      <c r="U28" s="209"/>
      <c r="V28" s="209"/>
      <c r="W28" s="209"/>
      <c r="X28" s="209"/>
      <c r="Y28" s="209"/>
      <c r="Z28" s="209"/>
      <c r="AA28" s="209"/>
      <c r="AB28" s="209"/>
      <c r="AC28" s="209"/>
      <c r="AD28" s="209"/>
      <c r="AE28" s="209"/>
      <c r="AF28" s="209"/>
      <c r="AG28" s="209"/>
      <c r="AH28" s="209"/>
      <c r="AI28" s="209"/>
      <c r="AJ28" s="209"/>
      <c r="AK28" s="209"/>
      <c r="AL28" s="209"/>
      <c r="AM28" s="209"/>
      <c r="AN28" s="209"/>
      <c r="AO28" s="56"/>
      <c r="AP28" s="56"/>
      <c r="AQ28" s="56"/>
      <c r="AR28" s="56"/>
      <c r="AS28" s="56"/>
      <c r="AT28" s="56"/>
      <c r="AU28" s="56"/>
      <c r="AV28" s="56"/>
      <c r="AW28" s="56"/>
      <c r="AX28" s="56"/>
      <c r="AY28" s="56"/>
      <c r="AZ28" s="56"/>
      <c r="BA28" s="56"/>
      <c r="BB28" s="56"/>
      <c r="BC28" s="56"/>
      <c r="BD28" s="56"/>
      <c r="BE28" s="56"/>
      <c r="BF28" s="56"/>
      <c r="BG28" s="56"/>
      <c r="BH28" s="56"/>
      <c r="BI28" s="56"/>
      <c r="BJ28" s="56"/>
      <c r="BK28" s="56"/>
      <c r="BL28" s="56"/>
      <c r="BM28" s="56"/>
      <c r="BN28" s="56"/>
      <c r="BO28" s="56"/>
      <c r="BP28" s="56"/>
      <c r="BQ28" s="56"/>
      <c r="BR28" s="56"/>
      <c r="BS28" s="56"/>
    </row>
    <row r="29" spans="2:71" x14ac:dyDescent="0.25">
      <c r="B29" s="315">
        <v>5.0999999999999996</v>
      </c>
      <c r="C29" s="315"/>
      <c r="D29" s="316"/>
      <c r="E29" s="317"/>
      <c r="F29" s="318"/>
      <c r="G29" s="319"/>
      <c r="H29" s="318"/>
      <c r="I29" s="318"/>
      <c r="J29" s="319"/>
      <c r="K29" s="318"/>
      <c r="L29" s="320"/>
      <c r="M29" s="349" t="str">
        <f t="shared" ca="1" si="2"/>
        <v>OVERDUE</v>
      </c>
      <c r="N29" s="322"/>
      <c r="O29" s="186"/>
      <c r="P29" s="56"/>
      <c r="Q29" s="56"/>
      <c r="R29" s="209"/>
      <c r="S29" s="209"/>
      <c r="T29" s="209"/>
      <c r="U29" s="209"/>
      <c r="V29" s="209"/>
      <c r="W29" s="209"/>
      <c r="X29" s="209"/>
      <c r="Y29" s="209"/>
      <c r="Z29" s="209"/>
      <c r="AA29" s="209"/>
      <c r="AB29" s="209"/>
      <c r="AC29" s="209"/>
      <c r="AD29" s="209"/>
      <c r="AE29" s="209"/>
      <c r="AF29" s="209"/>
      <c r="AG29" s="209"/>
      <c r="AH29" s="209"/>
      <c r="AI29" s="209"/>
      <c r="AJ29" s="209"/>
      <c r="AK29" s="209"/>
      <c r="AL29" s="209"/>
      <c r="AM29" s="209"/>
      <c r="AN29" s="209"/>
      <c r="AO29" s="56"/>
      <c r="AP29" s="56"/>
      <c r="AQ29" s="56"/>
      <c r="AR29" s="56"/>
      <c r="AS29" s="56"/>
      <c r="AT29" s="56"/>
      <c r="AU29" s="56"/>
      <c r="AV29" s="56"/>
      <c r="AW29" s="56"/>
      <c r="AX29" s="56"/>
      <c r="AY29" s="56"/>
      <c r="AZ29" s="56"/>
      <c r="BA29" s="56"/>
      <c r="BB29" s="56"/>
      <c r="BC29" s="56"/>
      <c r="BD29" s="56"/>
      <c r="BE29" s="56"/>
      <c r="BF29" s="56"/>
      <c r="BG29" s="56"/>
      <c r="BH29" s="56"/>
      <c r="BI29" s="56"/>
      <c r="BJ29" s="56"/>
      <c r="BK29" s="56"/>
      <c r="BL29" s="56"/>
      <c r="BM29" s="56"/>
      <c r="BN29" s="56"/>
      <c r="BO29" s="56"/>
      <c r="BP29" s="56"/>
      <c r="BQ29" s="56"/>
      <c r="BR29" s="56"/>
      <c r="BS29" s="56"/>
    </row>
    <row r="30" spans="2:71" x14ac:dyDescent="0.25">
      <c r="B30" s="315" t="s">
        <v>172</v>
      </c>
      <c r="C30" s="315"/>
      <c r="D30" s="316"/>
      <c r="E30" s="317"/>
      <c r="F30" s="318"/>
      <c r="G30" s="319"/>
      <c r="H30" s="318"/>
      <c r="I30" s="318"/>
      <c r="J30" s="319"/>
      <c r="K30" s="318"/>
      <c r="L30" s="320"/>
      <c r="M30" s="349" t="str">
        <f t="shared" ca="1" si="2"/>
        <v>OVERDUE</v>
      </c>
      <c r="N30" s="322"/>
      <c r="O30" s="186"/>
      <c r="P30" s="56"/>
      <c r="Q30" s="56"/>
      <c r="R30" s="209"/>
      <c r="S30" s="209"/>
      <c r="T30" s="209"/>
      <c r="U30" s="209"/>
      <c r="V30" s="209"/>
      <c r="W30" s="209"/>
      <c r="X30" s="209"/>
      <c r="Y30" s="209"/>
      <c r="Z30" s="209"/>
      <c r="AA30" s="209"/>
      <c r="AB30" s="209"/>
      <c r="AC30" s="209"/>
      <c r="AD30" s="209"/>
      <c r="AE30" s="209"/>
      <c r="AF30" s="209"/>
      <c r="AG30" s="209"/>
      <c r="AH30" s="209"/>
      <c r="AI30" s="209"/>
      <c r="AJ30" s="209"/>
      <c r="AK30" s="209"/>
      <c r="AL30" s="209"/>
      <c r="AM30" s="209"/>
      <c r="AN30" s="209"/>
      <c r="AO30" s="56"/>
      <c r="AP30" s="56"/>
      <c r="AQ30" s="56"/>
      <c r="AR30" s="56"/>
      <c r="AS30" s="56"/>
      <c r="AT30" s="56"/>
      <c r="AU30" s="56"/>
      <c r="AV30" s="56"/>
      <c r="AW30" s="56"/>
      <c r="AX30" s="56"/>
      <c r="AY30" s="56"/>
      <c r="AZ30" s="56"/>
      <c r="BA30" s="56"/>
      <c r="BB30" s="56"/>
      <c r="BC30" s="56"/>
      <c r="BD30" s="56"/>
      <c r="BE30" s="56"/>
      <c r="BF30" s="56"/>
      <c r="BG30" s="56"/>
      <c r="BH30" s="56"/>
      <c r="BI30" s="56"/>
      <c r="BJ30" s="56"/>
      <c r="BK30" s="56"/>
      <c r="BL30" s="56"/>
      <c r="BM30" s="56"/>
      <c r="BN30" s="56"/>
      <c r="BO30" s="56"/>
      <c r="BP30" s="56"/>
      <c r="BQ30" s="56"/>
      <c r="BR30" s="56"/>
      <c r="BS30" s="56"/>
    </row>
    <row r="31" spans="2:71" x14ac:dyDescent="0.25">
      <c r="B31" s="315"/>
      <c r="C31" s="315"/>
      <c r="D31" s="316"/>
      <c r="E31" s="317"/>
      <c r="F31" s="318"/>
      <c r="G31" s="319"/>
      <c r="H31" s="318"/>
      <c r="I31" s="318"/>
      <c r="J31" s="319"/>
      <c r="K31" s="318"/>
      <c r="L31" s="320"/>
      <c r="M31" s="349"/>
      <c r="N31" s="322"/>
      <c r="O31" s="186"/>
      <c r="P31" s="56"/>
      <c r="Q31" s="56"/>
      <c r="R31" s="209"/>
      <c r="S31" s="209"/>
      <c r="T31" s="209"/>
      <c r="U31" s="209"/>
      <c r="V31" s="209"/>
      <c r="W31" s="209"/>
      <c r="X31" s="209"/>
      <c r="Y31" s="209"/>
      <c r="Z31" s="209"/>
      <c r="AA31" s="209"/>
      <c r="AB31" s="209"/>
      <c r="AC31" s="209"/>
      <c r="AD31" s="209"/>
      <c r="AE31" s="209"/>
      <c r="AF31" s="209"/>
      <c r="AG31" s="209"/>
      <c r="AH31" s="209"/>
      <c r="AI31" s="209"/>
      <c r="AJ31" s="209"/>
      <c r="AK31" s="209"/>
      <c r="AL31" s="209"/>
      <c r="AM31" s="209"/>
      <c r="AN31" s="209"/>
      <c r="AO31" s="56"/>
      <c r="AP31" s="56"/>
      <c r="AQ31" s="56"/>
      <c r="AR31" s="56"/>
      <c r="AS31" s="56"/>
      <c r="AT31" s="56"/>
      <c r="AU31" s="56"/>
      <c r="AV31" s="56"/>
      <c r="AW31" s="56"/>
      <c r="AX31" s="56"/>
      <c r="AY31" s="56"/>
      <c r="AZ31" s="56"/>
      <c r="BA31" s="56"/>
      <c r="BB31" s="56"/>
      <c r="BC31" s="56"/>
      <c r="BD31" s="56"/>
      <c r="BE31" s="56"/>
      <c r="BF31" s="56"/>
      <c r="BG31" s="56"/>
      <c r="BH31" s="56"/>
      <c r="BI31" s="56"/>
      <c r="BJ31" s="56"/>
      <c r="BK31" s="56"/>
      <c r="BL31" s="56"/>
      <c r="BM31" s="56"/>
      <c r="BN31" s="56"/>
      <c r="BO31" s="56"/>
      <c r="BP31" s="56"/>
      <c r="BQ31" s="56"/>
      <c r="BR31" s="56"/>
      <c r="BS31" s="56"/>
    </row>
    <row r="32" spans="2:71" x14ac:dyDescent="0.25">
      <c r="B32" s="315"/>
      <c r="C32" s="315"/>
      <c r="D32" s="316"/>
      <c r="E32" s="317"/>
      <c r="F32" s="318"/>
      <c r="G32" s="319"/>
      <c r="H32" s="318"/>
      <c r="I32" s="318"/>
      <c r="J32" s="319"/>
      <c r="K32" s="318"/>
      <c r="L32" s="320"/>
      <c r="M32" s="349"/>
      <c r="N32" s="322"/>
      <c r="O32" s="186"/>
      <c r="P32" s="56"/>
      <c r="Q32" s="56"/>
      <c r="R32" s="209"/>
      <c r="S32" s="209"/>
      <c r="T32" s="209"/>
      <c r="U32" s="209"/>
      <c r="V32" s="209"/>
      <c r="W32" s="209"/>
      <c r="X32" s="209"/>
      <c r="Y32" s="209"/>
      <c r="Z32" s="209"/>
      <c r="AA32" s="209"/>
      <c r="AB32" s="209"/>
      <c r="AC32" s="209"/>
      <c r="AD32" s="209"/>
      <c r="AE32" s="209"/>
      <c r="AF32" s="209"/>
      <c r="AG32" s="209"/>
      <c r="AH32" s="209"/>
      <c r="AI32" s="209"/>
      <c r="AJ32" s="209"/>
      <c r="AK32" s="209"/>
      <c r="AL32" s="209"/>
      <c r="AM32" s="209"/>
      <c r="AN32" s="209"/>
      <c r="AO32" s="56"/>
      <c r="AP32" s="56"/>
      <c r="AQ32" s="56"/>
      <c r="AR32" s="56"/>
      <c r="AS32" s="56"/>
      <c r="AT32" s="56"/>
      <c r="AU32" s="56"/>
      <c r="AV32" s="56"/>
      <c r="AW32" s="56"/>
      <c r="AX32" s="56"/>
      <c r="AY32" s="56"/>
      <c r="AZ32" s="56"/>
      <c r="BA32" s="56"/>
      <c r="BB32" s="56"/>
      <c r="BC32" s="56"/>
      <c r="BD32" s="56"/>
      <c r="BE32" s="56"/>
      <c r="BF32" s="56"/>
      <c r="BG32" s="56"/>
      <c r="BH32" s="56"/>
      <c r="BI32" s="56"/>
      <c r="BJ32" s="56"/>
      <c r="BK32" s="56"/>
      <c r="BL32" s="56"/>
      <c r="BM32" s="56"/>
      <c r="BN32" s="56"/>
      <c r="BO32" s="56"/>
      <c r="BP32" s="56"/>
      <c r="BQ32" s="56"/>
      <c r="BR32" s="56"/>
      <c r="BS32" s="56"/>
    </row>
    <row r="33" spans="2:71" x14ac:dyDescent="0.25">
      <c r="B33" s="315"/>
      <c r="C33" s="315"/>
      <c r="D33" s="316"/>
      <c r="E33" s="317"/>
      <c r="F33" s="318"/>
      <c r="G33" s="319"/>
      <c r="H33" s="318"/>
      <c r="I33" s="318"/>
      <c r="J33" s="319"/>
      <c r="K33" s="318"/>
      <c r="L33" s="320"/>
      <c r="M33" s="349"/>
      <c r="N33" s="322"/>
      <c r="O33" s="186"/>
      <c r="P33" s="56"/>
      <c r="Q33" s="56"/>
      <c r="R33" s="209"/>
      <c r="S33" s="209"/>
      <c r="T33" s="209"/>
      <c r="U33" s="209"/>
      <c r="V33" s="209"/>
      <c r="W33" s="209"/>
      <c r="X33" s="209"/>
      <c r="Y33" s="209"/>
      <c r="Z33" s="209"/>
      <c r="AA33" s="209"/>
      <c r="AB33" s="209"/>
      <c r="AC33" s="209"/>
      <c r="AD33" s="209"/>
      <c r="AE33" s="209"/>
      <c r="AF33" s="209"/>
      <c r="AG33" s="209"/>
      <c r="AH33" s="209"/>
      <c r="AI33" s="209"/>
      <c r="AJ33" s="209"/>
      <c r="AK33" s="209"/>
      <c r="AL33" s="209"/>
      <c r="AM33" s="209"/>
      <c r="AN33" s="209"/>
      <c r="AO33" s="56"/>
      <c r="AP33" s="56"/>
      <c r="AQ33" s="56"/>
      <c r="AR33" s="56"/>
      <c r="AS33" s="56"/>
      <c r="AT33" s="56"/>
      <c r="AU33" s="56"/>
      <c r="AV33" s="56"/>
      <c r="AW33" s="56"/>
      <c r="AX33" s="56"/>
      <c r="AY33" s="56"/>
      <c r="AZ33" s="56"/>
      <c r="BA33" s="56"/>
      <c r="BB33" s="56"/>
      <c r="BC33" s="56"/>
      <c r="BD33" s="56"/>
      <c r="BE33" s="56"/>
      <c r="BF33" s="56"/>
      <c r="BG33" s="56"/>
      <c r="BH33" s="56"/>
      <c r="BI33" s="56"/>
      <c r="BJ33" s="56"/>
      <c r="BK33" s="56"/>
      <c r="BL33" s="56"/>
      <c r="BM33" s="56"/>
      <c r="BN33" s="56"/>
      <c r="BO33" s="56"/>
      <c r="BP33" s="56"/>
      <c r="BQ33" s="56"/>
      <c r="BR33" s="56"/>
      <c r="BS33" s="56"/>
    </row>
    <row r="34" spans="2:71" x14ac:dyDescent="0.25">
      <c r="B34" s="315"/>
      <c r="C34" s="315"/>
      <c r="D34" s="316"/>
      <c r="E34" s="317"/>
      <c r="F34" s="318"/>
      <c r="G34" s="319"/>
      <c r="H34" s="318"/>
      <c r="I34" s="318"/>
      <c r="J34" s="319"/>
      <c r="K34" s="318"/>
      <c r="L34" s="320"/>
      <c r="M34" s="349"/>
      <c r="N34" s="322"/>
      <c r="O34" s="186"/>
      <c r="P34" s="56"/>
      <c r="Q34" s="56"/>
      <c r="R34" s="209"/>
      <c r="S34" s="209"/>
      <c r="T34" s="209"/>
      <c r="U34" s="209"/>
      <c r="V34" s="209"/>
      <c r="W34" s="209"/>
      <c r="X34" s="209"/>
      <c r="Y34" s="209"/>
      <c r="Z34" s="209"/>
      <c r="AA34" s="209"/>
      <c r="AB34" s="209"/>
      <c r="AC34" s="209"/>
      <c r="AD34" s="209"/>
      <c r="AE34" s="209"/>
      <c r="AF34" s="209"/>
      <c r="AG34" s="209"/>
      <c r="AH34" s="209"/>
      <c r="AI34" s="209"/>
      <c r="AJ34" s="209"/>
      <c r="AK34" s="209"/>
      <c r="AL34" s="209"/>
      <c r="AM34" s="209"/>
      <c r="AN34" s="209"/>
      <c r="AO34" s="56"/>
      <c r="AP34" s="56"/>
      <c r="AQ34" s="56"/>
      <c r="AR34" s="56"/>
      <c r="AS34" s="56"/>
      <c r="AT34" s="56"/>
      <c r="AU34" s="56"/>
      <c r="AV34" s="56"/>
      <c r="AW34" s="56"/>
      <c r="AX34" s="56"/>
      <c r="AY34" s="56"/>
      <c r="AZ34" s="56"/>
      <c r="BA34" s="56"/>
      <c r="BB34" s="56"/>
      <c r="BC34" s="56"/>
      <c r="BD34" s="56"/>
      <c r="BE34" s="56"/>
      <c r="BF34" s="56"/>
      <c r="BG34" s="56"/>
      <c r="BH34" s="56"/>
      <c r="BI34" s="56"/>
      <c r="BJ34" s="56"/>
      <c r="BK34" s="56"/>
      <c r="BL34" s="56"/>
      <c r="BM34" s="56"/>
      <c r="BN34" s="56"/>
      <c r="BO34" s="56"/>
      <c r="BP34" s="56"/>
      <c r="BQ34" s="56"/>
      <c r="BR34" s="56"/>
      <c r="BS34" s="56"/>
    </row>
    <row r="35" spans="2:71" x14ac:dyDescent="0.25">
      <c r="B35" s="315"/>
      <c r="C35" s="315"/>
      <c r="D35" s="316"/>
      <c r="E35" s="317"/>
      <c r="F35" s="318"/>
      <c r="G35" s="319"/>
      <c r="H35" s="318"/>
      <c r="I35" s="318"/>
      <c r="J35" s="319"/>
      <c r="K35" s="318"/>
      <c r="L35" s="320"/>
      <c r="M35" s="349"/>
      <c r="N35" s="322"/>
      <c r="O35" s="186"/>
      <c r="P35" s="56"/>
      <c r="Q35" s="56"/>
      <c r="R35" s="209"/>
      <c r="S35" s="209"/>
      <c r="T35" s="209"/>
      <c r="U35" s="209"/>
      <c r="V35" s="209"/>
      <c r="W35" s="209"/>
      <c r="X35" s="209"/>
      <c r="Y35" s="209"/>
      <c r="Z35" s="209"/>
      <c r="AA35" s="209"/>
      <c r="AB35" s="209"/>
      <c r="AC35" s="209"/>
      <c r="AD35" s="209"/>
      <c r="AE35" s="209"/>
      <c r="AF35" s="209"/>
      <c r="AG35" s="209"/>
      <c r="AH35" s="209"/>
      <c r="AI35" s="209"/>
      <c r="AJ35" s="209"/>
      <c r="AK35" s="209"/>
      <c r="AL35" s="209"/>
      <c r="AM35" s="209"/>
      <c r="AN35" s="209"/>
      <c r="AO35" s="56"/>
      <c r="AP35" s="56"/>
      <c r="AQ35" s="56"/>
      <c r="AR35" s="56"/>
      <c r="AS35" s="56"/>
      <c r="AT35" s="56"/>
      <c r="AU35" s="56"/>
      <c r="AV35" s="56"/>
      <c r="AW35" s="56"/>
      <c r="AX35" s="56"/>
      <c r="AY35" s="56"/>
      <c r="AZ35" s="56"/>
      <c r="BA35" s="56"/>
      <c r="BB35" s="56"/>
      <c r="BC35" s="56"/>
      <c r="BD35" s="56"/>
      <c r="BE35" s="56"/>
      <c r="BF35" s="56"/>
      <c r="BG35" s="56"/>
      <c r="BH35" s="56"/>
      <c r="BI35" s="56"/>
      <c r="BJ35" s="56"/>
      <c r="BK35" s="56"/>
      <c r="BL35" s="56"/>
      <c r="BM35" s="56"/>
      <c r="BN35" s="56"/>
      <c r="BO35" s="56"/>
      <c r="BP35" s="56"/>
      <c r="BQ35" s="56"/>
      <c r="BR35" s="56"/>
      <c r="BS35" s="56"/>
    </row>
    <row r="36" spans="2:71" x14ac:dyDescent="0.25">
      <c r="B36" s="315"/>
      <c r="C36" s="315"/>
      <c r="D36" s="316"/>
      <c r="E36" s="317"/>
      <c r="F36" s="318"/>
      <c r="G36" s="319"/>
      <c r="H36" s="318"/>
      <c r="I36" s="318"/>
      <c r="J36" s="319"/>
      <c r="K36" s="318"/>
      <c r="L36" s="320"/>
      <c r="M36" s="349"/>
      <c r="N36" s="322"/>
      <c r="O36" s="186"/>
      <c r="P36" s="56"/>
      <c r="Q36" s="56"/>
      <c r="R36" s="209"/>
      <c r="S36" s="209"/>
      <c r="T36" s="209"/>
      <c r="U36" s="209"/>
      <c r="V36" s="209"/>
      <c r="W36" s="209"/>
      <c r="X36" s="209"/>
      <c r="Y36" s="209"/>
      <c r="Z36" s="209"/>
      <c r="AA36" s="209"/>
      <c r="AB36" s="209"/>
      <c r="AC36" s="209"/>
      <c r="AD36" s="209"/>
      <c r="AE36" s="209"/>
      <c r="AF36" s="209"/>
      <c r="AG36" s="209"/>
      <c r="AH36" s="209"/>
      <c r="AI36" s="209"/>
      <c r="AJ36" s="209"/>
      <c r="AK36" s="209"/>
      <c r="AL36" s="209"/>
      <c r="AM36" s="209"/>
      <c r="AN36" s="209"/>
      <c r="AO36" s="56"/>
      <c r="AP36" s="56"/>
      <c r="AQ36" s="56"/>
      <c r="AR36" s="56"/>
      <c r="AS36" s="56"/>
      <c r="AT36" s="56"/>
      <c r="AU36" s="56"/>
      <c r="AV36" s="56"/>
      <c r="AW36" s="56"/>
      <c r="AX36" s="56"/>
      <c r="AY36" s="56"/>
      <c r="AZ36" s="56"/>
      <c r="BA36" s="56"/>
      <c r="BB36" s="56"/>
      <c r="BC36" s="56"/>
      <c r="BD36" s="56"/>
      <c r="BE36" s="56"/>
      <c r="BF36" s="56"/>
      <c r="BG36" s="56"/>
      <c r="BH36" s="56"/>
      <c r="BI36" s="56"/>
      <c r="BJ36" s="56"/>
      <c r="BK36" s="56"/>
      <c r="BL36" s="56"/>
      <c r="BM36" s="56"/>
      <c r="BN36" s="56"/>
      <c r="BO36" s="56"/>
      <c r="BP36" s="56"/>
      <c r="BQ36" s="56"/>
      <c r="BR36" s="56"/>
      <c r="BS36" s="56"/>
    </row>
    <row r="37" spans="2:71" x14ac:dyDescent="0.25">
      <c r="B37" s="315"/>
      <c r="C37" s="315"/>
      <c r="D37" s="316"/>
      <c r="E37" s="317"/>
      <c r="F37" s="318"/>
      <c r="G37" s="319"/>
      <c r="H37" s="318"/>
      <c r="I37" s="318"/>
      <c r="J37" s="319"/>
      <c r="K37" s="318"/>
      <c r="L37" s="320"/>
      <c r="M37" s="349"/>
      <c r="N37" s="322"/>
      <c r="O37" s="186"/>
      <c r="P37" s="56"/>
      <c r="Q37" s="56"/>
      <c r="R37" s="209"/>
      <c r="S37" s="209"/>
      <c r="T37" s="209"/>
      <c r="U37" s="209"/>
      <c r="V37" s="209"/>
      <c r="W37" s="209"/>
      <c r="X37" s="209"/>
      <c r="Y37" s="209"/>
      <c r="Z37" s="209"/>
      <c r="AA37" s="209"/>
      <c r="AB37" s="209"/>
      <c r="AC37" s="209"/>
      <c r="AD37" s="209"/>
      <c r="AE37" s="209"/>
      <c r="AF37" s="209"/>
      <c r="AG37" s="209"/>
      <c r="AH37" s="209"/>
      <c r="AI37" s="209"/>
      <c r="AJ37" s="209"/>
      <c r="AK37" s="209"/>
      <c r="AL37" s="209"/>
      <c r="AM37" s="209"/>
      <c r="AN37" s="209"/>
      <c r="AO37" s="56"/>
      <c r="AP37" s="56"/>
      <c r="AQ37" s="56"/>
      <c r="AR37" s="56"/>
      <c r="AS37" s="56"/>
      <c r="AT37" s="56"/>
      <c r="AU37" s="56"/>
      <c r="AV37" s="56"/>
      <c r="AW37" s="56"/>
      <c r="AX37" s="56"/>
      <c r="AY37" s="56"/>
      <c r="AZ37" s="56"/>
      <c r="BA37" s="56"/>
      <c r="BB37" s="56"/>
      <c r="BC37" s="56"/>
      <c r="BD37" s="56"/>
      <c r="BE37" s="56"/>
      <c r="BF37" s="56"/>
      <c r="BG37" s="56"/>
      <c r="BH37" s="56"/>
      <c r="BI37" s="56"/>
      <c r="BJ37" s="56"/>
      <c r="BK37" s="56"/>
      <c r="BL37" s="56"/>
      <c r="BM37" s="56"/>
      <c r="BN37" s="56"/>
      <c r="BO37" s="56"/>
      <c r="BP37" s="56"/>
      <c r="BQ37" s="56"/>
      <c r="BR37" s="56"/>
      <c r="BS37" s="56"/>
    </row>
    <row r="38" spans="2:71" x14ac:dyDescent="0.25">
      <c r="B38" s="315"/>
      <c r="C38" s="315"/>
      <c r="D38" s="316"/>
      <c r="E38" s="317"/>
      <c r="F38" s="318"/>
      <c r="G38" s="319"/>
      <c r="H38" s="318"/>
      <c r="I38" s="318"/>
      <c r="J38" s="319"/>
      <c r="K38" s="318"/>
      <c r="L38" s="320"/>
      <c r="M38" s="349"/>
      <c r="N38" s="322"/>
      <c r="O38" s="186"/>
      <c r="P38" s="56"/>
      <c r="Q38" s="56"/>
      <c r="R38" s="209"/>
      <c r="S38" s="209"/>
      <c r="T38" s="209"/>
      <c r="U38" s="209"/>
      <c r="V38" s="209"/>
      <c r="W38" s="209"/>
      <c r="X38" s="209"/>
      <c r="Y38" s="209"/>
      <c r="Z38" s="209"/>
      <c r="AA38" s="209"/>
      <c r="AB38" s="209"/>
      <c r="AC38" s="209"/>
      <c r="AD38" s="209"/>
      <c r="AE38" s="209"/>
      <c r="AF38" s="209"/>
      <c r="AG38" s="209"/>
      <c r="AH38" s="209"/>
      <c r="AI38" s="209"/>
      <c r="AJ38" s="209"/>
      <c r="AK38" s="209"/>
      <c r="AL38" s="209"/>
      <c r="AM38" s="209"/>
      <c r="AN38" s="209"/>
      <c r="AO38" s="56"/>
      <c r="AP38" s="56"/>
      <c r="AQ38" s="56"/>
      <c r="AR38" s="56"/>
      <c r="AS38" s="56"/>
      <c r="AT38" s="56"/>
      <c r="AU38" s="56"/>
      <c r="AV38" s="56"/>
      <c r="AW38" s="56"/>
      <c r="AX38" s="56"/>
      <c r="AY38" s="56"/>
      <c r="AZ38" s="56"/>
      <c r="BA38" s="56"/>
      <c r="BB38" s="56"/>
      <c r="BC38" s="56"/>
      <c r="BD38" s="56"/>
      <c r="BE38" s="56"/>
      <c r="BF38" s="56"/>
      <c r="BG38" s="56"/>
      <c r="BH38" s="56"/>
      <c r="BI38" s="56"/>
      <c r="BJ38" s="56"/>
      <c r="BK38" s="56"/>
      <c r="BL38" s="56"/>
      <c r="BM38" s="56"/>
      <c r="BN38" s="56"/>
      <c r="BO38" s="56"/>
      <c r="BP38" s="56"/>
      <c r="BQ38" s="56"/>
      <c r="BR38" s="56"/>
      <c r="BS38" s="56"/>
    </row>
    <row r="39" spans="2:71" x14ac:dyDescent="0.25">
      <c r="B39" s="315"/>
      <c r="C39" s="315"/>
      <c r="D39" s="316"/>
      <c r="E39" s="317"/>
      <c r="F39" s="318"/>
      <c r="G39" s="319"/>
      <c r="H39" s="318"/>
      <c r="I39" s="318"/>
      <c r="J39" s="319"/>
      <c r="K39" s="318"/>
      <c r="L39" s="320"/>
      <c r="M39" s="349"/>
      <c r="N39" s="322"/>
      <c r="O39" s="186"/>
      <c r="P39" s="56"/>
      <c r="Q39" s="56"/>
      <c r="R39" s="209"/>
      <c r="S39" s="209"/>
      <c r="T39" s="209"/>
      <c r="U39" s="209"/>
      <c r="V39" s="209"/>
      <c r="W39" s="209"/>
      <c r="X39" s="209"/>
      <c r="Y39" s="209"/>
      <c r="Z39" s="209"/>
      <c r="AA39" s="209"/>
      <c r="AB39" s="209"/>
      <c r="AC39" s="209"/>
      <c r="AD39" s="209"/>
      <c r="AE39" s="209"/>
      <c r="AF39" s="209"/>
      <c r="AG39" s="209"/>
      <c r="AH39" s="209"/>
      <c r="AI39" s="209"/>
      <c r="AJ39" s="209"/>
      <c r="AK39" s="209"/>
      <c r="AL39" s="209"/>
      <c r="AM39" s="209"/>
      <c r="AN39" s="209"/>
      <c r="AO39" s="56"/>
      <c r="AP39" s="56"/>
      <c r="AQ39" s="56"/>
      <c r="AR39" s="56"/>
      <c r="AS39" s="56"/>
      <c r="AT39" s="56"/>
      <c r="AU39" s="56"/>
      <c r="AV39" s="56"/>
      <c r="AW39" s="56"/>
      <c r="AX39" s="56"/>
      <c r="AY39" s="56"/>
      <c r="AZ39" s="56"/>
      <c r="BA39" s="56"/>
      <c r="BB39" s="56"/>
      <c r="BC39" s="56"/>
      <c r="BD39" s="56"/>
      <c r="BE39" s="56"/>
      <c r="BF39" s="56"/>
      <c r="BG39" s="56"/>
      <c r="BH39" s="56"/>
      <c r="BI39" s="56"/>
      <c r="BJ39" s="56"/>
      <c r="BK39" s="56"/>
      <c r="BL39" s="56"/>
      <c r="BM39" s="56"/>
      <c r="BN39" s="56"/>
      <c r="BO39" s="56"/>
      <c r="BP39" s="56"/>
      <c r="BQ39" s="56"/>
      <c r="BR39" s="56"/>
      <c r="BS39" s="56"/>
    </row>
    <row r="40" spans="2:71" x14ac:dyDescent="0.25">
      <c r="B40" s="315"/>
      <c r="C40" s="315"/>
      <c r="D40" s="316"/>
      <c r="E40" s="317"/>
      <c r="F40" s="318"/>
      <c r="G40" s="319"/>
      <c r="H40" s="318"/>
      <c r="I40" s="318"/>
      <c r="J40" s="319"/>
      <c r="K40" s="318"/>
      <c r="L40" s="320"/>
      <c r="M40" s="349"/>
      <c r="N40" s="322"/>
      <c r="O40" s="186"/>
      <c r="P40" s="56"/>
      <c r="Q40" s="56"/>
      <c r="R40" s="209"/>
      <c r="S40" s="209"/>
      <c r="T40" s="209"/>
      <c r="U40" s="209"/>
      <c r="V40" s="209"/>
      <c r="W40" s="209"/>
      <c r="X40" s="209"/>
      <c r="Y40" s="209"/>
      <c r="Z40" s="209"/>
      <c r="AA40" s="209"/>
      <c r="AB40" s="209"/>
      <c r="AC40" s="209"/>
      <c r="AD40" s="209"/>
      <c r="AE40" s="209"/>
      <c r="AF40" s="209"/>
      <c r="AG40" s="209"/>
      <c r="AH40" s="209"/>
      <c r="AI40" s="209"/>
      <c r="AJ40" s="209"/>
      <c r="AK40" s="209"/>
      <c r="AL40" s="209"/>
      <c r="AM40" s="209"/>
      <c r="AN40" s="209"/>
      <c r="AO40" s="56"/>
      <c r="AP40" s="56"/>
      <c r="AQ40" s="56"/>
      <c r="AR40" s="56"/>
      <c r="AS40" s="56"/>
      <c r="AT40" s="56"/>
      <c r="AU40" s="56"/>
      <c r="AV40" s="56"/>
      <c r="AW40" s="56"/>
      <c r="AX40" s="56"/>
      <c r="AY40" s="56"/>
      <c r="AZ40" s="56"/>
      <c r="BA40" s="56"/>
      <c r="BB40" s="56"/>
      <c r="BC40" s="56"/>
      <c r="BD40" s="56"/>
      <c r="BE40" s="56"/>
      <c r="BF40" s="56"/>
      <c r="BG40" s="56"/>
      <c r="BH40" s="56"/>
      <c r="BI40" s="56"/>
      <c r="BJ40" s="56"/>
      <c r="BK40" s="56"/>
      <c r="BL40" s="56"/>
      <c r="BM40" s="56"/>
      <c r="BN40" s="56"/>
      <c r="BO40" s="56"/>
      <c r="BP40" s="56"/>
      <c r="BQ40" s="56"/>
      <c r="BR40" s="56"/>
      <c r="BS40" s="56"/>
    </row>
    <row r="41" spans="2:71" x14ac:dyDescent="0.25">
      <c r="B41" s="315"/>
      <c r="C41" s="315"/>
      <c r="D41" s="316"/>
      <c r="E41" s="317"/>
      <c r="F41" s="318"/>
      <c r="G41" s="319"/>
      <c r="H41" s="318"/>
      <c r="I41" s="318"/>
      <c r="J41" s="319"/>
      <c r="K41" s="318"/>
      <c r="L41" s="320"/>
      <c r="M41" s="349"/>
      <c r="N41" s="322"/>
      <c r="O41" s="186"/>
      <c r="P41" s="56"/>
      <c r="Q41" s="56"/>
      <c r="R41" s="209"/>
      <c r="S41" s="209"/>
      <c r="T41" s="209"/>
      <c r="U41" s="209"/>
      <c r="V41" s="209"/>
      <c r="W41" s="209"/>
      <c r="X41" s="209"/>
      <c r="Y41" s="209"/>
      <c r="Z41" s="209"/>
      <c r="AA41" s="209"/>
      <c r="AB41" s="209"/>
      <c r="AC41" s="209"/>
      <c r="AD41" s="209"/>
      <c r="AE41" s="209"/>
      <c r="AF41" s="209"/>
      <c r="AG41" s="209"/>
      <c r="AH41" s="209"/>
      <c r="AI41" s="209"/>
      <c r="AJ41" s="209"/>
      <c r="AK41" s="209"/>
      <c r="AL41" s="209"/>
      <c r="AM41" s="209"/>
      <c r="AN41" s="209"/>
      <c r="AO41" s="56"/>
      <c r="AP41" s="56"/>
      <c r="AQ41" s="56"/>
      <c r="AR41" s="56"/>
      <c r="AS41" s="56"/>
      <c r="AT41" s="56"/>
      <c r="AU41" s="56"/>
      <c r="AV41" s="56"/>
      <c r="AW41" s="56"/>
      <c r="AX41" s="56"/>
      <c r="AY41" s="56"/>
      <c r="AZ41" s="56"/>
      <c r="BA41" s="56"/>
      <c r="BB41" s="56"/>
      <c r="BC41" s="56"/>
      <c r="BD41" s="56"/>
      <c r="BE41" s="56"/>
      <c r="BF41" s="56"/>
      <c r="BG41" s="56"/>
      <c r="BH41" s="56"/>
      <c r="BI41" s="56"/>
      <c r="BJ41" s="56"/>
      <c r="BK41" s="56"/>
      <c r="BL41" s="56"/>
      <c r="BM41" s="56"/>
      <c r="BN41" s="56"/>
      <c r="BO41" s="56"/>
      <c r="BP41" s="56"/>
      <c r="BQ41" s="56"/>
      <c r="BR41" s="56"/>
      <c r="BS41" s="56"/>
    </row>
    <row r="42" spans="2:71" x14ac:dyDescent="0.25">
      <c r="B42" s="315"/>
      <c r="C42" s="315"/>
      <c r="D42" s="316"/>
      <c r="E42" s="317"/>
      <c r="F42" s="318"/>
      <c r="G42" s="319"/>
      <c r="H42" s="318"/>
      <c r="I42" s="318"/>
      <c r="J42" s="319"/>
      <c r="K42" s="318"/>
      <c r="L42" s="320"/>
      <c r="M42" s="349"/>
      <c r="N42" s="322"/>
      <c r="O42" s="186"/>
      <c r="P42" s="56"/>
      <c r="Q42" s="56"/>
      <c r="R42" s="209"/>
      <c r="S42" s="209"/>
      <c r="T42" s="209"/>
      <c r="U42" s="209"/>
      <c r="V42" s="209"/>
      <c r="W42" s="209"/>
      <c r="X42" s="209"/>
      <c r="Y42" s="209"/>
      <c r="Z42" s="209"/>
      <c r="AA42" s="209"/>
      <c r="AB42" s="209"/>
      <c r="AC42" s="209"/>
      <c r="AD42" s="209"/>
      <c r="AE42" s="209"/>
      <c r="AF42" s="209"/>
      <c r="AG42" s="209"/>
      <c r="AH42" s="209"/>
      <c r="AI42" s="209"/>
      <c r="AJ42" s="209"/>
      <c r="AK42" s="209"/>
      <c r="AL42" s="209"/>
      <c r="AM42" s="209"/>
      <c r="AN42" s="209"/>
      <c r="AO42" s="56"/>
      <c r="AP42" s="56"/>
      <c r="AQ42" s="56"/>
      <c r="AR42" s="56"/>
      <c r="AS42" s="56"/>
      <c r="AT42" s="56"/>
      <c r="AU42" s="56"/>
      <c r="AV42" s="56"/>
      <c r="AW42" s="56"/>
      <c r="AX42" s="56"/>
      <c r="AY42" s="56"/>
      <c r="AZ42" s="56"/>
      <c r="BA42" s="56"/>
      <c r="BB42" s="56"/>
      <c r="BC42" s="56"/>
      <c r="BD42" s="56"/>
      <c r="BE42" s="56"/>
      <c r="BF42" s="56"/>
      <c r="BG42" s="56"/>
      <c r="BH42" s="56"/>
      <c r="BI42" s="56"/>
      <c r="BJ42" s="56"/>
      <c r="BK42" s="56"/>
      <c r="BL42" s="56"/>
      <c r="BM42" s="56"/>
      <c r="BN42" s="56"/>
      <c r="BO42" s="56"/>
      <c r="BP42" s="56"/>
      <c r="BQ42" s="56"/>
      <c r="BR42" s="56"/>
      <c r="BS42" s="56"/>
    </row>
    <row r="43" spans="2:71" x14ac:dyDescent="0.25">
      <c r="B43" s="315"/>
      <c r="C43" s="315"/>
      <c r="D43" s="316"/>
      <c r="E43" s="317"/>
      <c r="F43" s="318"/>
      <c r="G43" s="319"/>
      <c r="H43" s="318"/>
      <c r="I43" s="318"/>
      <c r="J43" s="319"/>
      <c r="K43" s="318"/>
      <c r="L43" s="320"/>
      <c r="M43" s="349"/>
      <c r="N43" s="322"/>
      <c r="O43" s="186"/>
      <c r="P43" s="56"/>
      <c r="Q43" s="56"/>
      <c r="R43" s="209"/>
      <c r="S43" s="209"/>
      <c r="T43" s="209"/>
      <c r="U43" s="209"/>
      <c r="V43" s="209"/>
      <c r="W43" s="209"/>
      <c r="X43" s="209"/>
      <c r="Y43" s="209"/>
      <c r="Z43" s="209"/>
      <c r="AA43" s="209"/>
      <c r="AB43" s="209"/>
      <c r="AC43" s="209"/>
      <c r="AD43" s="209"/>
      <c r="AE43" s="209"/>
      <c r="AF43" s="209"/>
      <c r="AG43" s="209"/>
      <c r="AH43" s="209"/>
      <c r="AI43" s="209"/>
      <c r="AJ43" s="209"/>
      <c r="AK43" s="209"/>
      <c r="AL43" s="209"/>
      <c r="AM43" s="209"/>
      <c r="AN43" s="209"/>
      <c r="AO43" s="56"/>
      <c r="AP43" s="56"/>
      <c r="AQ43" s="56"/>
      <c r="AR43" s="56"/>
      <c r="AS43" s="56"/>
      <c r="AT43" s="56"/>
      <c r="AU43" s="56"/>
      <c r="AV43" s="56"/>
      <c r="AW43" s="56"/>
      <c r="AX43" s="56"/>
      <c r="AY43" s="56"/>
      <c r="AZ43" s="56"/>
      <c r="BA43" s="56"/>
      <c r="BB43" s="56"/>
      <c r="BC43" s="56"/>
      <c r="BD43" s="56"/>
      <c r="BE43" s="56"/>
      <c r="BF43" s="56"/>
      <c r="BG43" s="56"/>
      <c r="BH43" s="56"/>
      <c r="BI43" s="56"/>
      <c r="BJ43" s="56"/>
      <c r="BK43" s="56"/>
      <c r="BL43" s="56"/>
      <c r="BM43" s="56"/>
      <c r="BN43" s="56"/>
      <c r="BO43" s="56"/>
      <c r="BP43" s="56"/>
      <c r="BQ43" s="56"/>
      <c r="BR43" s="56"/>
      <c r="BS43" s="56"/>
    </row>
    <row r="44" spans="2:71" x14ac:dyDescent="0.25">
      <c r="B44" s="315"/>
      <c r="C44" s="315"/>
      <c r="D44" s="316"/>
      <c r="E44" s="317"/>
      <c r="F44" s="318"/>
      <c r="G44" s="319"/>
      <c r="H44" s="318"/>
      <c r="I44" s="318"/>
      <c r="J44" s="319"/>
      <c r="K44" s="318"/>
      <c r="L44" s="320"/>
      <c r="M44" s="349"/>
      <c r="N44" s="322"/>
      <c r="O44" s="186"/>
      <c r="P44" s="56"/>
      <c r="Q44" s="56"/>
      <c r="R44" s="209"/>
      <c r="S44" s="209"/>
      <c r="T44" s="209"/>
      <c r="U44" s="209"/>
      <c r="V44" s="209"/>
      <c r="W44" s="209"/>
      <c r="X44" s="209"/>
      <c r="Y44" s="209"/>
      <c r="Z44" s="209"/>
      <c r="AA44" s="209"/>
      <c r="AB44" s="209"/>
      <c r="AC44" s="209"/>
      <c r="AD44" s="209"/>
      <c r="AE44" s="209"/>
      <c r="AF44" s="209"/>
      <c r="AG44" s="209"/>
      <c r="AH44" s="209"/>
      <c r="AI44" s="209"/>
      <c r="AJ44" s="209"/>
      <c r="AK44" s="209"/>
      <c r="AL44" s="209"/>
      <c r="AM44" s="209"/>
      <c r="AN44" s="209"/>
      <c r="AO44" s="56"/>
      <c r="AP44" s="56"/>
      <c r="AQ44" s="56"/>
      <c r="AR44" s="56"/>
      <c r="AS44" s="56"/>
      <c r="AT44" s="56"/>
      <c r="AU44" s="56"/>
      <c r="AV44" s="56"/>
      <c r="AW44" s="56"/>
      <c r="AX44" s="56"/>
      <c r="AY44" s="56"/>
      <c r="AZ44" s="56"/>
      <c r="BA44" s="56"/>
      <c r="BB44" s="56"/>
      <c r="BC44" s="56"/>
      <c r="BD44" s="56"/>
      <c r="BE44" s="56"/>
      <c r="BF44" s="56"/>
      <c r="BG44" s="56"/>
      <c r="BH44" s="56"/>
      <c r="BI44" s="56"/>
      <c r="BJ44" s="56"/>
      <c r="BK44" s="56"/>
      <c r="BL44" s="56"/>
      <c r="BM44" s="56"/>
      <c r="BN44" s="56"/>
      <c r="BO44" s="56"/>
      <c r="BP44" s="56"/>
      <c r="BQ44" s="56"/>
      <c r="BR44" s="56"/>
      <c r="BS44" s="56"/>
    </row>
    <row r="45" spans="2:71" x14ac:dyDescent="0.25">
      <c r="B45" s="315"/>
      <c r="C45" s="315"/>
      <c r="D45" s="316"/>
      <c r="E45" s="317"/>
      <c r="F45" s="318"/>
      <c r="G45" s="319"/>
      <c r="H45" s="318"/>
      <c r="I45" s="318"/>
      <c r="J45" s="319"/>
      <c r="K45" s="318"/>
      <c r="L45" s="320"/>
      <c r="M45" s="349"/>
      <c r="N45" s="322"/>
      <c r="O45" s="186"/>
      <c r="P45" s="56"/>
      <c r="Q45" s="56"/>
      <c r="R45" s="209"/>
      <c r="S45" s="209"/>
      <c r="T45" s="209"/>
      <c r="U45" s="209"/>
      <c r="V45" s="209"/>
      <c r="W45" s="209"/>
      <c r="X45" s="209"/>
      <c r="Y45" s="209"/>
      <c r="Z45" s="209"/>
      <c r="AA45" s="209"/>
      <c r="AB45" s="209"/>
      <c r="AC45" s="209"/>
      <c r="AD45" s="209"/>
      <c r="AE45" s="209"/>
      <c r="AF45" s="209"/>
      <c r="AG45" s="209"/>
      <c r="AH45" s="209"/>
      <c r="AI45" s="209"/>
      <c r="AJ45" s="209"/>
      <c r="AK45" s="209"/>
      <c r="AL45" s="209"/>
      <c r="AM45" s="209"/>
      <c r="AN45" s="209"/>
      <c r="AO45" s="56"/>
      <c r="AP45" s="56"/>
      <c r="AQ45" s="56"/>
      <c r="AR45" s="56"/>
      <c r="AS45" s="56"/>
      <c r="AT45" s="56"/>
      <c r="AU45" s="56"/>
      <c r="AV45" s="56"/>
      <c r="AW45" s="56"/>
      <c r="AX45" s="56"/>
      <c r="AY45" s="56"/>
      <c r="AZ45" s="56"/>
      <c r="BA45" s="56"/>
      <c r="BB45" s="56"/>
      <c r="BC45" s="56"/>
      <c r="BD45" s="56"/>
      <c r="BE45" s="56"/>
      <c r="BF45" s="56"/>
      <c r="BG45" s="56"/>
      <c r="BH45" s="56"/>
      <c r="BI45" s="56"/>
      <c r="BJ45" s="56"/>
      <c r="BK45" s="56"/>
      <c r="BL45" s="56"/>
      <c r="BM45" s="56"/>
      <c r="BN45" s="56"/>
      <c r="BO45" s="56"/>
      <c r="BP45" s="56"/>
      <c r="BQ45" s="56"/>
      <c r="BR45" s="56"/>
      <c r="BS45" s="56"/>
    </row>
    <row r="46" spans="2:71" x14ac:dyDescent="0.25">
      <c r="B46" s="315"/>
      <c r="C46" s="315"/>
      <c r="D46" s="316"/>
      <c r="E46" s="317"/>
      <c r="F46" s="318"/>
      <c r="G46" s="319"/>
      <c r="H46" s="318"/>
      <c r="I46" s="318"/>
      <c r="J46" s="319"/>
      <c r="K46" s="318"/>
      <c r="L46" s="320"/>
      <c r="M46" s="349"/>
      <c r="N46" s="322"/>
      <c r="O46" s="186"/>
      <c r="P46" s="56"/>
      <c r="Q46" s="56"/>
      <c r="R46" s="209"/>
      <c r="S46" s="209"/>
      <c r="T46" s="209"/>
      <c r="U46" s="209"/>
      <c r="V46" s="209"/>
      <c r="W46" s="209"/>
      <c r="X46" s="209"/>
      <c r="Y46" s="209"/>
      <c r="Z46" s="209"/>
      <c r="AA46" s="209"/>
      <c r="AB46" s="209"/>
      <c r="AC46" s="209"/>
      <c r="AD46" s="209"/>
      <c r="AE46" s="209"/>
      <c r="AF46" s="209"/>
      <c r="AG46" s="209"/>
      <c r="AH46" s="209"/>
      <c r="AI46" s="209"/>
      <c r="AJ46" s="209"/>
      <c r="AK46" s="209"/>
      <c r="AL46" s="209"/>
      <c r="AM46" s="209"/>
      <c r="AN46" s="209"/>
      <c r="AO46" s="56"/>
      <c r="AP46" s="56"/>
      <c r="AQ46" s="56"/>
      <c r="AR46" s="56"/>
      <c r="AS46" s="56"/>
      <c r="AT46" s="56"/>
      <c r="AU46" s="56"/>
      <c r="AV46" s="56"/>
      <c r="AW46" s="56"/>
      <c r="AX46" s="56"/>
      <c r="AY46" s="56"/>
      <c r="AZ46" s="56"/>
      <c r="BA46" s="56"/>
      <c r="BB46" s="56"/>
      <c r="BC46" s="56"/>
      <c r="BD46" s="56"/>
      <c r="BE46" s="56"/>
      <c r="BF46" s="56"/>
      <c r="BG46" s="56"/>
      <c r="BH46" s="56"/>
      <c r="BI46" s="56"/>
      <c r="BJ46" s="56"/>
      <c r="BK46" s="56"/>
      <c r="BL46" s="56"/>
      <c r="BM46" s="56"/>
      <c r="BN46" s="56"/>
      <c r="BO46" s="56"/>
      <c r="BP46" s="56"/>
      <c r="BQ46" s="56"/>
      <c r="BR46" s="56"/>
      <c r="BS46" s="56"/>
    </row>
    <row r="47" spans="2:71" x14ac:dyDescent="0.25">
      <c r="B47" s="315"/>
      <c r="C47" s="315"/>
      <c r="D47" s="316"/>
      <c r="E47" s="317"/>
      <c r="F47" s="318"/>
      <c r="G47" s="319"/>
      <c r="H47" s="318"/>
      <c r="I47" s="318"/>
      <c r="J47" s="319"/>
      <c r="K47" s="318"/>
      <c r="L47" s="320"/>
      <c r="M47" s="349"/>
      <c r="N47" s="322"/>
      <c r="O47" s="186"/>
      <c r="P47" s="56"/>
      <c r="Q47" s="56"/>
      <c r="R47" s="209"/>
      <c r="S47" s="209"/>
      <c r="T47" s="209"/>
      <c r="U47" s="209"/>
      <c r="V47" s="209"/>
      <c r="W47" s="209"/>
      <c r="X47" s="209"/>
      <c r="Y47" s="209"/>
      <c r="Z47" s="209"/>
      <c r="AA47" s="209"/>
      <c r="AB47" s="209"/>
      <c r="AC47" s="209"/>
      <c r="AD47" s="209"/>
      <c r="AE47" s="209"/>
      <c r="AF47" s="209"/>
      <c r="AG47" s="209"/>
      <c r="AH47" s="209"/>
      <c r="AI47" s="209"/>
      <c r="AJ47" s="209"/>
      <c r="AK47" s="209"/>
      <c r="AL47" s="209"/>
      <c r="AM47" s="209"/>
      <c r="AN47" s="209"/>
      <c r="AO47" s="56"/>
      <c r="AP47" s="56"/>
      <c r="AQ47" s="56"/>
      <c r="AR47" s="56"/>
      <c r="AS47" s="56"/>
      <c r="AT47" s="56"/>
      <c r="AU47" s="56"/>
      <c r="AV47" s="56"/>
      <c r="AW47" s="56"/>
      <c r="AX47" s="56"/>
      <c r="AY47" s="56"/>
      <c r="AZ47" s="56"/>
      <c r="BA47" s="56"/>
      <c r="BB47" s="56"/>
      <c r="BC47" s="56"/>
      <c r="BD47" s="56"/>
      <c r="BE47" s="56"/>
      <c r="BF47" s="56"/>
      <c r="BG47" s="56"/>
      <c r="BH47" s="56"/>
      <c r="BI47" s="56"/>
      <c r="BJ47" s="56"/>
      <c r="BK47" s="56"/>
      <c r="BL47" s="56"/>
      <c r="BM47" s="56"/>
      <c r="BN47" s="56"/>
      <c r="BO47" s="56"/>
      <c r="BP47" s="56"/>
      <c r="BQ47" s="56"/>
      <c r="BR47" s="56"/>
      <c r="BS47" s="56"/>
    </row>
    <row r="48" spans="2:71" x14ac:dyDescent="0.25">
      <c r="B48" s="315"/>
      <c r="C48" s="315"/>
      <c r="D48" s="316"/>
      <c r="E48" s="317"/>
      <c r="F48" s="318"/>
      <c r="G48" s="319"/>
      <c r="H48" s="318"/>
      <c r="I48" s="318"/>
      <c r="J48" s="319"/>
      <c r="K48" s="318"/>
      <c r="L48" s="320"/>
      <c r="M48" s="349"/>
      <c r="N48" s="322"/>
      <c r="O48" s="186"/>
      <c r="P48" s="56"/>
      <c r="Q48" s="56"/>
      <c r="R48" s="209"/>
      <c r="S48" s="209"/>
      <c r="T48" s="209"/>
      <c r="U48" s="209"/>
      <c r="V48" s="209"/>
      <c r="W48" s="209"/>
      <c r="X48" s="209"/>
      <c r="Y48" s="209"/>
      <c r="Z48" s="209"/>
      <c r="AA48" s="209"/>
      <c r="AB48" s="209"/>
      <c r="AC48" s="209"/>
      <c r="AD48" s="209"/>
      <c r="AE48" s="209"/>
      <c r="AF48" s="209"/>
      <c r="AG48" s="209"/>
      <c r="AH48" s="209"/>
      <c r="AI48" s="209"/>
      <c r="AJ48" s="209"/>
      <c r="AK48" s="209"/>
      <c r="AL48" s="209"/>
      <c r="AM48" s="209"/>
      <c r="AN48" s="209"/>
      <c r="AO48" s="56"/>
      <c r="AP48" s="56"/>
      <c r="AQ48" s="56"/>
      <c r="AR48" s="56"/>
      <c r="AS48" s="56"/>
      <c r="AT48" s="56"/>
      <c r="AU48" s="56"/>
      <c r="AV48" s="56"/>
      <c r="AW48" s="56"/>
      <c r="AX48" s="56"/>
      <c r="AY48" s="56"/>
      <c r="AZ48" s="56"/>
      <c r="BA48" s="56"/>
      <c r="BB48" s="56"/>
      <c r="BC48" s="56"/>
      <c r="BD48" s="56"/>
      <c r="BE48" s="56"/>
      <c r="BF48" s="56"/>
      <c r="BG48" s="56"/>
      <c r="BH48" s="56"/>
      <c r="BI48" s="56"/>
      <c r="BJ48" s="56"/>
      <c r="BK48" s="56"/>
      <c r="BL48" s="56"/>
      <c r="BM48" s="56"/>
      <c r="BN48" s="56"/>
      <c r="BO48" s="56"/>
      <c r="BP48" s="56"/>
      <c r="BQ48" s="56"/>
      <c r="BR48" s="56"/>
      <c r="BS48" s="56"/>
    </row>
    <row r="49" spans="2:71" x14ac:dyDescent="0.25">
      <c r="B49" s="315"/>
      <c r="C49" s="315"/>
      <c r="D49" s="316"/>
      <c r="E49" s="317"/>
      <c r="F49" s="318"/>
      <c r="G49" s="319"/>
      <c r="H49" s="318"/>
      <c r="I49" s="318"/>
      <c r="J49" s="319"/>
      <c r="K49" s="318"/>
      <c r="L49" s="320"/>
      <c r="M49" s="349"/>
      <c r="N49" s="322"/>
      <c r="O49" s="186"/>
      <c r="P49" s="56"/>
      <c r="Q49" s="56"/>
      <c r="R49" s="209"/>
      <c r="S49" s="209"/>
      <c r="T49" s="209"/>
      <c r="U49" s="209"/>
      <c r="V49" s="209"/>
      <c r="W49" s="209"/>
      <c r="X49" s="209"/>
      <c r="Y49" s="209"/>
      <c r="Z49" s="209"/>
      <c r="AA49" s="209"/>
      <c r="AB49" s="209"/>
      <c r="AC49" s="209"/>
      <c r="AD49" s="209"/>
      <c r="AE49" s="209"/>
      <c r="AF49" s="209"/>
      <c r="AG49" s="209"/>
      <c r="AH49" s="209"/>
      <c r="AI49" s="209"/>
      <c r="AJ49" s="209"/>
      <c r="AK49" s="209"/>
      <c r="AL49" s="209"/>
      <c r="AM49" s="209"/>
      <c r="AN49" s="209"/>
      <c r="AO49" s="56"/>
      <c r="AP49" s="56"/>
      <c r="AQ49" s="56"/>
      <c r="AR49" s="56"/>
      <c r="AS49" s="56"/>
      <c r="AT49" s="56"/>
      <c r="AU49" s="56"/>
      <c r="AV49" s="56"/>
      <c r="AW49" s="56"/>
      <c r="AX49" s="56"/>
      <c r="AY49" s="56"/>
      <c r="AZ49" s="56"/>
      <c r="BA49" s="56"/>
      <c r="BB49" s="56"/>
      <c r="BC49" s="56"/>
      <c r="BD49" s="56"/>
      <c r="BE49" s="56"/>
      <c r="BF49" s="56"/>
      <c r="BG49" s="56"/>
      <c r="BH49" s="56"/>
      <c r="BI49" s="56"/>
      <c r="BJ49" s="56"/>
      <c r="BK49" s="56"/>
      <c r="BL49" s="56"/>
      <c r="BM49" s="56"/>
      <c r="BN49" s="56"/>
      <c r="BO49" s="56"/>
      <c r="BP49" s="56"/>
      <c r="BQ49" s="56"/>
      <c r="BR49" s="56"/>
      <c r="BS49" s="56"/>
    </row>
    <row r="50" spans="2:71" x14ac:dyDescent="0.25">
      <c r="B50" s="315"/>
      <c r="C50" s="315"/>
      <c r="D50" s="316"/>
      <c r="E50" s="317"/>
      <c r="F50" s="318"/>
      <c r="G50" s="319"/>
      <c r="H50" s="318"/>
      <c r="I50" s="318"/>
      <c r="J50" s="319"/>
      <c r="K50" s="318"/>
      <c r="L50" s="320"/>
      <c r="M50" s="349"/>
      <c r="N50" s="322"/>
      <c r="O50" s="186"/>
      <c r="P50" s="56"/>
      <c r="Q50" s="56"/>
      <c r="R50" s="209"/>
      <c r="S50" s="209"/>
      <c r="T50" s="209"/>
      <c r="U50" s="209"/>
      <c r="V50" s="209"/>
      <c r="W50" s="209"/>
      <c r="X50" s="209"/>
      <c r="Y50" s="209"/>
      <c r="Z50" s="209"/>
      <c r="AA50" s="209"/>
      <c r="AB50" s="209"/>
      <c r="AC50" s="209"/>
      <c r="AD50" s="209"/>
      <c r="AE50" s="209"/>
      <c r="AF50" s="209"/>
      <c r="AG50" s="209"/>
      <c r="AH50" s="209"/>
      <c r="AI50" s="209"/>
      <c r="AJ50" s="209"/>
      <c r="AK50" s="209"/>
      <c r="AL50" s="209"/>
      <c r="AM50" s="209"/>
      <c r="AN50" s="209"/>
      <c r="AO50" s="56"/>
      <c r="AP50" s="56"/>
      <c r="AQ50" s="56"/>
      <c r="AR50" s="56"/>
      <c r="AS50" s="56"/>
      <c r="AT50" s="56"/>
      <c r="AU50" s="56"/>
      <c r="AV50" s="56"/>
      <c r="AW50" s="56"/>
      <c r="AX50" s="56"/>
      <c r="AY50" s="56"/>
      <c r="AZ50" s="56"/>
      <c r="BA50" s="56"/>
      <c r="BB50" s="56"/>
      <c r="BC50" s="56"/>
      <c r="BD50" s="56"/>
      <c r="BE50" s="56"/>
      <c r="BF50" s="56"/>
      <c r="BG50" s="56"/>
      <c r="BH50" s="56"/>
      <c r="BI50" s="56"/>
      <c r="BJ50" s="56"/>
      <c r="BK50" s="56"/>
      <c r="BL50" s="56"/>
      <c r="BM50" s="56"/>
      <c r="BN50" s="56"/>
      <c r="BO50" s="56"/>
      <c r="BP50" s="56"/>
      <c r="BQ50" s="56"/>
      <c r="BR50" s="56"/>
      <c r="BS50" s="56"/>
    </row>
    <row r="51" spans="2:71" x14ac:dyDescent="0.25">
      <c r="B51" s="315"/>
      <c r="C51" s="315"/>
      <c r="D51" s="316"/>
      <c r="E51" s="317"/>
      <c r="F51" s="318"/>
      <c r="G51" s="319"/>
      <c r="H51" s="318"/>
      <c r="I51" s="318"/>
      <c r="J51" s="319"/>
      <c r="K51" s="318"/>
      <c r="L51" s="320"/>
      <c r="M51" s="349"/>
      <c r="N51" s="322"/>
      <c r="O51" s="186"/>
      <c r="P51" s="56"/>
      <c r="Q51" s="56"/>
      <c r="R51" s="209"/>
      <c r="S51" s="209"/>
      <c r="T51" s="209"/>
      <c r="U51" s="209"/>
      <c r="V51" s="209"/>
      <c r="W51" s="209"/>
      <c r="X51" s="209"/>
      <c r="Y51" s="209"/>
      <c r="Z51" s="209"/>
      <c r="AA51" s="209"/>
      <c r="AB51" s="209"/>
      <c r="AC51" s="209"/>
      <c r="AD51" s="209"/>
      <c r="AE51" s="209"/>
      <c r="AF51" s="209"/>
      <c r="AG51" s="209"/>
      <c r="AH51" s="209"/>
      <c r="AI51" s="209"/>
      <c r="AJ51" s="209"/>
      <c r="AK51" s="209"/>
      <c r="AL51" s="209"/>
      <c r="AM51" s="209"/>
      <c r="AN51" s="209"/>
      <c r="AO51" s="56"/>
      <c r="AP51" s="56"/>
      <c r="AQ51" s="56"/>
      <c r="AR51" s="56"/>
      <c r="AS51" s="56"/>
      <c r="AT51" s="56"/>
      <c r="AU51" s="56"/>
      <c r="AV51" s="56"/>
      <c r="AW51" s="56"/>
      <c r="AX51" s="56"/>
      <c r="AY51" s="56"/>
      <c r="AZ51" s="56"/>
      <c r="BA51" s="56"/>
      <c r="BB51" s="56"/>
      <c r="BC51" s="56"/>
      <c r="BD51" s="56"/>
      <c r="BE51" s="56"/>
      <c r="BF51" s="56"/>
      <c r="BG51" s="56"/>
      <c r="BH51" s="56"/>
      <c r="BI51" s="56"/>
      <c r="BJ51" s="56"/>
      <c r="BK51" s="56"/>
      <c r="BL51" s="56"/>
      <c r="BM51" s="56"/>
      <c r="BN51" s="56"/>
      <c r="BO51" s="56"/>
      <c r="BP51" s="56"/>
      <c r="BQ51" s="56"/>
      <c r="BR51" s="56"/>
      <c r="BS51" s="56"/>
    </row>
    <row r="52" spans="2:71" x14ac:dyDescent="0.25">
      <c r="B52" s="315"/>
      <c r="C52" s="315"/>
      <c r="D52" s="316"/>
      <c r="E52" s="317"/>
      <c r="F52" s="318"/>
      <c r="G52" s="319"/>
      <c r="H52" s="318"/>
      <c r="I52" s="318"/>
      <c r="J52" s="319"/>
      <c r="K52" s="318"/>
      <c r="L52" s="320"/>
      <c r="M52" s="349"/>
      <c r="N52" s="322"/>
      <c r="O52" s="186"/>
      <c r="P52" s="56"/>
      <c r="Q52" s="56"/>
      <c r="R52" s="209"/>
      <c r="S52" s="209"/>
      <c r="T52" s="209"/>
      <c r="U52" s="209"/>
      <c r="V52" s="209"/>
      <c r="W52" s="209"/>
      <c r="X52" s="209"/>
      <c r="Y52" s="209"/>
      <c r="Z52" s="209"/>
      <c r="AA52" s="209"/>
      <c r="AB52" s="209"/>
      <c r="AC52" s="209"/>
      <c r="AD52" s="209"/>
      <c r="AE52" s="209"/>
      <c r="AF52" s="209"/>
      <c r="AG52" s="209"/>
      <c r="AH52" s="209"/>
      <c r="AI52" s="209"/>
      <c r="AJ52" s="209"/>
      <c r="AK52" s="209"/>
      <c r="AL52" s="209"/>
      <c r="AM52" s="209"/>
      <c r="AN52" s="209"/>
      <c r="AO52" s="56"/>
      <c r="AP52" s="56"/>
      <c r="AQ52" s="56"/>
      <c r="AR52" s="56"/>
      <c r="AS52" s="56"/>
      <c r="AT52" s="56"/>
      <c r="AU52" s="56"/>
      <c r="AV52" s="56"/>
      <c r="AW52" s="56"/>
      <c r="AX52" s="56"/>
      <c r="AY52" s="56"/>
      <c r="AZ52" s="56"/>
      <c r="BA52" s="56"/>
      <c r="BB52" s="56"/>
      <c r="BC52" s="56"/>
      <c r="BD52" s="56"/>
      <c r="BE52" s="56"/>
      <c r="BF52" s="56"/>
      <c r="BG52" s="56"/>
      <c r="BH52" s="56"/>
      <c r="BI52" s="56"/>
      <c r="BJ52" s="56"/>
      <c r="BK52" s="56"/>
      <c r="BL52" s="56"/>
      <c r="BM52" s="56"/>
      <c r="BN52" s="56"/>
      <c r="BO52" s="56"/>
      <c r="BP52" s="56"/>
      <c r="BQ52" s="56"/>
      <c r="BR52" s="56"/>
      <c r="BS52" s="56"/>
    </row>
    <row r="53" spans="2:71" x14ac:dyDescent="0.25">
      <c r="B53" s="315"/>
      <c r="C53" s="315"/>
      <c r="D53" s="316"/>
      <c r="E53" s="317"/>
      <c r="F53" s="318"/>
      <c r="G53" s="319"/>
      <c r="H53" s="318"/>
      <c r="I53" s="318"/>
      <c r="J53" s="319"/>
      <c r="K53" s="318"/>
      <c r="L53" s="320"/>
      <c r="M53" s="349"/>
      <c r="N53" s="322"/>
      <c r="O53" s="186"/>
      <c r="P53" s="56"/>
      <c r="Q53" s="56"/>
      <c r="R53" s="209"/>
      <c r="S53" s="209"/>
      <c r="T53" s="209"/>
      <c r="U53" s="209"/>
      <c r="V53" s="209"/>
      <c r="W53" s="209"/>
      <c r="X53" s="209"/>
      <c r="Y53" s="209"/>
      <c r="Z53" s="209"/>
      <c r="AA53" s="209"/>
      <c r="AB53" s="209"/>
      <c r="AC53" s="209"/>
      <c r="AD53" s="209"/>
      <c r="AE53" s="209"/>
      <c r="AF53" s="209"/>
      <c r="AG53" s="209"/>
      <c r="AH53" s="209"/>
      <c r="AI53" s="209"/>
      <c r="AJ53" s="209"/>
      <c r="AK53" s="209"/>
      <c r="AL53" s="209"/>
      <c r="AM53" s="209"/>
      <c r="AN53" s="209"/>
      <c r="AO53" s="56"/>
      <c r="AP53" s="56"/>
      <c r="AQ53" s="56"/>
      <c r="AR53" s="56"/>
      <c r="AS53" s="56"/>
      <c r="AT53" s="56"/>
      <c r="AU53" s="56"/>
      <c r="AV53" s="56"/>
      <c r="AW53" s="56"/>
      <c r="AX53" s="56"/>
      <c r="AY53" s="56"/>
      <c r="AZ53" s="56"/>
      <c r="BA53" s="56"/>
      <c r="BB53" s="56"/>
      <c r="BC53" s="56"/>
      <c r="BD53" s="56"/>
      <c r="BE53" s="56"/>
      <c r="BF53" s="56"/>
      <c r="BG53" s="56"/>
      <c r="BH53" s="56"/>
      <c r="BI53" s="56"/>
      <c r="BJ53" s="56"/>
      <c r="BK53" s="56"/>
      <c r="BL53" s="56"/>
      <c r="BM53" s="56"/>
      <c r="BN53" s="56"/>
      <c r="BO53" s="56"/>
      <c r="BP53" s="56"/>
      <c r="BQ53" s="56"/>
      <c r="BR53" s="56"/>
      <c r="BS53" s="56"/>
    </row>
    <row r="54" spans="2:71" x14ac:dyDescent="0.25">
      <c r="B54" s="315"/>
      <c r="C54" s="315"/>
      <c r="D54" s="316"/>
      <c r="E54" s="317"/>
      <c r="F54" s="318"/>
      <c r="G54" s="319"/>
      <c r="H54" s="318"/>
      <c r="I54" s="318"/>
      <c r="J54" s="319"/>
      <c r="K54" s="318"/>
      <c r="L54" s="320"/>
      <c r="M54" s="349"/>
      <c r="N54" s="322"/>
      <c r="O54" s="186"/>
      <c r="P54" s="56"/>
      <c r="Q54" s="56"/>
      <c r="R54" s="209"/>
      <c r="S54" s="209"/>
      <c r="T54" s="209"/>
      <c r="U54" s="209"/>
      <c r="V54" s="209"/>
      <c r="W54" s="209"/>
      <c r="X54" s="209"/>
      <c r="Y54" s="209"/>
      <c r="Z54" s="209"/>
      <c r="AA54" s="209"/>
      <c r="AB54" s="209"/>
      <c r="AC54" s="209"/>
      <c r="AD54" s="209"/>
      <c r="AE54" s="209"/>
      <c r="AF54" s="209"/>
      <c r="AG54" s="209"/>
      <c r="AH54" s="209"/>
      <c r="AI54" s="209"/>
      <c r="AJ54" s="209"/>
      <c r="AK54" s="209"/>
      <c r="AL54" s="209"/>
      <c r="AM54" s="209"/>
      <c r="AN54" s="209"/>
      <c r="AO54" s="56"/>
      <c r="AP54" s="56"/>
      <c r="AQ54" s="56"/>
      <c r="AR54" s="56"/>
      <c r="AS54" s="56"/>
      <c r="AT54" s="56"/>
      <c r="AU54" s="56"/>
      <c r="AV54" s="56"/>
      <c r="AW54" s="56"/>
      <c r="AX54" s="56"/>
      <c r="AY54" s="56"/>
      <c r="AZ54" s="56"/>
      <c r="BA54" s="56"/>
      <c r="BB54" s="56"/>
      <c r="BC54" s="56"/>
      <c r="BD54" s="56"/>
      <c r="BE54" s="56"/>
      <c r="BF54" s="56"/>
      <c r="BG54" s="56"/>
      <c r="BH54" s="56"/>
      <c r="BI54" s="56"/>
      <c r="BJ54" s="56"/>
      <c r="BK54" s="56"/>
      <c r="BL54" s="56"/>
      <c r="BM54" s="56"/>
      <c r="BN54" s="56"/>
      <c r="BO54" s="56"/>
      <c r="BP54" s="56"/>
      <c r="BQ54" s="56"/>
      <c r="BR54" s="56"/>
      <c r="BS54" s="56"/>
    </row>
    <row r="55" spans="2:71" x14ac:dyDescent="0.25">
      <c r="B55" s="315"/>
      <c r="C55" s="315"/>
      <c r="D55" s="316"/>
      <c r="E55" s="317"/>
      <c r="F55" s="318"/>
      <c r="G55" s="319"/>
      <c r="H55" s="318"/>
      <c r="I55" s="318"/>
      <c r="J55" s="319"/>
      <c r="K55" s="318"/>
      <c r="L55" s="320"/>
      <c r="M55" s="349"/>
      <c r="N55" s="322"/>
      <c r="O55" s="186"/>
      <c r="P55" s="56"/>
      <c r="Q55" s="56"/>
      <c r="R55" s="209"/>
      <c r="S55" s="209"/>
      <c r="T55" s="209"/>
      <c r="U55" s="209"/>
      <c r="V55" s="209"/>
      <c r="W55" s="209"/>
      <c r="X55" s="209"/>
      <c r="Y55" s="209"/>
      <c r="Z55" s="209"/>
      <c r="AA55" s="209"/>
      <c r="AB55" s="209"/>
      <c r="AC55" s="209"/>
      <c r="AD55" s="209"/>
      <c r="AE55" s="209"/>
      <c r="AF55" s="209"/>
      <c r="AG55" s="209"/>
      <c r="AH55" s="209"/>
      <c r="AI55" s="209"/>
      <c r="AJ55" s="209"/>
      <c r="AK55" s="209"/>
      <c r="AL55" s="209"/>
      <c r="AM55" s="209"/>
      <c r="AN55" s="209"/>
      <c r="AO55" s="56"/>
      <c r="AP55" s="56"/>
      <c r="AQ55" s="56"/>
      <c r="AR55" s="56"/>
      <c r="AS55" s="56"/>
      <c r="AT55" s="56"/>
      <c r="AU55" s="56"/>
      <c r="AV55" s="56"/>
      <c r="AW55" s="56"/>
      <c r="AX55" s="56"/>
      <c r="AY55" s="56"/>
      <c r="AZ55" s="56"/>
      <c r="BA55" s="56"/>
      <c r="BB55" s="56"/>
      <c r="BC55" s="56"/>
      <c r="BD55" s="56"/>
      <c r="BE55" s="56"/>
      <c r="BF55" s="56"/>
      <c r="BG55" s="56"/>
      <c r="BH55" s="56"/>
      <c r="BI55" s="56"/>
      <c r="BJ55" s="56"/>
      <c r="BK55" s="56"/>
      <c r="BL55" s="56"/>
      <c r="BM55" s="56"/>
      <c r="BN55" s="56"/>
      <c r="BO55" s="56"/>
      <c r="BP55" s="56"/>
      <c r="BQ55" s="56"/>
      <c r="BR55" s="56"/>
      <c r="BS55" s="56"/>
    </row>
    <row r="56" spans="2:71" x14ac:dyDescent="0.25">
      <c r="B56" s="315"/>
      <c r="C56" s="315"/>
      <c r="D56" s="316"/>
      <c r="E56" s="317"/>
      <c r="F56" s="318"/>
      <c r="G56" s="319"/>
      <c r="H56" s="318"/>
      <c r="I56" s="318"/>
      <c r="J56" s="319"/>
      <c r="K56" s="318"/>
      <c r="L56" s="320"/>
      <c r="M56" s="349"/>
      <c r="N56" s="322"/>
      <c r="O56" s="186"/>
      <c r="P56" s="56"/>
      <c r="Q56" s="56"/>
      <c r="R56" s="209"/>
      <c r="S56" s="209"/>
      <c r="T56" s="209"/>
      <c r="U56" s="209"/>
      <c r="V56" s="209"/>
      <c r="W56" s="209"/>
      <c r="X56" s="209"/>
      <c r="Y56" s="209"/>
      <c r="Z56" s="209"/>
      <c r="AA56" s="209"/>
      <c r="AB56" s="209"/>
      <c r="AC56" s="209"/>
      <c r="AD56" s="209"/>
      <c r="AE56" s="209"/>
      <c r="AF56" s="209"/>
      <c r="AG56" s="209"/>
      <c r="AH56" s="209"/>
      <c r="AI56" s="209"/>
      <c r="AJ56" s="209"/>
      <c r="AK56" s="209"/>
      <c r="AL56" s="209"/>
      <c r="AM56" s="209"/>
      <c r="AN56" s="209"/>
      <c r="AO56" s="56"/>
      <c r="AP56" s="56"/>
      <c r="AQ56" s="56"/>
      <c r="AR56" s="56"/>
      <c r="AS56" s="56"/>
      <c r="AT56" s="56"/>
      <c r="AU56" s="56"/>
      <c r="AV56" s="56"/>
      <c r="AW56" s="56"/>
      <c r="AX56" s="56"/>
      <c r="AY56" s="56"/>
      <c r="AZ56" s="56"/>
      <c r="BA56" s="56"/>
      <c r="BB56" s="56"/>
      <c r="BC56" s="56"/>
      <c r="BD56" s="56"/>
      <c r="BE56" s="56"/>
      <c r="BF56" s="56"/>
      <c r="BG56" s="56"/>
      <c r="BH56" s="56"/>
      <c r="BI56" s="56"/>
      <c r="BJ56" s="56"/>
      <c r="BK56" s="56"/>
      <c r="BL56" s="56"/>
      <c r="BM56" s="56"/>
      <c r="BN56" s="56"/>
      <c r="BO56" s="56"/>
      <c r="BP56" s="56"/>
      <c r="BQ56" s="56"/>
      <c r="BR56" s="56"/>
      <c r="BS56" s="56"/>
    </row>
    <row r="57" spans="2:71" x14ac:dyDescent="0.25">
      <c r="B57" s="315"/>
      <c r="C57" s="315"/>
      <c r="D57" s="316"/>
      <c r="E57" s="317"/>
      <c r="F57" s="318"/>
      <c r="G57" s="319"/>
      <c r="H57" s="318"/>
      <c r="I57" s="318"/>
      <c r="J57" s="319"/>
      <c r="K57" s="318"/>
      <c r="L57" s="320"/>
      <c r="M57" s="349"/>
      <c r="N57" s="322"/>
      <c r="O57" s="186"/>
      <c r="P57" s="56"/>
      <c r="Q57" s="56"/>
      <c r="R57" s="209"/>
      <c r="S57" s="209"/>
      <c r="T57" s="209"/>
      <c r="U57" s="209"/>
      <c r="V57" s="209"/>
      <c r="W57" s="209"/>
      <c r="X57" s="209"/>
      <c r="Y57" s="209"/>
      <c r="Z57" s="209"/>
      <c r="AA57" s="209"/>
      <c r="AB57" s="209"/>
      <c r="AC57" s="209"/>
      <c r="AD57" s="209"/>
      <c r="AE57" s="209"/>
      <c r="AF57" s="209"/>
      <c r="AG57" s="209"/>
      <c r="AH57" s="209"/>
      <c r="AI57" s="209"/>
      <c r="AJ57" s="209"/>
      <c r="AK57" s="209"/>
      <c r="AL57" s="209"/>
      <c r="AM57" s="209"/>
      <c r="AN57" s="209"/>
      <c r="AO57" s="56"/>
      <c r="AP57" s="56"/>
      <c r="AQ57" s="56"/>
      <c r="AR57" s="56"/>
      <c r="AS57" s="56"/>
      <c r="AT57" s="56"/>
      <c r="AU57" s="56"/>
      <c r="AV57" s="56"/>
      <c r="AW57" s="56"/>
      <c r="AX57" s="56"/>
      <c r="AY57" s="56"/>
      <c r="AZ57" s="56"/>
      <c r="BA57" s="56"/>
      <c r="BB57" s="56"/>
      <c r="BC57" s="56"/>
      <c r="BD57" s="56"/>
      <c r="BE57" s="56"/>
      <c r="BF57" s="56"/>
      <c r="BG57" s="56"/>
      <c r="BH57" s="56"/>
      <c r="BI57" s="56"/>
      <c r="BJ57" s="56"/>
      <c r="BK57" s="56"/>
      <c r="BL57" s="56"/>
      <c r="BM57" s="56"/>
      <c r="BN57" s="56"/>
      <c r="BO57" s="56"/>
      <c r="BP57" s="56"/>
      <c r="BQ57" s="56"/>
      <c r="BR57" s="56"/>
      <c r="BS57" s="56"/>
    </row>
    <row r="58" spans="2:71" x14ac:dyDescent="0.25">
      <c r="B58" s="315"/>
      <c r="C58" s="315"/>
      <c r="D58" s="316"/>
      <c r="E58" s="317"/>
      <c r="F58" s="318"/>
      <c r="G58" s="319"/>
      <c r="H58" s="318"/>
      <c r="I58" s="318"/>
      <c r="J58" s="319"/>
      <c r="K58" s="318"/>
      <c r="L58" s="320"/>
      <c r="M58" s="349"/>
      <c r="N58" s="322"/>
      <c r="O58" s="186"/>
      <c r="P58" s="56"/>
      <c r="Q58" s="56"/>
      <c r="R58" s="209"/>
      <c r="S58" s="209"/>
      <c r="T58" s="209"/>
      <c r="U58" s="209"/>
      <c r="V58" s="209"/>
      <c r="W58" s="209"/>
      <c r="X58" s="209"/>
      <c r="Y58" s="209"/>
      <c r="Z58" s="209"/>
      <c r="AA58" s="209"/>
      <c r="AB58" s="209"/>
      <c r="AC58" s="209"/>
      <c r="AD58" s="209"/>
      <c r="AE58" s="209"/>
      <c r="AF58" s="209"/>
      <c r="AG58" s="209"/>
      <c r="AH58" s="209"/>
      <c r="AI58" s="209"/>
      <c r="AJ58" s="209"/>
      <c r="AK58" s="209"/>
      <c r="AL58" s="209"/>
      <c r="AM58" s="209"/>
      <c r="AN58" s="209"/>
      <c r="AO58" s="56"/>
      <c r="AP58" s="56"/>
      <c r="AQ58" s="56"/>
      <c r="AR58" s="56"/>
      <c r="AS58" s="56"/>
      <c r="AT58" s="56"/>
      <c r="AU58" s="56"/>
      <c r="AV58" s="56"/>
      <c r="AW58" s="56"/>
      <c r="AX58" s="56"/>
      <c r="AY58" s="56"/>
      <c r="AZ58" s="56"/>
      <c r="BA58" s="56"/>
      <c r="BB58" s="56"/>
      <c r="BC58" s="56"/>
      <c r="BD58" s="56"/>
      <c r="BE58" s="56"/>
      <c r="BF58" s="56"/>
      <c r="BG58" s="56"/>
      <c r="BH58" s="56"/>
      <c r="BI58" s="56"/>
      <c r="BJ58" s="56"/>
      <c r="BK58" s="56"/>
      <c r="BL58" s="56"/>
      <c r="BM58" s="56"/>
      <c r="BN58" s="56"/>
      <c r="BO58" s="56"/>
      <c r="BP58" s="56"/>
      <c r="BQ58" s="56"/>
      <c r="BR58" s="56"/>
      <c r="BS58" s="56"/>
    </row>
    <row r="59" spans="2:71" x14ac:dyDescent="0.25">
      <c r="B59" s="315"/>
      <c r="C59" s="315"/>
      <c r="D59" s="316"/>
      <c r="E59" s="317"/>
      <c r="F59" s="318"/>
      <c r="G59" s="319"/>
      <c r="H59" s="318"/>
      <c r="I59" s="318"/>
      <c r="J59" s="319"/>
      <c r="K59" s="318"/>
      <c r="L59" s="320"/>
      <c r="M59" s="349"/>
      <c r="N59" s="322"/>
      <c r="O59" s="186"/>
      <c r="P59" s="56"/>
      <c r="Q59" s="56"/>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56"/>
      <c r="AP59" s="56"/>
      <c r="AQ59" s="56"/>
      <c r="AR59" s="56"/>
      <c r="AS59" s="56"/>
      <c r="AT59" s="56"/>
      <c r="AU59" s="56"/>
      <c r="AV59" s="56"/>
      <c r="AW59" s="56"/>
      <c r="AX59" s="56"/>
      <c r="AY59" s="56"/>
      <c r="AZ59" s="56"/>
      <c r="BA59" s="56"/>
      <c r="BB59" s="56"/>
      <c r="BC59" s="56"/>
      <c r="BD59" s="56"/>
      <c r="BE59" s="56"/>
      <c r="BF59" s="56"/>
      <c r="BG59" s="56"/>
      <c r="BH59" s="56"/>
      <c r="BI59" s="56"/>
      <c r="BJ59" s="56"/>
      <c r="BK59" s="56"/>
      <c r="BL59" s="56"/>
      <c r="BM59" s="56"/>
      <c r="BN59" s="56"/>
      <c r="BO59" s="56"/>
      <c r="BP59" s="56"/>
      <c r="BQ59" s="56"/>
      <c r="BR59" s="56"/>
      <c r="BS59" s="56"/>
    </row>
    <row r="60" spans="2:71" x14ac:dyDescent="0.25">
      <c r="B60" s="315"/>
      <c r="C60" s="315"/>
      <c r="D60" s="316"/>
      <c r="E60" s="317"/>
      <c r="F60" s="318"/>
      <c r="G60" s="319"/>
      <c r="H60" s="318"/>
      <c r="I60" s="318"/>
      <c r="J60" s="319"/>
      <c r="K60" s="318"/>
      <c r="L60" s="320"/>
      <c r="M60" s="349"/>
      <c r="N60" s="322"/>
      <c r="O60" s="186"/>
      <c r="P60" s="56"/>
      <c r="Q60" s="56"/>
      <c r="R60" s="209"/>
      <c r="S60" s="209"/>
      <c r="T60" s="209"/>
      <c r="U60" s="209"/>
      <c r="V60" s="209"/>
      <c r="W60" s="209"/>
      <c r="X60" s="209"/>
      <c r="Y60" s="209"/>
      <c r="Z60" s="209"/>
      <c r="AA60" s="209"/>
      <c r="AB60" s="209"/>
      <c r="AC60" s="209"/>
      <c r="AD60" s="209"/>
      <c r="AE60" s="209"/>
      <c r="AF60" s="209"/>
      <c r="AG60" s="209"/>
      <c r="AH60" s="209"/>
      <c r="AI60" s="209"/>
      <c r="AJ60" s="209"/>
      <c r="AK60" s="209"/>
      <c r="AL60" s="209"/>
      <c r="AM60" s="209"/>
      <c r="AN60" s="209"/>
      <c r="AO60" s="56"/>
      <c r="AP60" s="56"/>
      <c r="AQ60" s="56"/>
      <c r="AR60" s="56"/>
      <c r="AS60" s="56"/>
      <c r="AT60" s="56"/>
      <c r="AU60" s="56"/>
      <c r="AV60" s="56"/>
      <c r="AW60" s="56"/>
      <c r="AX60" s="56"/>
      <c r="AY60" s="56"/>
      <c r="AZ60" s="56"/>
      <c r="BA60" s="56"/>
      <c r="BB60" s="56"/>
      <c r="BC60" s="56"/>
      <c r="BD60" s="56"/>
      <c r="BE60" s="56"/>
      <c r="BF60" s="56"/>
      <c r="BG60" s="56"/>
      <c r="BH60" s="56"/>
      <c r="BI60" s="56"/>
      <c r="BJ60" s="56"/>
      <c r="BK60" s="56"/>
      <c r="BL60" s="56"/>
      <c r="BM60" s="56"/>
      <c r="BN60" s="56"/>
      <c r="BO60" s="56"/>
      <c r="BP60" s="56"/>
      <c r="BQ60" s="56"/>
      <c r="BR60" s="56"/>
      <c r="BS60" s="56"/>
    </row>
    <row r="61" spans="2:71" x14ac:dyDescent="0.25">
      <c r="B61" s="315"/>
      <c r="C61" s="315"/>
      <c r="D61" s="316"/>
      <c r="E61" s="317"/>
      <c r="F61" s="318"/>
      <c r="G61" s="319"/>
      <c r="H61" s="318"/>
      <c r="I61" s="318"/>
      <c r="J61" s="319"/>
      <c r="K61" s="318"/>
      <c r="L61" s="320"/>
      <c r="M61" s="349"/>
      <c r="N61" s="322"/>
      <c r="O61" s="186"/>
      <c r="P61" s="56"/>
      <c r="Q61" s="56"/>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56"/>
      <c r="AP61" s="56"/>
      <c r="AQ61" s="56"/>
      <c r="AR61" s="56"/>
      <c r="AS61" s="56"/>
      <c r="AT61" s="56"/>
      <c r="AU61" s="56"/>
      <c r="AV61" s="56"/>
      <c r="AW61" s="56"/>
      <c r="AX61" s="56"/>
      <c r="AY61" s="56"/>
      <c r="AZ61" s="56"/>
      <c r="BA61" s="56"/>
      <c r="BB61" s="56"/>
      <c r="BC61" s="56"/>
      <c r="BD61" s="56"/>
      <c r="BE61" s="56"/>
      <c r="BF61" s="56"/>
      <c r="BG61" s="56"/>
      <c r="BH61" s="56"/>
      <c r="BI61" s="56"/>
      <c r="BJ61" s="56"/>
      <c r="BK61" s="56"/>
      <c r="BL61" s="56"/>
      <c r="BM61" s="56"/>
      <c r="BN61" s="56"/>
      <c r="BO61" s="56"/>
      <c r="BP61" s="56"/>
      <c r="BQ61" s="56"/>
      <c r="BR61" s="56"/>
      <c r="BS61" s="56"/>
    </row>
    <row r="62" spans="2:71" x14ac:dyDescent="0.25">
      <c r="B62" s="315"/>
      <c r="C62" s="315"/>
      <c r="D62" s="316"/>
      <c r="E62" s="317"/>
      <c r="F62" s="318"/>
      <c r="G62" s="319"/>
      <c r="H62" s="318"/>
      <c r="I62" s="318"/>
      <c r="J62" s="319"/>
      <c r="K62" s="318"/>
      <c r="L62" s="320"/>
      <c r="M62" s="349"/>
      <c r="N62" s="322"/>
      <c r="O62" s="186"/>
      <c r="P62" s="56"/>
      <c r="Q62" s="56"/>
      <c r="R62" s="209"/>
      <c r="S62" s="209"/>
      <c r="T62" s="209"/>
      <c r="U62" s="209"/>
      <c r="V62" s="209"/>
      <c r="W62" s="209"/>
      <c r="X62" s="209"/>
      <c r="Y62" s="209"/>
      <c r="Z62" s="209"/>
      <c r="AA62" s="209"/>
      <c r="AB62" s="209"/>
      <c r="AC62" s="209"/>
      <c r="AD62" s="209"/>
      <c r="AE62" s="209"/>
      <c r="AF62" s="209"/>
      <c r="AG62" s="209"/>
      <c r="AH62" s="209"/>
      <c r="AI62" s="209"/>
      <c r="AJ62" s="209"/>
      <c r="AK62" s="209"/>
      <c r="AL62" s="209"/>
      <c r="AM62" s="209"/>
      <c r="AN62" s="209"/>
      <c r="AO62" s="56"/>
      <c r="AP62" s="56"/>
      <c r="AQ62" s="56"/>
      <c r="AR62" s="56"/>
      <c r="AS62" s="56"/>
      <c r="AT62" s="56"/>
      <c r="AU62" s="56"/>
      <c r="AV62" s="56"/>
      <c r="AW62" s="56"/>
      <c r="AX62" s="56"/>
      <c r="AY62" s="56"/>
      <c r="AZ62" s="56"/>
      <c r="BA62" s="56"/>
      <c r="BB62" s="56"/>
      <c r="BC62" s="56"/>
      <c r="BD62" s="56"/>
      <c r="BE62" s="56"/>
      <c r="BF62" s="56"/>
      <c r="BG62" s="56"/>
      <c r="BH62" s="56"/>
      <c r="BI62" s="56"/>
      <c r="BJ62" s="56"/>
      <c r="BK62" s="56"/>
      <c r="BL62" s="56"/>
      <c r="BM62" s="56"/>
      <c r="BN62" s="56"/>
      <c r="BO62" s="56"/>
      <c r="BP62" s="56"/>
      <c r="BQ62" s="56"/>
      <c r="BR62" s="56"/>
      <c r="BS62" s="56"/>
    </row>
    <row r="63" spans="2:71" x14ac:dyDescent="0.25">
      <c r="B63" s="315"/>
      <c r="C63" s="315"/>
      <c r="D63" s="316"/>
      <c r="E63" s="317"/>
      <c r="F63" s="318"/>
      <c r="G63" s="319"/>
      <c r="H63" s="318"/>
      <c r="I63" s="318"/>
      <c r="J63" s="319"/>
      <c r="K63" s="318"/>
      <c r="L63" s="320"/>
      <c r="M63" s="349"/>
      <c r="N63" s="322"/>
      <c r="O63" s="186"/>
      <c r="P63" s="56"/>
      <c r="Q63" s="56"/>
      <c r="R63" s="209"/>
      <c r="S63" s="209"/>
      <c r="T63" s="209"/>
      <c r="U63" s="209"/>
      <c r="V63" s="209"/>
      <c r="W63" s="209"/>
      <c r="X63" s="209"/>
      <c r="Y63" s="209"/>
      <c r="Z63" s="209"/>
      <c r="AA63" s="209"/>
      <c r="AB63" s="209"/>
      <c r="AC63" s="209"/>
      <c r="AD63" s="209"/>
      <c r="AE63" s="209"/>
      <c r="AF63" s="209"/>
      <c r="AG63" s="209"/>
      <c r="AH63" s="209"/>
      <c r="AI63" s="209"/>
      <c r="AJ63" s="209"/>
      <c r="AK63" s="209"/>
      <c r="AL63" s="209"/>
      <c r="AM63" s="209"/>
      <c r="AN63" s="209"/>
      <c r="AO63" s="56"/>
      <c r="AP63" s="56"/>
      <c r="AQ63" s="56"/>
      <c r="AR63" s="56"/>
      <c r="AS63" s="56"/>
      <c r="AT63" s="56"/>
      <c r="AU63" s="56"/>
      <c r="AV63" s="56"/>
      <c r="AW63" s="56"/>
      <c r="AX63" s="56"/>
      <c r="AY63" s="56"/>
      <c r="AZ63" s="56"/>
      <c r="BA63" s="56"/>
      <c r="BB63" s="56"/>
      <c r="BC63" s="56"/>
      <c r="BD63" s="56"/>
      <c r="BE63" s="56"/>
      <c r="BF63" s="56"/>
      <c r="BG63" s="56"/>
      <c r="BH63" s="56"/>
      <c r="BI63" s="56"/>
      <c r="BJ63" s="56"/>
      <c r="BK63" s="56"/>
      <c r="BL63" s="56"/>
      <c r="BM63" s="56"/>
      <c r="BN63" s="56"/>
      <c r="BO63" s="56"/>
      <c r="BP63" s="56"/>
      <c r="BQ63" s="56"/>
      <c r="BR63" s="56"/>
      <c r="BS63" s="56"/>
    </row>
    <row r="64" spans="2:71" x14ac:dyDescent="0.25">
      <c r="B64" s="315"/>
      <c r="C64" s="315"/>
      <c r="D64" s="316"/>
      <c r="E64" s="317"/>
      <c r="F64" s="318"/>
      <c r="G64" s="319"/>
      <c r="H64" s="318"/>
      <c r="I64" s="318"/>
      <c r="J64" s="319"/>
      <c r="K64" s="318"/>
      <c r="L64" s="320"/>
      <c r="M64" s="349"/>
      <c r="N64" s="322"/>
      <c r="O64" s="186"/>
      <c r="P64" s="56"/>
      <c r="Q64" s="56"/>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56"/>
      <c r="AP64" s="56"/>
      <c r="AQ64" s="56"/>
      <c r="AR64" s="56"/>
      <c r="AS64" s="56"/>
      <c r="AT64" s="56"/>
      <c r="AU64" s="56"/>
      <c r="AV64" s="56"/>
      <c r="AW64" s="56"/>
      <c r="AX64" s="56"/>
      <c r="AY64" s="56"/>
      <c r="AZ64" s="56"/>
      <c r="BA64" s="56"/>
      <c r="BB64" s="56"/>
      <c r="BC64" s="56"/>
      <c r="BD64" s="56"/>
      <c r="BE64" s="56"/>
      <c r="BF64" s="56"/>
      <c r="BG64" s="56"/>
      <c r="BH64" s="56"/>
      <c r="BI64" s="56"/>
      <c r="BJ64" s="56"/>
      <c r="BK64" s="56"/>
      <c r="BL64" s="56"/>
      <c r="BM64" s="56"/>
      <c r="BN64" s="56"/>
      <c r="BO64" s="56"/>
      <c r="BP64" s="56"/>
      <c r="BQ64" s="56"/>
      <c r="BR64" s="56"/>
      <c r="BS64" s="56"/>
    </row>
    <row r="65" spans="2:71" x14ac:dyDescent="0.25">
      <c r="B65" s="315"/>
      <c r="C65" s="315"/>
      <c r="D65" s="316"/>
      <c r="E65" s="317"/>
      <c r="F65" s="318"/>
      <c r="G65" s="319"/>
      <c r="H65" s="318"/>
      <c r="I65" s="318"/>
      <c r="J65" s="319"/>
      <c r="K65" s="318"/>
      <c r="L65" s="320"/>
      <c r="M65" s="349"/>
      <c r="N65" s="322"/>
      <c r="O65" s="186"/>
      <c r="P65" s="56"/>
      <c r="Q65" s="56"/>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row>
    <row r="66" spans="2:71" x14ac:dyDescent="0.25">
      <c r="B66" s="315"/>
      <c r="C66" s="315"/>
      <c r="D66" s="316"/>
      <c r="E66" s="317"/>
      <c r="F66" s="318"/>
      <c r="G66" s="319"/>
      <c r="H66" s="318"/>
      <c r="I66" s="318"/>
      <c r="J66" s="319"/>
      <c r="K66" s="318"/>
      <c r="L66" s="320"/>
      <c r="M66" s="349"/>
      <c r="N66" s="322"/>
      <c r="O66" s="186"/>
      <c r="P66" s="56"/>
      <c r="Q66" s="56"/>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56"/>
      <c r="AP66" s="56"/>
      <c r="AQ66" s="56"/>
      <c r="AR66" s="56"/>
      <c r="AS66" s="56"/>
      <c r="AT66" s="56"/>
      <c r="AU66" s="56"/>
      <c r="AV66" s="56"/>
      <c r="AW66" s="56"/>
      <c r="AX66" s="56"/>
      <c r="AY66" s="56"/>
      <c r="AZ66" s="56"/>
      <c r="BA66" s="56"/>
      <c r="BB66" s="56"/>
      <c r="BC66" s="56"/>
      <c r="BD66" s="56"/>
      <c r="BE66" s="56"/>
      <c r="BF66" s="56"/>
      <c r="BG66" s="56"/>
      <c r="BH66" s="56"/>
      <c r="BI66" s="56"/>
      <c r="BJ66" s="56"/>
      <c r="BK66" s="56"/>
      <c r="BL66" s="56"/>
      <c r="BM66" s="56"/>
      <c r="BN66" s="56"/>
      <c r="BO66" s="56"/>
      <c r="BP66" s="56"/>
      <c r="BQ66" s="56"/>
      <c r="BR66" s="56"/>
      <c r="BS66" s="56"/>
    </row>
    <row r="67" spans="2:71" x14ac:dyDescent="0.25">
      <c r="B67" s="315"/>
      <c r="C67" s="315"/>
      <c r="D67" s="316"/>
      <c r="E67" s="317"/>
      <c r="F67" s="318"/>
      <c r="G67" s="319"/>
      <c r="H67" s="318"/>
      <c r="I67" s="318"/>
      <c r="J67" s="319"/>
      <c r="K67" s="318"/>
      <c r="L67" s="320"/>
      <c r="M67" s="349"/>
      <c r="N67" s="322"/>
      <c r="O67" s="186"/>
      <c r="P67" s="56"/>
      <c r="Q67" s="56"/>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56"/>
      <c r="AP67" s="56"/>
      <c r="AQ67" s="56"/>
      <c r="AR67" s="56"/>
      <c r="AS67" s="56"/>
      <c r="AT67" s="56"/>
      <c r="AU67" s="56"/>
      <c r="AV67" s="56"/>
      <c r="AW67" s="56"/>
      <c r="AX67" s="56"/>
      <c r="AY67" s="56"/>
      <c r="AZ67" s="56"/>
      <c r="BA67" s="56"/>
      <c r="BB67" s="56"/>
      <c r="BC67" s="56"/>
      <c r="BD67" s="56"/>
      <c r="BE67" s="56"/>
      <c r="BF67" s="56"/>
      <c r="BG67" s="56"/>
      <c r="BH67" s="56"/>
      <c r="BI67" s="56"/>
      <c r="BJ67" s="56"/>
      <c r="BK67" s="56"/>
      <c r="BL67" s="56"/>
      <c r="BM67" s="56"/>
      <c r="BN67" s="56"/>
      <c r="BO67" s="56"/>
      <c r="BP67" s="56"/>
      <c r="BQ67" s="56"/>
      <c r="BR67" s="56"/>
      <c r="BS67" s="56"/>
    </row>
    <row r="68" spans="2:71" x14ac:dyDescent="0.25">
      <c r="B68" s="315"/>
      <c r="C68" s="315"/>
      <c r="D68" s="316"/>
      <c r="E68" s="317"/>
      <c r="F68" s="318"/>
      <c r="G68" s="319"/>
      <c r="H68" s="318"/>
      <c r="I68" s="318"/>
      <c r="J68" s="319"/>
      <c r="K68" s="318"/>
      <c r="L68" s="320"/>
      <c r="M68" s="349"/>
      <c r="N68" s="322"/>
      <c r="O68" s="186"/>
      <c r="P68" s="56"/>
      <c r="Q68" s="56"/>
      <c r="R68" s="209"/>
      <c r="S68" s="209"/>
      <c r="T68" s="209"/>
      <c r="U68" s="209"/>
      <c r="V68" s="209"/>
      <c r="W68" s="209"/>
      <c r="X68" s="209"/>
      <c r="Y68" s="209"/>
      <c r="Z68" s="209"/>
      <c r="AA68" s="209"/>
      <c r="AB68" s="209"/>
      <c r="AC68" s="209"/>
      <c r="AD68" s="209"/>
      <c r="AE68" s="209"/>
      <c r="AF68" s="209"/>
      <c r="AG68" s="209"/>
      <c r="AH68" s="209"/>
      <c r="AI68" s="209"/>
      <c r="AJ68" s="209"/>
      <c r="AK68" s="209"/>
      <c r="AL68" s="209"/>
      <c r="AM68" s="209"/>
      <c r="AN68" s="209"/>
      <c r="AO68" s="56"/>
      <c r="AP68" s="56"/>
      <c r="AQ68" s="56"/>
      <c r="AR68" s="56"/>
      <c r="AS68" s="56"/>
      <c r="AT68" s="56"/>
      <c r="AU68" s="56"/>
      <c r="AV68" s="56"/>
      <c r="AW68" s="56"/>
      <c r="AX68" s="56"/>
      <c r="AY68" s="56"/>
      <c r="AZ68" s="56"/>
      <c r="BA68" s="56"/>
      <c r="BB68" s="56"/>
      <c r="BC68" s="56"/>
      <c r="BD68" s="56"/>
      <c r="BE68" s="56"/>
      <c r="BF68" s="56"/>
      <c r="BG68" s="56"/>
      <c r="BH68" s="56"/>
      <c r="BI68" s="56"/>
      <c r="BJ68" s="56"/>
      <c r="BK68" s="56"/>
      <c r="BL68" s="56"/>
      <c r="BM68" s="56"/>
      <c r="BN68" s="56"/>
      <c r="BO68" s="56"/>
      <c r="BP68" s="56"/>
      <c r="BQ68" s="56"/>
      <c r="BR68" s="56"/>
      <c r="BS68" s="56"/>
    </row>
    <row r="69" spans="2:71" x14ac:dyDescent="0.25">
      <c r="B69" s="315"/>
      <c r="C69" s="315"/>
      <c r="D69" s="316"/>
      <c r="E69" s="317"/>
      <c r="F69" s="318"/>
      <c r="G69" s="319"/>
      <c r="H69" s="318"/>
      <c r="I69" s="318"/>
      <c r="J69" s="319"/>
      <c r="K69" s="318"/>
      <c r="L69" s="320"/>
      <c r="M69" s="349"/>
      <c r="N69" s="322"/>
      <c r="O69" s="186"/>
      <c r="P69" s="56"/>
      <c r="Q69" s="56"/>
      <c r="R69" s="209"/>
      <c r="S69" s="209"/>
      <c r="T69" s="209"/>
      <c r="U69" s="209"/>
      <c r="V69" s="209"/>
      <c r="W69" s="209"/>
      <c r="X69" s="209"/>
      <c r="Y69" s="209"/>
      <c r="Z69" s="209"/>
      <c r="AA69" s="209"/>
      <c r="AB69" s="209"/>
      <c r="AC69" s="209"/>
      <c r="AD69" s="209"/>
      <c r="AE69" s="209"/>
      <c r="AF69" s="209"/>
      <c r="AG69" s="209"/>
      <c r="AH69" s="209"/>
      <c r="AI69" s="209"/>
      <c r="AJ69" s="209"/>
      <c r="AK69" s="209"/>
      <c r="AL69" s="209"/>
      <c r="AM69" s="209"/>
      <c r="AN69" s="209"/>
      <c r="AO69" s="56"/>
      <c r="AP69" s="56"/>
      <c r="AQ69" s="56"/>
      <c r="AR69" s="56"/>
      <c r="AS69" s="56"/>
      <c r="AT69" s="56"/>
      <c r="AU69" s="56"/>
      <c r="AV69" s="56"/>
      <c r="AW69" s="56"/>
      <c r="AX69" s="56"/>
      <c r="AY69" s="56"/>
      <c r="AZ69" s="56"/>
      <c r="BA69" s="56"/>
      <c r="BB69" s="56"/>
      <c r="BC69" s="56"/>
      <c r="BD69" s="56"/>
      <c r="BE69" s="56"/>
      <c r="BF69" s="56"/>
      <c r="BG69" s="56"/>
      <c r="BH69" s="56"/>
      <c r="BI69" s="56"/>
      <c r="BJ69" s="56"/>
      <c r="BK69" s="56"/>
      <c r="BL69" s="56"/>
      <c r="BM69" s="56"/>
      <c r="BN69" s="56"/>
      <c r="BO69" s="56"/>
      <c r="BP69" s="56"/>
      <c r="BQ69" s="56"/>
      <c r="BR69" s="56"/>
      <c r="BS69" s="56"/>
    </row>
    <row r="70" spans="2:71" x14ac:dyDescent="0.25">
      <c r="B70" s="315"/>
      <c r="C70" s="315"/>
      <c r="D70" s="316"/>
      <c r="E70" s="317"/>
      <c r="F70" s="318"/>
      <c r="G70" s="319"/>
      <c r="H70" s="318"/>
      <c r="I70" s="318"/>
      <c r="J70" s="319"/>
      <c r="K70" s="318"/>
      <c r="L70" s="320"/>
      <c r="M70" s="349"/>
      <c r="N70" s="322"/>
      <c r="O70" s="186"/>
      <c r="P70" s="56"/>
      <c r="Q70" s="56"/>
      <c r="R70" s="209"/>
      <c r="S70" s="209"/>
      <c r="T70" s="209"/>
      <c r="U70" s="209"/>
      <c r="V70" s="209"/>
      <c r="W70" s="209"/>
      <c r="X70" s="209"/>
      <c r="Y70" s="209"/>
      <c r="Z70" s="209"/>
      <c r="AA70" s="209"/>
      <c r="AB70" s="209"/>
      <c r="AC70" s="209"/>
      <c r="AD70" s="209"/>
      <c r="AE70" s="209"/>
      <c r="AF70" s="209"/>
      <c r="AG70" s="209"/>
      <c r="AH70" s="209"/>
      <c r="AI70" s="209"/>
      <c r="AJ70" s="209"/>
      <c r="AK70" s="209"/>
      <c r="AL70" s="209"/>
      <c r="AM70" s="209"/>
      <c r="AN70" s="209"/>
      <c r="AO70" s="56"/>
      <c r="AP70" s="56"/>
      <c r="AQ70" s="56"/>
      <c r="AR70" s="56"/>
      <c r="AS70" s="56"/>
      <c r="AT70" s="56"/>
      <c r="AU70" s="56"/>
      <c r="AV70" s="56"/>
      <c r="AW70" s="56"/>
      <c r="AX70" s="56"/>
      <c r="AY70" s="56"/>
      <c r="AZ70" s="56"/>
      <c r="BA70" s="56"/>
      <c r="BB70" s="56"/>
      <c r="BC70" s="56"/>
      <c r="BD70" s="56"/>
      <c r="BE70" s="56"/>
      <c r="BF70" s="56"/>
      <c r="BG70" s="56"/>
      <c r="BH70" s="56"/>
      <c r="BI70" s="56"/>
      <c r="BJ70" s="56"/>
      <c r="BK70" s="56"/>
      <c r="BL70" s="56"/>
      <c r="BM70" s="56"/>
      <c r="BN70" s="56"/>
      <c r="BO70" s="56"/>
      <c r="BP70" s="56"/>
      <c r="BQ70" s="56"/>
      <c r="BR70" s="56"/>
      <c r="BS70" s="56"/>
    </row>
    <row r="71" spans="2:71" x14ac:dyDescent="0.25">
      <c r="B71" s="315"/>
      <c r="C71" s="315"/>
      <c r="D71" s="316"/>
      <c r="E71" s="317"/>
      <c r="F71" s="318"/>
      <c r="G71" s="319"/>
      <c r="H71" s="318"/>
      <c r="I71" s="318"/>
      <c r="J71" s="319"/>
      <c r="K71" s="318"/>
      <c r="L71" s="320"/>
      <c r="M71" s="349"/>
      <c r="N71" s="322"/>
      <c r="O71" s="186"/>
      <c r="P71" s="56"/>
      <c r="Q71" s="56"/>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56"/>
      <c r="AP71" s="56"/>
      <c r="AQ71" s="56"/>
      <c r="AR71" s="56"/>
      <c r="AS71" s="56"/>
      <c r="AT71" s="56"/>
      <c r="AU71" s="56"/>
      <c r="AV71" s="56"/>
      <c r="AW71" s="56"/>
      <c r="AX71" s="56"/>
      <c r="AY71" s="56"/>
      <c r="AZ71" s="56"/>
      <c r="BA71" s="56"/>
      <c r="BB71" s="56"/>
      <c r="BC71" s="56"/>
      <c r="BD71" s="56"/>
      <c r="BE71" s="56"/>
      <c r="BF71" s="56"/>
      <c r="BG71" s="56"/>
      <c r="BH71" s="56"/>
      <c r="BI71" s="56"/>
      <c r="BJ71" s="56"/>
      <c r="BK71" s="56"/>
      <c r="BL71" s="56"/>
      <c r="BM71" s="56"/>
      <c r="BN71" s="56"/>
      <c r="BO71" s="56"/>
      <c r="BP71" s="56"/>
      <c r="BQ71" s="56"/>
      <c r="BR71" s="56"/>
      <c r="BS71" s="56"/>
    </row>
    <row r="72" spans="2:71" x14ac:dyDescent="0.25">
      <c r="B72" s="315"/>
      <c r="C72" s="315"/>
      <c r="D72" s="316"/>
      <c r="E72" s="317"/>
      <c r="F72" s="318"/>
      <c r="G72" s="319"/>
      <c r="H72" s="318"/>
      <c r="I72" s="318"/>
      <c r="J72" s="319"/>
      <c r="K72" s="318"/>
      <c r="L72" s="320"/>
      <c r="M72" s="349"/>
      <c r="N72" s="322"/>
      <c r="O72" s="186"/>
      <c r="P72" s="56"/>
      <c r="Q72" s="56"/>
      <c r="R72" s="209"/>
      <c r="S72" s="209"/>
      <c r="T72" s="209"/>
      <c r="U72" s="209"/>
      <c r="V72" s="209"/>
      <c r="W72" s="209"/>
      <c r="X72" s="209"/>
      <c r="Y72" s="209"/>
      <c r="Z72" s="209"/>
      <c r="AA72" s="209"/>
      <c r="AB72" s="209"/>
      <c r="AC72" s="209"/>
      <c r="AD72" s="209"/>
      <c r="AE72" s="209"/>
      <c r="AF72" s="209"/>
      <c r="AG72" s="209"/>
      <c r="AH72" s="209"/>
      <c r="AI72" s="209"/>
      <c r="AJ72" s="209"/>
      <c r="AK72" s="209"/>
      <c r="AL72" s="209"/>
      <c r="AM72" s="209"/>
      <c r="AN72" s="209"/>
      <c r="AO72" s="56"/>
      <c r="AP72" s="56"/>
      <c r="AQ72" s="56"/>
      <c r="AR72" s="56"/>
      <c r="AS72" s="56"/>
      <c r="AT72" s="56"/>
      <c r="AU72" s="56"/>
      <c r="AV72" s="56"/>
      <c r="AW72" s="56"/>
      <c r="AX72" s="56"/>
      <c r="AY72" s="56"/>
      <c r="AZ72" s="56"/>
      <c r="BA72" s="56"/>
      <c r="BB72" s="56"/>
      <c r="BC72" s="56"/>
      <c r="BD72" s="56"/>
      <c r="BE72" s="56"/>
      <c r="BF72" s="56"/>
      <c r="BG72" s="56"/>
      <c r="BH72" s="56"/>
      <c r="BI72" s="56"/>
      <c r="BJ72" s="56"/>
      <c r="BK72" s="56"/>
      <c r="BL72" s="56"/>
      <c r="BM72" s="56"/>
      <c r="BN72" s="56"/>
      <c r="BO72" s="56"/>
      <c r="BP72" s="56"/>
      <c r="BQ72" s="56"/>
      <c r="BR72" s="56"/>
      <c r="BS72" s="56"/>
    </row>
    <row r="73" spans="2:71" x14ac:dyDescent="0.25">
      <c r="B73" s="315"/>
      <c r="C73" s="315"/>
      <c r="D73" s="316"/>
      <c r="E73" s="317"/>
      <c r="F73" s="318"/>
      <c r="G73" s="319"/>
      <c r="H73" s="318"/>
      <c r="I73" s="318"/>
      <c r="J73" s="319"/>
      <c r="K73" s="318"/>
      <c r="L73" s="320"/>
      <c r="M73" s="349"/>
      <c r="N73" s="322"/>
      <c r="O73" s="186"/>
      <c r="P73" s="56"/>
      <c r="Q73" s="56"/>
      <c r="R73" s="209"/>
      <c r="S73" s="209"/>
      <c r="T73" s="209"/>
      <c r="U73" s="209"/>
      <c r="V73" s="209"/>
      <c r="W73" s="209"/>
      <c r="X73" s="209"/>
      <c r="Y73" s="209"/>
      <c r="Z73" s="209"/>
      <c r="AA73" s="209"/>
      <c r="AB73" s="209"/>
      <c r="AC73" s="209"/>
      <c r="AD73" s="209"/>
      <c r="AE73" s="209"/>
      <c r="AF73" s="209"/>
      <c r="AG73" s="209"/>
      <c r="AH73" s="209"/>
      <c r="AI73" s="209"/>
      <c r="AJ73" s="209"/>
      <c r="AK73" s="209"/>
      <c r="AL73" s="209"/>
      <c r="AM73" s="209"/>
      <c r="AN73" s="209"/>
      <c r="AO73" s="56"/>
      <c r="AP73" s="56"/>
      <c r="AQ73" s="56"/>
      <c r="AR73" s="56"/>
      <c r="AS73" s="56"/>
      <c r="AT73" s="56"/>
      <c r="AU73" s="56"/>
      <c r="AV73" s="56"/>
      <c r="AW73" s="56"/>
      <c r="AX73" s="56"/>
      <c r="AY73" s="56"/>
      <c r="AZ73" s="56"/>
      <c r="BA73" s="56"/>
      <c r="BB73" s="56"/>
      <c r="BC73" s="56"/>
      <c r="BD73" s="56"/>
      <c r="BE73" s="56"/>
      <c r="BF73" s="56"/>
      <c r="BG73" s="56"/>
      <c r="BH73" s="56"/>
      <c r="BI73" s="56"/>
      <c r="BJ73" s="56"/>
      <c r="BK73" s="56"/>
      <c r="BL73" s="56"/>
      <c r="BM73" s="56"/>
      <c r="BN73" s="56"/>
      <c r="BO73" s="56"/>
      <c r="BP73" s="56"/>
      <c r="BQ73" s="56"/>
      <c r="BR73" s="56"/>
      <c r="BS73" s="56"/>
    </row>
    <row r="74" spans="2:71" x14ac:dyDescent="0.25">
      <c r="B74" s="315"/>
      <c r="C74" s="315"/>
      <c r="D74" s="316"/>
      <c r="E74" s="317"/>
      <c r="F74" s="318"/>
      <c r="G74" s="319"/>
      <c r="H74" s="318"/>
      <c r="I74" s="318"/>
      <c r="J74" s="319"/>
      <c r="K74" s="318"/>
      <c r="L74" s="320"/>
      <c r="M74" s="349"/>
      <c r="N74" s="322"/>
      <c r="O74" s="186"/>
      <c r="P74" s="56"/>
      <c r="Q74" s="56"/>
      <c r="R74" s="209"/>
      <c r="S74" s="209"/>
      <c r="T74" s="209"/>
      <c r="U74" s="209"/>
      <c r="V74" s="209"/>
      <c r="W74" s="209"/>
      <c r="X74" s="209"/>
      <c r="Y74" s="209"/>
      <c r="Z74" s="209"/>
      <c r="AA74" s="209"/>
      <c r="AB74" s="209"/>
      <c r="AC74" s="209"/>
      <c r="AD74" s="209"/>
      <c r="AE74" s="209"/>
      <c r="AF74" s="209"/>
      <c r="AG74" s="209"/>
      <c r="AH74" s="209"/>
      <c r="AI74" s="209"/>
      <c r="AJ74" s="209"/>
      <c r="AK74" s="209"/>
      <c r="AL74" s="209"/>
      <c r="AM74" s="209"/>
      <c r="AN74" s="209"/>
      <c r="AO74" s="56"/>
      <c r="AP74" s="56"/>
      <c r="AQ74" s="56"/>
      <c r="AR74" s="56"/>
      <c r="AS74" s="56"/>
      <c r="AT74" s="56"/>
      <c r="AU74" s="56"/>
      <c r="AV74" s="56"/>
      <c r="AW74" s="56"/>
      <c r="AX74" s="56"/>
      <c r="AY74" s="56"/>
      <c r="AZ74" s="56"/>
      <c r="BA74" s="56"/>
      <c r="BB74" s="56"/>
      <c r="BC74" s="56"/>
      <c r="BD74" s="56"/>
      <c r="BE74" s="56"/>
      <c r="BF74" s="56"/>
      <c r="BG74" s="56"/>
      <c r="BH74" s="56"/>
      <c r="BI74" s="56"/>
      <c r="BJ74" s="56"/>
      <c r="BK74" s="56"/>
      <c r="BL74" s="56"/>
      <c r="BM74" s="56"/>
      <c r="BN74" s="56"/>
      <c r="BO74" s="56"/>
      <c r="BP74" s="56"/>
      <c r="BQ74" s="56"/>
      <c r="BR74" s="56"/>
      <c r="BS74" s="56"/>
    </row>
    <row r="75" spans="2:71" x14ac:dyDescent="0.25">
      <c r="B75" s="315"/>
      <c r="C75" s="315"/>
      <c r="D75" s="316"/>
      <c r="E75" s="317"/>
      <c r="F75" s="318"/>
      <c r="G75" s="319"/>
      <c r="H75" s="318"/>
      <c r="I75" s="318"/>
      <c r="J75" s="319"/>
      <c r="K75" s="318"/>
      <c r="L75" s="320"/>
      <c r="M75" s="349"/>
      <c r="N75" s="322"/>
      <c r="O75" s="186"/>
      <c r="P75" s="56"/>
      <c r="Q75" s="56"/>
      <c r="R75" s="209"/>
      <c r="S75" s="209"/>
      <c r="T75" s="209"/>
      <c r="U75" s="209"/>
      <c r="V75" s="209"/>
      <c r="W75" s="209"/>
      <c r="X75" s="209"/>
      <c r="Y75" s="209"/>
      <c r="Z75" s="209"/>
      <c r="AA75" s="209"/>
      <c r="AB75" s="209"/>
      <c r="AC75" s="209"/>
      <c r="AD75" s="209"/>
      <c r="AE75" s="209"/>
      <c r="AF75" s="209"/>
      <c r="AG75" s="209"/>
      <c r="AH75" s="209"/>
      <c r="AI75" s="209"/>
      <c r="AJ75" s="209"/>
      <c r="AK75" s="209"/>
      <c r="AL75" s="209"/>
      <c r="AM75" s="209"/>
      <c r="AN75" s="209"/>
      <c r="AO75" s="56"/>
      <c r="AP75" s="56"/>
      <c r="AQ75" s="56"/>
      <c r="AR75" s="56"/>
      <c r="AS75" s="56"/>
      <c r="AT75" s="56"/>
      <c r="AU75" s="56"/>
      <c r="AV75" s="56"/>
      <c r="AW75" s="56"/>
      <c r="AX75" s="56"/>
      <c r="AY75" s="56"/>
      <c r="AZ75" s="56"/>
      <c r="BA75" s="56"/>
      <c r="BB75" s="56"/>
      <c r="BC75" s="56"/>
      <c r="BD75" s="56"/>
      <c r="BE75" s="56"/>
      <c r="BF75" s="56"/>
      <c r="BG75" s="56"/>
      <c r="BH75" s="56"/>
      <c r="BI75" s="56"/>
      <c r="BJ75" s="56"/>
      <c r="BK75" s="56"/>
      <c r="BL75" s="56"/>
      <c r="BM75" s="56"/>
      <c r="BN75" s="56"/>
      <c r="BO75" s="56"/>
      <c r="BP75" s="56"/>
      <c r="BQ75" s="56"/>
      <c r="BR75" s="56"/>
      <c r="BS75" s="56"/>
    </row>
    <row r="76" spans="2:71" x14ac:dyDescent="0.25">
      <c r="B76" s="323"/>
      <c r="C76" s="324"/>
      <c r="D76" s="325"/>
      <c r="E76" s="326"/>
      <c r="F76" s="198"/>
      <c r="G76" s="327"/>
      <c r="H76" s="201"/>
      <c r="I76" s="198"/>
      <c r="J76" s="193"/>
      <c r="K76" s="198"/>
      <c r="L76" s="328"/>
      <c r="M76" s="350"/>
      <c r="N76" s="322"/>
      <c r="O76" s="186"/>
      <c r="P76" s="209"/>
      <c r="Q76" s="209"/>
      <c r="R76" s="209"/>
      <c r="S76" s="209"/>
      <c r="T76" s="209"/>
      <c r="U76" s="209"/>
      <c r="V76" s="209"/>
      <c r="W76" s="209"/>
      <c r="X76" s="209"/>
      <c r="Y76" s="209"/>
      <c r="Z76" s="209"/>
      <c r="AA76" s="209"/>
      <c r="AB76" s="209"/>
      <c r="AC76" s="209"/>
      <c r="AD76" s="209"/>
      <c r="AE76" s="209"/>
      <c r="AF76" s="209"/>
      <c r="AG76" s="209"/>
      <c r="AH76" s="209"/>
      <c r="AI76" s="209"/>
      <c r="AJ76" s="209"/>
      <c r="AK76" s="209"/>
      <c r="AL76" s="209"/>
      <c r="AM76" s="209"/>
      <c r="AN76" s="209"/>
      <c r="AO76" s="56"/>
      <c r="AP76" s="56"/>
      <c r="AQ76" s="56"/>
      <c r="AR76" s="56"/>
      <c r="AS76" s="56"/>
      <c r="AT76" s="56"/>
      <c r="AU76" s="56"/>
      <c r="AV76" s="56"/>
      <c r="AW76" s="56"/>
      <c r="AX76" s="56"/>
      <c r="AY76" s="56"/>
      <c r="AZ76" s="56"/>
      <c r="BA76" s="56"/>
      <c r="BB76" s="56"/>
      <c r="BC76" s="56"/>
      <c r="BD76" s="56"/>
      <c r="BE76" s="56"/>
      <c r="BF76" s="56"/>
      <c r="BG76" s="56"/>
      <c r="BH76" s="56"/>
      <c r="BI76" s="56"/>
      <c r="BJ76" s="56"/>
      <c r="BK76" s="56"/>
      <c r="BL76" s="56"/>
      <c r="BM76" s="56"/>
      <c r="BN76" s="56"/>
      <c r="BO76" s="56"/>
      <c r="BP76" s="56"/>
      <c r="BQ76" s="56"/>
      <c r="BR76" s="56"/>
      <c r="BS76" s="56"/>
    </row>
    <row r="77" spans="2:71" x14ac:dyDescent="0.25">
      <c r="B77" s="323"/>
      <c r="C77" s="324"/>
      <c r="D77" s="325"/>
      <c r="E77" s="326"/>
      <c r="F77" s="198"/>
      <c r="G77" s="327"/>
      <c r="H77" s="201"/>
      <c r="I77" s="198"/>
      <c r="J77" s="193"/>
      <c r="K77" s="198"/>
      <c r="L77" s="328"/>
      <c r="M77" s="350"/>
      <c r="N77" s="322"/>
      <c r="O77" s="186"/>
      <c r="P77" s="209"/>
      <c r="Q77" s="209"/>
      <c r="R77" s="209"/>
      <c r="S77" s="209"/>
      <c r="T77" s="209"/>
      <c r="U77" s="209"/>
      <c r="V77" s="209"/>
      <c r="W77" s="209"/>
      <c r="X77" s="209"/>
      <c r="Y77" s="209"/>
      <c r="Z77" s="209"/>
      <c r="AA77" s="209"/>
      <c r="AB77" s="209"/>
      <c r="AC77" s="209"/>
      <c r="AD77" s="209"/>
      <c r="AE77" s="209"/>
      <c r="AF77" s="209"/>
      <c r="AG77" s="209"/>
      <c r="AH77" s="209"/>
      <c r="AI77" s="209"/>
      <c r="AJ77" s="209"/>
      <c r="AK77" s="209"/>
      <c r="AL77" s="209"/>
      <c r="AM77" s="209"/>
      <c r="AN77" s="209"/>
      <c r="AO77" s="56"/>
      <c r="AP77" s="56"/>
      <c r="AQ77" s="56"/>
      <c r="AR77" s="56"/>
      <c r="AS77" s="56"/>
      <c r="AT77" s="56"/>
      <c r="AU77" s="56"/>
      <c r="AV77" s="56"/>
      <c r="AW77" s="56"/>
      <c r="AX77" s="56"/>
      <c r="AY77" s="56"/>
      <c r="AZ77" s="56"/>
      <c r="BA77" s="56"/>
      <c r="BB77" s="56"/>
      <c r="BC77" s="56"/>
      <c r="BD77" s="56"/>
      <c r="BE77" s="56"/>
      <c r="BF77" s="56"/>
      <c r="BG77" s="56"/>
      <c r="BH77" s="56"/>
      <c r="BI77" s="56"/>
      <c r="BJ77" s="56"/>
      <c r="BK77" s="56"/>
      <c r="BL77" s="56"/>
      <c r="BM77" s="56"/>
      <c r="BN77" s="56"/>
      <c r="BO77" s="56"/>
      <c r="BP77" s="56"/>
      <c r="BQ77" s="56"/>
      <c r="BR77" s="56"/>
      <c r="BS77" s="56"/>
    </row>
    <row r="78" spans="2:71" x14ac:dyDescent="0.25">
      <c r="B78" s="323"/>
      <c r="C78" s="324"/>
      <c r="D78" s="325"/>
      <c r="E78" s="326"/>
      <c r="F78" s="198"/>
      <c r="G78" s="327"/>
      <c r="H78" s="201"/>
      <c r="I78" s="198"/>
      <c r="J78" s="193"/>
      <c r="K78" s="198"/>
      <c r="L78" s="328"/>
      <c r="M78" s="350"/>
      <c r="N78" s="322"/>
      <c r="O78" s="186"/>
      <c r="P78" s="209"/>
      <c r="Q78" s="209"/>
      <c r="R78" s="209"/>
      <c r="S78" s="209"/>
      <c r="T78" s="209"/>
      <c r="U78" s="209"/>
      <c r="V78" s="209"/>
      <c r="W78" s="209"/>
      <c r="X78" s="209"/>
      <c r="Y78" s="209"/>
      <c r="Z78" s="209"/>
      <c r="AA78" s="209"/>
      <c r="AB78" s="209"/>
      <c r="AC78" s="209"/>
      <c r="AD78" s="209"/>
      <c r="AE78" s="209"/>
      <c r="AF78" s="209"/>
      <c r="AG78" s="209"/>
      <c r="AH78" s="209"/>
      <c r="AI78" s="209"/>
      <c r="AJ78" s="209"/>
      <c r="AK78" s="209"/>
      <c r="AL78" s="209"/>
      <c r="AM78" s="209"/>
      <c r="AN78" s="209"/>
      <c r="AO78" s="56"/>
      <c r="AP78" s="56"/>
      <c r="AQ78" s="56"/>
      <c r="AR78" s="56"/>
      <c r="AS78" s="56"/>
      <c r="AT78" s="56"/>
      <c r="AU78" s="56"/>
      <c r="AV78" s="56"/>
      <c r="AW78" s="56"/>
      <c r="AX78" s="56"/>
      <c r="AY78" s="56"/>
      <c r="AZ78" s="56"/>
      <c r="BA78" s="56"/>
      <c r="BB78" s="56"/>
      <c r="BC78" s="56"/>
      <c r="BD78" s="56"/>
      <c r="BE78" s="56"/>
      <c r="BF78" s="56"/>
      <c r="BG78" s="56"/>
      <c r="BH78" s="56"/>
      <c r="BI78" s="56"/>
      <c r="BJ78" s="56"/>
      <c r="BK78" s="56"/>
      <c r="BL78" s="56"/>
      <c r="BM78" s="56"/>
      <c r="BN78" s="56"/>
      <c r="BO78" s="56"/>
      <c r="BP78" s="56"/>
      <c r="BQ78" s="56"/>
      <c r="BR78" s="56"/>
      <c r="BS78" s="56"/>
    </row>
    <row r="79" spans="2:71" x14ac:dyDescent="0.25">
      <c r="B79" s="323"/>
      <c r="C79" s="324"/>
      <c r="D79" s="325"/>
      <c r="E79" s="326"/>
      <c r="F79" s="198"/>
      <c r="G79" s="327"/>
      <c r="H79" s="201"/>
      <c r="I79" s="198"/>
      <c r="J79" s="193"/>
      <c r="K79" s="198"/>
      <c r="L79" s="328"/>
      <c r="M79" s="350"/>
      <c r="N79" s="322"/>
      <c r="O79" s="186"/>
      <c r="P79" s="209"/>
      <c r="Q79" s="209"/>
      <c r="R79" s="209"/>
      <c r="S79" s="209"/>
      <c r="T79" s="209"/>
      <c r="U79" s="209"/>
      <c r="V79" s="209"/>
      <c r="W79" s="209"/>
      <c r="X79" s="209"/>
      <c r="Y79" s="209"/>
      <c r="Z79" s="209"/>
      <c r="AA79" s="209"/>
      <c r="AB79" s="209"/>
      <c r="AC79" s="209"/>
      <c r="AD79" s="209"/>
      <c r="AE79" s="209"/>
      <c r="AF79" s="209"/>
      <c r="AG79" s="209"/>
      <c r="AH79" s="209"/>
      <c r="AI79" s="209"/>
      <c r="AJ79" s="209"/>
      <c r="AK79" s="209"/>
      <c r="AL79" s="209"/>
      <c r="AM79" s="209"/>
      <c r="AN79" s="209"/>
      <c r="AO79" s="56"/>
      <c r="AP79" s="56"/>
      <c r="AQ79" s="56"/>
      <c r="AR79" s="56"/>
      <c r="AS79" s="56"/>
      <c r="AT79" s="56"/>
      <c r="AU79" s="56"/>
      <c r="AV79" s="56"/>
      <c r="AW79" s="56"/>
      <c r="AX79" s="56"/>
      <c r="AY79" s="56"/>
      <c r="AZ79" s="56"/>
      <c r="BA79" s="56"/>
      <c r="BB79" s="56"/>
      <c r="BC79" s="56"/>
      <c r="BD79" s="56"/>
      <c r="BE79" s="56"/>
      <c r="BF79" s="56"/>
      <c r="BG79" s="56"/>
      <c r="BH79" s="56"/>
      <c r="BI79" s="56"/>
      <c r="BJ79" s="56"/>
      <c r="BK79" s="56"/>
      <c r="BL79" s="56"/>
      <c r="BM79" s="56"/>
      <c r="BN79" s="56"/>
      <c r="BO79" s="56"/>
      <c r="BP79" s="56"/>
      <c r="BQ79" s="56"/>
      <c r="BR79" s="56"/>
      <c r="BS79" s="56"/>
    </row>
    <row r="80" spans="2:71" x14ac:dyDescent="0.25">
      <c r="B80" s="323"/>
      <c r="C80" s="324"/>
      <c r="D80" s="325"/>
      <c r="E80" s="326"/>
      <c r="F80" s="198"/>
      <c r="G80" s="327"/>
      <c r="H80" s="201"/>
      <c r="I80" s="198"/>
      <c r="J80" s="193"/>
      <c r="K80" s="198"/>
      <c r="L80" s="328"/>
      <c r="M80" s="350"/>
      <c r="N80" s="322"/>
      <c r="O80" s="186"/>
      <c r="P80" s="209"/>
      <c r="Q80" s="209"/>
      <c r="R80" s="209"/>
      <c r="S80" s="209"/>
      <c r="T80" s="209"/>
      <c r="U80" s="209"/>
      <c r="V80" s="209"/>
      <c r="W80" s="209"/>
      <c r="X80" s="209"/>
      <c r="Y80" s="209"/>
      <c r="Z80" s="209"/>
      <c r="AA80" s="209"/>
      <c r="AB80" s="209"/>
      <c r="AC80" s="209"/>
      <c r="AD80" s="209"/>
      <c r="AE80" s="209"/>
      <c r="AF80" s="209"/>
      <c r="AG80" s="209"/>
      <c r="AH80" s="209"/>
      <c r="AI80" s="209"/>
      <c r="AJ80" s="209"/>
      <c r="AK80" s="209"/>
      <c r="AL80" s="209"/>
      <c r="AM80" s="209"/>
      <c r="AN80" s="209"/>
      <c r="AO80" s="56"/>
      <c r="AP80" s="56"/>
      <c r="AQ80" s="56"/>
      <c r="AR80" s="56"/>
      <c r="AS80" s="56"/>
      <c r="AT80" s="56"/>
      <c r="AU80" s="56"/>
      <c r="AV80" s="56"/>
      <c r="AW80" s="56"/>
      <c r="AX80" s="56"/>
      <c r="AY80" s="56"/>
      <c r="AZ80" s="56"/>
      <c r="BA80" s="56"/>
      <c r="BB80" s="56"/>
      <c r="BC80" s="56"/>
      <c r="BD80" s="56"/>
      <c r="BE80" s="56"/>
      <c r="BF80" s="56"/>
      <c r="BG80" s="56"/>
      <c r="BH80" s="56"/>
      <c r="BI80" s="56"/>
      <c r="BJ80" s="56"/>
      <c r="BK80" s="56"/>
      <c r="BL80" s="56"/>
      <c r="BM80" s="56"/>
      <c r="BN80" s="56"/>
      <c r="BO80" s="56"/>
      <c r="BP80" s="56"/>
      <c r="BQ80" s="56"/>
      <c r="BR80" s="56"/>
      <c r="BS80" s="56"/>
    </row>
    <row r="81" spans="2:71" x14ac:dyDescent="0.25">
      <c r="B81" s="323"/>
      <c r="C81" s="324"/>
      <c r="D81" s="325"/>
      <c r="E81" s="326"/>
      <c r="F81" s="198"/>
      <c r="G81" s="327"/>
      <c r="H81" s="201"/>
      <c r="I81" s="198"/>
      <c r="J81" s="193"/>
      <c r="K81" s="198"/>
      <c r="L81" s="328"/>
      <c r="M81" s="350"/>
      <c r="N81" s="322"/>
      <c r="O81" s="186"/>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56"/>
      <c r="AP81" s="56"/>
      <c r="AQ81" s="56"/>
      <c r="AR81" s="56"/>
      <c r="AS81" s="56"/>
      <c r="AT81" s="56"/>
      <c r="AU81" s="56"/>
      <c r="AV81" s="56"/>
      <c r="AW81" s="56"/>
      <c r="AX81" s="56"/>
      <c r="AY81" s="56"/>
      <c r="AZ81" s="56"/>
      <c r="BA81" s="56"/>
      <c r="BB81" s="56"/>
      <c r="BC81" s="56"/>
      <c r="BD81" s="56"/>
      <c r="BE81" s="56"/>
      <c r="BF81" s="56"/>
      <c r="BG81" s="56"/>
      <c r="BH81" s="56"/>
      <c r="BI81" s="56"/>
      <c r="BJ81" s="56"/>
      <c r="BK81" s="56"/>
      <c r="BL81" s="56"/>
      <c r="BM81" s="56"/>
      <c r="BN81" s="56"/>
      <c r="BO81" s="56"/>
      <c r="BP81" s="56"/>
      <c r="BQ81" s="56"/>
      <c r="BR81" s="56"/>
      <c r="BS81" s="56"/>
    </row>
    <row r="82" spans="2:71" x14ac:dyDescent="0.25">
      <c r="B82" s="323"/>
      <c r="C82" s="324"/>
      <c r="D82" s="325"/>
      <c r="E82" s="326"/>
      <c r="F82" s="198"/>
      <c r="G82" s="327"/>
      <c r="H82" s="201"/>
      <c r="I82" s="198"/>
      <c r="J82" s="193"/>
      <c r="K82" s="198"/>
      <c r="L82" s="328"/>
      <c r="M82" s="350"/>
      <c r="N82" s="322"/>
      <c r="O82" s="186"/>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56"/>
      <c r="AP82" s="56"/>
      <c r="AQ82" s="56"/>
      <c r="AR82" s="56"/>
      <c r="AS82" s="56"/>
      <c r="AT82" s="56"/>
      <c r="AU82" s="56"/>
      <c r="AV82" s="56"/>
      <c r="AW82" s="56"/>
      <c r="AX82" s="56"/>
      <c r="AY82" s="56"/>
      <c r="AZ82" s="56"/>
      <c r="BA82" s="56"/>
      <c r="BB82" s="56"/>
      <c r="BC82" s="56"/>
      <c r="BD82" s="56"/>
      <c r="BE82" s="56"/>
      <c r="BF82" s="56"/>
      <c r="BG82" s="56"/>
      <c r="BH82" s="56"/>
      <c r="BI82" s="56"/>
      <c r="BJ82" s="56"/>
      <c r="BK82" s="56"/>
      <c r="BL82" s="56"/>
      <c r="BM82" s="56"/>
      <c r="BN82" s="56"/>
      <c r="BO82" s="56"/>
      <c r="BP82" s="56"/>
      <c r="BQ82" s="56"/>
      <c r="BR82" s="56"/>
      <c r="BS82" s="56"/>
    </row>
    <row r="83" spans="2:71" x14ac:dyDescent="0.25">
      <c r="B83" s="323"/>
      <c r="C83" s="324"/>
      <c r="D83" s="325"/>
      <c r="E83" s="326"/>
      <c r="F83" s="198"/>
      <c r="G83" s="327"/>
      <c r="H83" s="201"/>
      <c r="I83" s="198"/>
      <c r="J83" s="193"/>
      <c r="K83" s="198"/>
      <c r="L83" s="328"/>
      <c r="M83" s="350"/>
      <c r="N83" s="322"/>
      <c r="O83" s="186"/>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56"/>
      <c r="AP83" s="56"/>
      <c r="AQ83" s="56"/>
      <c r="AR83" s="56"/>
      <c r="AS83" s="56"/>
      <c r="AT83" s="56"/>
      <c r="AU83" s="56"/>
      <c r="AV83" s="56"/>
      <c r="AW83" s="56"/>
      <c r="AX83" s="56"/>
      <c r="AY83" s="56"/>
      <c r="AZ83" s="56"/>
      <c r="BA83" s="56"/>
      <c r="BB83" s="56"/>
      <c r="BC83" s="56"/>
      <c r="BD83" s="56"/>
      <c r="BE83" s="56"/>
      <c r="BF83" s="56"/>
      <c r="BG83" s="56"/>
      <c r="BH83" s="56"/>
      <c r="BI83" s="56"/>
      <c r="BJ83" s="56"/>
      <c r="BK83" s="56"/>
      <c r="BL83" s="56"/>
      <c r="BM83" s="56"/>
      <c r="BN83" s="56"/>
      <c r="BO83" s="56"/>
      <c r="BP83" s="56"/>
      <c r="BQ83" s="56"/>
      <c r="BR83" s="56"/>
      <c r="BS83" s="56"/>
    </row>
    <row r="84" spans="2:71" x14ac:dyDescent="0.25">
      <c r="B84" s="323"/>
      <c r="C84" s="324"/>
      <c r="D84" s="325"/>
      <c r="E84" s="326"/>
      <c r="F84" s="198"/>
      <c r="G84" s="327"/>
      <c r="H84" s="201"/>
      <c r="I84" s="198"/>
      <c r="J84" s="193"/>
      <c r="K84" s="198"/>
      <c r="L84" s="328"/>
      <c r="M84" s="350"/>
      <c r="N84" s="322"/>
      <c r="O84" s="186"/>
      <c r="P84" s="209"/>
      <c r="Q84" s="209"/>
      <c r="R84" s="209"/>
      <c r="S84" s="209"/>
      <c r="T84" s="209"/>
      <c r="U84" s="209"/>
      <c r="V84" s="209"/>
      <c r="W84" s="209"/>
      <c r="X84" s="209"/>
      <c r="Y84" s="209"/>
      <c r="Z84" s="209"/>
      <c r="AA84" s="209"/>
      <c r="AB84" s="209"/>
      <c r="AC84" s="209"/>
      <c r="AD84" s="209"/>
      <c r="AE84" s="209"/>
      <c r="AF84" s="209"/>
      <c r="AG84" s="209"/>
      <c r="AH84" s="209"/>
      <c r="AI84" s="209"/>
      <c r="AJ84" s="209"/>
      <c r="AK84" s="209"/>
      <c r="AL84" s="209"/>
      <c r="AM84" s="209"/>
      <c r="AN84" s="209"/>
      <c r="AO84" s="56"/>
      <c r="AP84" s="56"/>
      <c r="AQ84" s="56"/>
      <c r="AR84" s="56"/>
      <c r="AS84" s="56"/>
      <c r="AT84" s="56"/>
      <c r="AU84" s="56"/>
      <c r="AV84" s="56"/>
      <c r="AW84" s="56"/>
      <c r="AX84" s="56"/>
      <c r="AY84" s="56"/>
      <c r="AZ84" s="56"/>
      <c r="BA84" s="56"/>
      <c r="BB84" s="56"/>
      <c r="BC84" s="56"/>
      <c r="BD84" s="56"/>
      <c r="BE84" s="56"/>
      <c r="BF84" s="56"/>
      <c r="BG84" s="56"/>
      <c r="BH84" s="56"/>
      <c r="BI84" s="56"/>
      <c r="BJ84" s="56"/>
      <c r="BK84" s="56"/>
      <c r="BL84" s="56"/>
      <c r="BM84" s="56"/>
      <c r="BN84" s="56"/>
      <c r="BO84" s="56"/>
      <c r="BP84" s="56"/>
      <c r="BQ84" s="56"/>
      <c r="BR84" s="56"/>
      <c r="BS84" s="56"/>
    </row>
    <row r="85" spans="2:71" x14ac:dyDescent="0.25">
      <c r="B85" s="323"/>
      <c r="C85" s="324"/>
      <c r="D85" s="325"/>
      <c r="E85" s="326"/>
      <c r="F85" s="198"/>
      <c r="G85" s="327"/>
      <c r="H85" s="201"/>
      <c r="I85" s="198"/>
      <c r="J85" s="193"/>
      <c r="K85" s="198"/>
      <c r="L85" s="328"/>
      <c r="M85" s="350"/>
      <c r="N85" s="322"/>
      <c r="O85" s="186"/>
      <c r="P85" s="209"/>
      <c r="Q85" s="209"/>
      <c r="R85" s="209"/>
      <c r="S85" s="209"/>
      <c r="T85" s="209"/>
      <c r="U85" s="209"/>
      <c r="V85" s="209"/>
      <c r="W85" s="209"/>
      <c r="X85" s="209"/>
      <c r="Y85" s="209"/>
      <c r="Z85" s="209"/>
      <c r="AA85" s="209"/>
      <c r="AB85" s="209"/>
      <c r="AC85" s="209"/>
      <c r="AD85" s="209"/>
      <c r="AE85" s="209"/>
      <c r="AF85" s="209"/>
      <c r="AG85" s="209"/>
      <c r="AH85" s="209"/>
      <c r="AI85" s="209"/>
      <c r="AJ85" s="209"/>
      <c r="AK85" s="209"/>
      <c r="AL85" s="209"/>
      <c r="AM85" s="209"/>
      <c r="AN85" s="209"/>
      <c r="AO85" s="56"/>
      <c r="AP85" s="56"/>
      <c r="AQ85" s="56"/>
      <c r="AR85" s="56"/>
      <c r="AS85" s="56"/>
      <c r="AT85" s="56"/>
      <c r="AU85" s="56"/>
      <c r="AV85" s="56"/>
      <c r="AW85" s="56"/>
      <c r="AX85" s="56"/>
      <c r="AY85" s="56"/>
      <c r="AZ85" s="56"/>
      <c r="BA85" s="56"/>
      <c r="BB85" s="56"/>
      <c r="BC85" s="56"/>
      <c r="BD85" s="56"/>
      <c r="BE85" s="56"/>
      <c r="BF85" s="56"/>
      <c r="BG85" s="56"/>
      <c r="BH85" s="56"/>
      <c r="BI85" s="56"/>
      <c r="BJ85" s="56"/>
      <c r="BK85" s="56"/>
      <c r="BL85" s="56"/>
      <c r="BM85" s="56"/>
      <c r="BN85" s="56"/>
      <c r="BO85" s="56"/>
      <c r="BP85" s="56"/>
      <c r="BQ85" s="56"/>
      <c r="BR85" s="56"/>
      <c r="BS85" s="56"/>
    </row>
    <row r="86" spans="2:71" x14ac:dyDescent="0.25">
      <c r="B86" s="323"/>
      <c r="C86" s="324"/>
      <c r="D86" s="325"/>
      <c r="E86" s="326"/>
      <c r="F86" s="198"/>
      <c r="G86" s="327"/>
      <c r="H86" s="201"/>
      <c r="I86" s="198"/>
      <c r="J86" s="193"/>
      <c r="K86" s="198"/>
      <c r="L86" s="328"/>
      <c r="M86" s="350"/>
      <c r="N86" s="322"/>
      <c r="O86" s="186"/>
      <c r="P86" s="209"/>
      <c r="Q86" s="209"/>
      <c r="R86" s="209"/>
      <c r="S86" s="209"/>
      <c r="T86" s="209"/>
      <c r="U86" s="209"/>
      <c r="V86" s="209"/>
      <c r="W86" s="209"/>
      <c r="X86" s="209"/>
      <c r="Y86" s="209"/>
      <c r="Z86" s="209"/>
      <c r="AA86" s="209"/>
      <c r="AB86" s="209"/>
      <c r="AC86" s="209"/>
      <c r="AD86" s="209"/>
      <c r="AE86" s="209"/>
      <c r="AF86" s="209"/>
      <c r="AG86" s="209"/>
      <c r="AH86" s="209"/>
      <c r="AI86" s="209"/>
      <c r="AJ86" s="209"/>
      <c r="AK86" s="209"/>
      <c r="AL86" s="209"/>
      <c r="AM86" s="209"/>
      <c r="AN86" s="209"/>
      <c r="AO86" s="56"/>
      <c r="AP86" s="56"/>
      <c r="AQ86" s="56"/>
      <c r="AR86" s="56"/>
      <c r="AS86" s="56"/>
      <c r="AT86" s="56"/>
      <c r="AU86" s="56"/>
      <c r="AV86" s="56"/>
      <c r="AW86" s="56"/>
      <c r="AX86" s="56"/>
      <c r="AY86" s="56"/>
      <c r="AZ86" s="56"/>
      <c r="BA86" s="56"/>
      <c r="BB86" s="56"/>
      <c r="BC86" s="56"/>
      <c r="BD86" s="56"/>
      <c r="BE86" s="56"/>
      <c r="BF86" s="56"/>
      <c r="BG86" s="56"/>
      <c r="BH86" s="56"/>
      <c r="BI86" s="56"/>
      <c r="BJ86" s="56"/>
      <c r="BK86" s="56"/>
      <c r="BL86" s="56"/>
      <c r="BM86" s="56"/>
      <c r="BN86" s="56"/>
      <c r="BO86" s="56"/>
      <c r="BP86" s="56"/>
      <c r="BQ86" s="56"/>
      <c r="BR86" s="56"/>
      <c r="BS86" s="56"/>
    </row>
    <row r="87" spans="2:71" x14ac:dyDescent="0.25">
      <c r="B87" s="323"/>
      <c r="C87" s="324"/>
      <c r="D87" s="325"/>
      <c r="E87" s="326"/>
      <c r="F87" s="198"/>
      <c r="G87" s="327"/>
      <c r="H87" s="201"/>
      <c r="I87" s="198"/>
      <c r="J87" s="193"/>
      <c r="K87" s="198"/>
      <c r="L87" s="328"/>
      <c r="M87" s="350"/>
      <c r="N87" s="322"/>
      <c r="O87" s="186"/>
      <c r="P87" s="209"/>
      <c r="Q87" s="209"/>
      <c r="R87" s="209"/>
      <c r="S87" s="209"/>
      <c r="T87" s="209"/>
      <c r="U87" s="209"/>
      <c r="V87" s="209"/>
      <c r="W87" s="209"/>
      <c r="X87" s="209"/>
      <c r="Y87" s="209"/>
      <c r="Z87" s="209"/>
      <c r="AA87" s="209"/>
      <c r="AB87" s="209"/>
      <c r="AC87" s="209"/>
      <c r="AD87" s="209"/>
      <c r="AE87" s="209"/>
      <c r="AF87" s="209"/>
      <c r="AG87" s="209"/>
      <c r="AH87" s="209"/>
      <c r="AI87" s="209"/>
      <c r="AJ87" s="209"/>
      <c r="AK87" s="209"/>
      <c r="AL87" s="209"/>
      <c r="AM87" s="209"/>
      <c r="AN87" s="209"/>
      <c r="AO87" s="56"/>
      <c r="AP87" s="56"/>
      <c r="AQ87" s="56"/>
      <c r="AR87" s="56"/>
      <c r="AS87" s="56"/>
      <c r="AT87" s="56"/>
      <c r="AU87" s="56"/>
      <c r="AV87" s="56"/>
      <c r="AW87" s="56"/>
      <c r="AX87" s="56"/>
      <c r="AY87" s="56"/>
      <c r="AZ87" s="56"/>
      <c r="BA87" s="56"/>
      <c r="BB87" s="56"/>
      <c r="BC87" s="56"/>
      <c r="BD87" s="56"/>
      <c r="BE87" s="56"/>
      <c r="BF87" s="56"/>
      <c r="BG87" s="56"/>
      <c r="BH87" s="56"/>
      <c r="BI87" s="56"/>
      <c r="BJ87" s="56"/>
      <c r="BK87" s="56"/>
      <c r="BL87" s="56"/>
      <c r="BM87" s="56"/>
      <c r="BN87" s="56"/>
      <c r="BO87" s="56"/>
      <c r="BP87" s="56"/>
      <c r="BQ87" s="56"/>
      <c r="BR87" s="56"/>
      <c r="BS87" s="56"/>
    </row>
    <row r="88" spans="2:71" x14ac:dyDescent="0.25">
      <c r="B88" s="323"/>
      <c r="C88" s="324"/>
      <c r="D88" s="325"/>
      <c r="E88" s="326"/>
      <c r="F88" s="198"/>
      <c r="G88" s="327"/>
      <c r="H88" s="201"/>
      <c r="I88" s="198"/>
      <c r="J88" s="193"/>
      <c r="K88" s="198"/>
      <c r="L88" s="328"/>
      <c r="M88" s="350"/>
      <c r="N88" s="322"/>
      <c r="O88" s="186"/>
      <c r="P88" s="209"/>
      <c r="Q88" s="209"/>
      <c r="R88" s="209"/>
      <c r="S88" s="209"/>
      <c r="T88" s="209"/>
      <c r="U88" s="209"/>
      <c r="V88" s="209"/>
      <c r="W88" s="209"/>
      <c r="X88" s="209"/>
      <c r="Y88" s="209"/>
      <c r="Z88" s="209"/>
      <c r="AA88" s="209"/>
      <c r="AB88" s="209"/>
      <c r="AC88" s="209"/>
      <c r="AD88" s="209"/>
      <c r="AE88" s="209"/>
      <c r="AF88" s="209"/>
      <c r="AG88" s="209"/>
      <c r="AH88" s="209"/>
      <c r="AI88" s="209"/>
      <c r="AJ88" s="209"/>
      <c r="AK88" s="209"/>
      <c r="AL88" s="209"/>
      <c r="AM88" s="209"/>
      <c r="AN88" s="209"/>
      <c r="AO88" s="56"/>
      <c r="AP88" s="56"/>
      <c r="AQ88" s="56"/>
      <c r="AR88" s="56"/>
      <c r="AS88" s="56"/>
      <c r="AT88" s="56"/>
      <c r="AU88" s="56"/>
      <c r="AV88" s="56"/>
      <c r="AW88" s="56"/>
      <c r="AX88" s="56"/>
      <c r="AY88" s="56"/>
      <c r="AZ88" s="56"/>
      <c r="BA88" s="56"/>
      <c r="BB88" s="56"/>
      <c r="BC88" s="56"/>
      <c r="BD88" s="56"/>
      <c r="BE88" s="56"/>
      <c r="BF88" s="56"/>
      <c r="BG88" s="56"/>
      <c r="BH88" s="56"/>
      <c r="BI88" s="56"/>
      <c r="BJ88" s="56"/>
      <c r="BK88" s="56"/>
      <c r="BL88" s="56"/>
      <c r="BM88" s="56"/>
      <c r="BN88" s="56"/>
      <c r="BO88" s="56"/>
      <c r="BP88" s="56"/>
      <c r="BQ88" s="56"/>
      <c r="BR88" s="56"/>
      <c r="BS88" s="56"/>
    </row>
    <row r="89" spans="2:71" x14ac:dyDescent="0.25">
      <c r="B89" s="323"/>
      <c r="C89" s="324"/>
      <c r="D89" s="325"/>
      <c r="E89" s="326"/>
      <c r="F89" s="198"/>
      <c r="G89" s="327"/>
      <c r="H89" s="201"/>
      <c r="I89" s="198"/>
      <c r="J89" s="193"/>
      <c r="K89" s="198"/>
      <c r="L89" s="328"/>
      <c r="M89" s="350"/>
      <c r="N89" s="322"/>
      <c r="O89" s="186"/>
      <c r="P89" s="209"/>
      <c r="Q89" s="209"/>
      <c r="R89" s="209"/>
      <c r="S89" s="209"/>
      <c r="T89" s="209"/>
      <c r="U89" s="209"/>
      <c r="V89" s="209"/>
      <c r="W89" s="209"/>
      <c r="X89" s="209"/>
      <c r="Y89" s="209"/>
      <c r="Z89" s="209"/>
      <c r="AA89" s="209"/>
      <c r="AB89" s="209"/>
      <c r="AC89" s="209"/>
      <c r="AD89" s="209"/>
      <c r="AE89" s="209"/>
      <c r="AF89" s="209"/>
      <c r="AG89" s="209"/>
      <c r="AH89" s="209"/>
      <c r="AI89" s="209"/>
      <c r="AJ89" s="209"/>
      <c r="AK89" s="209"/>
      <c r="AL89" s="209"/>
      <c r="AM89" s="209"/>
      <c r="AN89" s="209"/>
      <c r="AO89" s="56"/>
      <c r="AP89" s="56"/>
      <c r="AQ89" s="56"/>
      <c r="AR89" s="56"/>
      <c r="AS89" s="56"/>
      <c r="AT89" s="56"/>
      <c r="AU89" s="56"/>
      <c r="AV89" s="56"/>
      <c r="AW89" s="56"/>
      <c r="AX89" s="56"/>
      <c r="AY89" s="56"/>
      <c r="AZ89" s="56"/>
      <c r="BA89" s="56"/>
      <c r="BB89" s="56"/>
      <c r="BC89" s="56"/>
      <c r="BD89" s="56"/>
      <c r="BE89" s="56"/>
      <c r="BF89" s="56"/>
      <c r="BG89" s="56"/>
      <c r="BH89" s="56"/>
      <c r="BI89" s="56"/>
      <c r="BJ89" s="56"/>
      <c r="BK89" s="56"/>
      <c r="BL89" s="56"/>
      <c r="BM89" s="56"/>
      <c r="BN89" s="56"/>
      <c r="BO89" s="56"/>
      <c r="BP89" s="56"/>
      <c r="BQ89" s="56"/>
      <c r="BR89" s="56"/>
      <c r="BS89" s="56"/>
    </row>
    <row r="90" spans="2:71" x14ac:dyDescent="0.25">
      <c r="B90" s="323"/>
      <c r="C90" s="324"/>
      <c r="D90" s="325"/>
      <c r="E90" s="326"/>
      <c r="F90" s="198"/>
      <c r="G90" s="327"/>
      <c r="H90" s="201"/>
      <c r="I90" s="198"/>
      <c r="J90" s="193"/>
      <c r="K90" s="198"/>
      <c r="L90" s="328"/>
      <c r="M90" s="350"/>
      <c r="N90" s="322"/>
      <c r="O90" s="186"/>
      <c r="P90" s="209"/>
      <c r="Q90" s="209"/>
      <c r="R90" s="209"/>
      <c r="S90" s="209"/>
      <c r="T90" s="209"/>
      <c r="U90" s="209"/>
      <c r="V90" s="209"/>
      <c r="W90" s="209"/>
      <c r="X90" s="209"/>
      <c r="Y90" s="209"/>
      <c r="Z90" s="209"/>
      <c r="AA90" s="209"/>
      <c r="AB90" s="209"/>
      <c r="AC90" s="209"/>
      <c r="AD90" s="209"/>
      <c r="AE90" s="209"/>
      <c r="AF90" s="209"/>
      <c r="AG90" s="209"/>
      <c r="AH90" s="209"/>
      <c r="AI90" s="209"/>
      <c r="AJ90" s="209"/>
      <c r="AK90" s="209"/>
      <c r="AL90" s="209"/>
      <c r="AM90" s="209"/>
      <c r="AN90" s="209"/>
      <c r="AO90" s="56"/>
      <c r="AP90" s="56"/>
      <c r="AQ90" s="56"/>
      <c r="AR90" s="56"/>
      <c r="AS90" s="56"/>
      <c r="AT90" s="56"/>
      <c r="AU90" s="56"/>
      <c r="AV90" s="56"/>
      <c r="AW90" s="56"/>
      <c r="AX90" s="56"/>
      <c r="AY90" s="56"/>
      <c r="AZ90" s="56"/>
      <c r="BA90" s="56"/>
      <c r="BB90" s="56"/>
      <c r="BC90" s="56"/>
      <c r="BD90" s="56"/>
      <c r="BE90" s="56"/>
      <c r="BF90" s="56"/>
      <c r="BG90" s="56"/>
      <c r="BH90" s="56"/>
      <c r="BI90" s="56"/>
      <c r="BJ90" s="56"/>
      <c r="BK90" s="56"/>
      <c r="BL90" s="56"/>
      <c r="BM90" s="56"/>
      <c r="BN90" s="56"/>
      <c r="BO90" s="56"/>
      <c r="BP90" s="56"/>
      <c r="BQ90" s="56"/>
      <c r="BR90" s="56"/>
      <c r="BS90" s="56"/>
    </row>
    <row r="91" spans="2:71" x14ac:dyDescent="0.25">
      <c r="B91" s="323"/>
      <c r="C91" s="324"/>
      <c r="D91" s="325"/>
      <c r="E91" s="326"/>
      <c r="F91" s="198"/>
      <c r="G91" s="327"/>
      <c r="H91" s="201"/>
      <c r="I91" s="198"/>
      <c r="J91" s="193"/>
      <c r="K91" s="198"/>
      <c r="L91" s="328"/>
      <c r="M91" s="350"/>
      <c r="N91" s="322"/>
      <c r="O91" s="186"/>
      <c r="P91" s="209"/>
      <c r="Q91" s="209"/>
      <c r="R91" s="209"/>
      <c r="S91" s="209"/>
      <c r="T91" s="209"/>
      <c r="U91" s="209"/>
      <c r="V91" s="209"/>
      <c r="W91" s="209"/>
      <c r="X91" s="209"/>
      <c r="Y91" s="209"/>
      <c r="Z91" s="209"/>
      <c r="AA91" s="209"/>
      <c r="AB91" s="209"/>
      <c r="AC91" s="209"/>
      <c r="AD91" s="209"/>
      <c r="AE91" s="209"/>
      <c r="AF91" s="209"/>
      <c r="AG91" s="209"/>
      <c r="AH91" s="209"/>
      <c r="AI91" s="209"/>
      <c r="AJ91" s="209"/>
      <c r="AK91" s="209"/>
      <c r="AL91" s="209"/>
      <c r="AM91" s="209"/>
      <c r="AN91" s="209"/>
      <c r="AO91" s="56"/>
      <c r="AP91" s="56"/>
      <c r="AQ91" s="56"/>
      <c r="AR91" s="56"/>
      <c r="AS91" s="56"/>
      <c r="AT91" s="56"/>
      <c r="AU91" s="56"/>
      <c r="AV91" s="56"/>
      <c r="AW91" s="56"/>
      <c r="AX91" s="56"/>
      <c r="AY91" s="56"/>
      <c r="AZ91" s="56"/>
      <c r="BA91" s="56"/>
      <c r="BB91" s="56"/>
      <c r="BC91" s="56"/>
      <c r="BD91" s="56"/>
      <c r="BE91" s="56"/>
      <c r="BF91" s="56"/>
      <c r="BG91" s="56"/>
      <c r="BH91" s="56"/>
      <c r="BI91" s="56"/>
      <c r="BJ91" s="56"/>
      <c r="BK91" s="56"/>
      <c r="BL91" s="56"/>
      <c r="BM91" s="56"/>
      <c r="BN91" s="56"/>
      <c r="BO91" s="56"/>
      <c r="BP91" s="56"/>
      <c r="BQ91" s="56"/>
      <c r="BR91" s="56"/>
      <c r="BS91" s="56"/>
    </row>
    <row r="92" spans="2:71" x14ac:dyDescent="0.25">
      <c r="B92" s="323"/>
      <c r="C92" s="324"/>
      <c r="D92" s="325"/>
      <c r="E92" s="326"/>
      <c r="F92" s="198"/>
      <c r="G92" s="327"/>
      <c r="H92" s="201"/>
      <c r="I92" s="198"/>
      <c r="J92" s="193"/>
      <c r="K92" s="198"/>
      <c r="L92" s="328"/>
      <c r="M92" s="350"/>
      <c r="N92" s="322"/>
      <c r="O92" s="186"/>
      <c r="P92" s="209"/>
      <c r="Q92" s="209"/>
      <c r="R92" s="209"/>
      <c r="S92" s="209"/>
      <c r="T92" s="209"/>
      <c r="U92" s="209"/>
      <c r="V92" s="209"/>
      <c r="W92" s="209"/>
      <c r="X92" s="209"/>
      <c r="Y92" s="209"/>
      <c r="Z92" s="209"/>
      <c r="AA92" s="209"/>
      <c r="AB92" s="209"/>
      <c r="AC92" s="209"/>
      <c r="AD92" s="209"/>
      <c r="AE92" s="209"/>
      <c r="AF92" s="209"/>
      <c r="AG92" s="209"/>
      <c r="AH92" s="209"/>
      <c r="AI92" s="209"/>
      <c r="AJ92" s="209"/>
      <c r="AK92" s="209"/>
      <c r="AL92" s="209"/>
      <c r="AM92" s="209"/>
      <c r="AN92" s="209"/>
      <c r="AO92" s="56"/>
      <c r="AP92" s="56"/>
      <c r="AQ92" s="56"/>
      <c r="AR92" s="56"/>
      <c r="AS92" s="56"/>
      <c r="AT92" s="56"/>
      <c r="AU92" s="56"/>
      <c r="AV92" s="56"/>
      <c r="AW92" s="56"/>
      <c r="AX92" s="56"/>
      <c r="AY92" s="56"/>
      <c r="AZ92" s="56"/>
      <c r="BA92" s="56"/>
      <c r="BB92" s="56"/>
      <c r="BC92" s="56"/>
      <c r="BD92" s="56"/>
      <c r="BE92" s="56"/>
      <c r="BF92" s="56"/>
      <c r="BG92" s="56"/>
      <c r="BH92" s="56"/>
      <c r="BI92" s="56"/>
      <c r="BJ92" s="56"/>
      <c r="BK92" s="56"/>
      <c r="BL92" s="56"/>
      <c r="BM92" s="56"/>
      <c r="BN92" s="56"/>
      <c r="BO92" s="56"/>
      <c r="BP92" s="56"/>
      <c r="BQ92" s="56"/>
      <c r="BR92" s="56"/>
      <c r="BS92" s="56"/>
    </row>
    <row r="93" spans="2:71" x14ac:dyDescent="0.25">
      <c r="B93" s="323"/>
      <c r="C93" s="324"/>
      <c r="D93" s="325"/>
      <c r="E93" s="326"/>
      <c r="F93" s="198"/>
      <c r="G93" s="327"/>
      <c r="H93" s="201"/>
      <c r="I93" s="198"/>
      <c r="J93" s="193"/>
      <c r="K93" s="198"/>
      <c r="L93" s="328"/>
      <c r="M93" s="350"/>
      <c r="N93" s="322"/>
      <c r="O93" s="186"/>
      <c r="P93" s="209"/>
      <c r="Q93" s="209"/>
      <c r="R93" s="209"/>
      <c r="S93" s="209"/>
      <c r="T93" s="209"/>
      <c r="U93" s="209"/>
      <c r="V93" s="209"/>
      <c r="W93" s="209"/>
      <c r="X93" s="209"/>
      <c r="Y93" s="209"/>
      <c r="Z93" s="209"/>
      <c r="AA93" s="209"/>
      <c r="AB93" s="209"/>
      <c r="AC93" s="209"/>
      <c r="AD93" s="209"/>
      <c r="AE93" s="209"/>
      <c r="AF93" s="209"/>
      <c r="AG93" s="209"/>
      <c r="AH93" s="209"/>
      <c r="AI93" s="209"/>
      <c r="AJ93" s="209"/>
      <c r="AK93" s="209"/>
      <c r="AL93" s="209"/>
      <c r="AM93" s="209"/>
      <c r="AN93" s="209"/>
      <c r="AO93" s="56"/>
      <c r="AP93" s="56"/>
      <c r="AQ93" s="56"/>
      <c r="AR93" s="56"/>
      <c r="AS93" s="56"/>
      <c r="AT93" s="56"/>
      <c r="AU93" s="56"/>
      <c r="AV93" s="56"/>
      <c r="AW93" s="56"/>
      <c r="AX93" s="56"/>
      <c r="AY93" s="56"/>
      <c r="AZ93" s="56"/>
      <c r="BA93" s="56"/>
      <c r="BB93" s="56"/>
      <c r="BC93" s="56"/>
      <c r="BD93" s="56"/>
      <c r="BE93" s="56"/>
      <c r="BF93" s="56"/>
      <c r="BG93" s="56"/>
      <c r="BH93" s="56"/>
      <c r="BI93" s="56"/>
      <c r="BJ93" s="56"/>
      <c r="BK93" s="56"/>
      <c r="BL93" s="56"/>
      <c r="BM93" s="56"/>
      <c r="BN93" s="56"/>
      <c r="BO93" s="56"/>
      <c r="BP93" s="56"/>
      <c r="BQ93" s="56"/>
      <c r="BR93" s="56"/>
      <c r="BS93" s="56"/>
    </row>
    <row r="94" spans="2:71" x14ac:dyDescent="0.25">
      <c r="B94" s="323"/>
      <c r="C94" s="324"/>
      <c r="D94" s="325"/>
      <c r="E94" s="326"/>
      <c r="F94" s="198"/>
      <c r="G94" s="327"/>
      <c r="H94" s="201"/>
      <c r="I94" s="198"/>
      <c r="J94" s="193"/>
      <c r="K94" s="198"/>
      <c r="L94" s="328"/>
      <c r="M94" s="350"/>
      <c r="N94" s="322"/>
      <c r="O94" s="186"/>
      <c r="P94" s="209"/>
      <c r="Q94" s="209"/>
      <c r="R94" s="209"/>
      <c r="S94" s="209"/>
      <c r="T94" s="209"/>
      <c r="U94" s="209"/>
      <c r="V94" s="209"/>
      <c r="W94" s="209"/>
      <c r="X94" s="209"/>
      <c r="Y94" s="209"/>
      <c r="Z94" s="209"/>
      <c r="AA94" s="209"/>
      <c r="AB94" s="209"/>
      <c r="AC94" s="209"/>
      <c r="AD94" s="209"/>
      <c r="AE94" s="209"/>
      <c r="AF94" s="209"/>
      <c r="AG94" s="209"/>
      <c r="AH94" s="209"/>
      <c r="AI94" s="209"/>
      <c r="AJ94" s="209"/>
      <c r="AK94" s="209"/>
      <c r="AL94" s="209"/>
      <c r="AM94" s="209"/>
      <c r="AN94" s="209"/>
      <c r="AO94" s="56"/>
      <c r="AP94" s="56"/>
      <c r="AQ94" s="56"/>
      <c r="AR94" s="56"/>
      <c r="AS94" s="56"/>
      <c r="AT94" s="56"/>
      <c r="AU94" s="56"/>
      <c r="AV94" s="56"/>
      <c r="AW94" s="56"/>
      <c r="AX94" s="56"/>
      <c r="AY94" s="56"/>
      <c r="AZ94" s="56"/>
      <c r="BA94" s="56"/>
      <c r="BB94" s="56"/>
      <c r="BC94" s="56"/>
      <c r="BD94" s="56"/>
      <c r="BE94" s="56"/>
      <c r="BF94" s="56"/>
      <c r="BG94" s="56"/>
      <c r="BH94" s="56"/>
      <c r="BI94" s="56"/>
      <c r="BJ94" s="56"/>
      <c r="BK94" s="56"/>
      <c r="BL94" s="56"/>
      <c r="BM94" s="56"/>
      <c r="BN94" s="56"/>
      <c r="BO94" s="56"/>
      <c r="BP94" s="56"/>
      <c r="BQ94" s="56"/>
      <c r="BR94" s="56"/>
      <c r="BS94" s="56"/>
    </row>
    <row r="95" spans="2:71" x14ac:dyDescent="0.25">
      <c r="B95" s="323"/>
      <c r="C95" s="324"/>
      <c r="D95" s="325"/>
      <c r="E95" s="326"/>
      <c r="F95" s="198"/>
      <c r="G95" s="327"/>
      <c r="H95" s="201"/>
      <c r="I95" s="198"/>
      <c r="J95" s="193"/>
      <c r="K95" s="198"/>
      <c r="L95" s="328"/>
      <c r="M95" s="350"/>
      <c r="N95" s="322"/>
      <c r="O95" s="186"/>
      <c r="P95" s="209"/>
      <c r="Q95" s="209"/>
      <c r="R95" s="209"/>
      <c r="S95" s="209"/>
      <c r="T95" s="209"/>
      <c r="U95" s="209"/>
      <c r="V95" s="209"/>
      <c r="W95" s="209"/>
      <c r="X95" s="209"/>
      <c r="Y95" s="209"/>
      <c r="Z95" s="209"/>
      <c r="AA95" s="209"/>
      <c r="AB95" s="209"/>
      <c r="AC95" s="209"/>
      <c r="AD95" s="209"/>
      <c r="AE95" s="209"/>
      <c r="AF95" s="209"/>
      <c r="AG95" s="209"/>
      <c r="AH95" s="209"/>
      <c r="AI95" s="209"/>
      <c r="AJ95" s="209"/>
      <c r="AK95" s="209"/>
      <c r="AL95" s="209"/>
      <c r="AM95" s="209"/>
      <c r="AN95" s="209"/>
      <c r="AO95" s="56"/>
      <c r="AP95" s="56"/>
      <c r="AQ95" s="56"/>
      <c r="AR95" s="56"/>
      <c r="AS95" s="56"/>
      <c r="AT95" s="56"/>
      <c r="AU95" s="56"/>
      <c r="AV95" s="56"/>
      <c r="AW95" s="56"/>
      <c r="AX95" s="56"/>
      <c r="AY95" s="56"/>
      <c r="AZ95" s="56"/>
      <c r="BA95" s="56"/>
      <c r="BB95" s="56"/>
      <c r="BC95" s="56"/>
      <c r="BD95" s="56"/>
      <c r="BE95" s="56"/>
      <c r="BF95" s="56"/>
      <c r="BG95" s="56"/>
      <c r="BH95" s="56"/>
      <c r="BI95" s="56"/>
      <c r="BJ95" s="56"/>
      <c r="BK95" s="56"/>
      <c r="BL95" s="56"/>
      <c r="BM95" s="56"/>
      <c r="BN95" s="56"/>
      <c r="BO95" s="56"/>
      <c r="BP95" s="56"/>
      <c r="BQ95" s="56"/>
      <c r="BR95" s="56"/>
      <c r="BS95" s="56"/>
    </row>
    <row r="96" spans="2:71" x14ac:dyDescent="0.25">
      <c r="B96" s="323"/>
      <c r="C96" s="324"/>
      <c r="D96" s="325"/>
      <c r="E96" s="326"/>
      <c r="F96" s="198"/>
      <c r="G96" s="327"/>
      <c r="H96" s="201"/>
      <c r="I96" s="198"/>
      <c r="J96" s="193"/>
      <c r="K96" s="198"/>
      <c r="L96" s="328"/>
      <c r="M96" s="350"/>
      <c r="N96" s="322"/>
      <c r="O96" s="186"/>
      <c r="P96" s="209"/>
      <c r="Q96" s="209"/>
      <c r="R96" s="209"/>
      <c r="S96" s="209"/>
      <c r="T96" s="209"/>
      <c r="U96" s="209"/>
      <c r="V96" s="209"/>
      <c r="W96" s="209"/>
      <c r="X96" s="209"/>
      <c r="Y96" s="209"/>
      <c r="Z96" s="209"/>
      <c r="AA96" s="209"/>
      <c r="AB96" s="209"/>
      <c r="AC96" s="209"/>
      <c r="AD96" s="209"/>
      <c r="AE96" s="209"/>
      <c r="AF96" s="209"/>
      <c r="AG96" s="209"/>
      <c r="AH96" s="209"/>
      <c r="AI96" s="209"/>
      <c r="AJ96" s="209"/>
      <c r="AK96" s="209"/>
      <c r="AL96" s="209"/>
      <c r="AM96" s="209"/>
      <c r="AN96" s="209"/>
      <c r="AO96" s="56"/>
      <c r="AP96" s="56"/>
      <c r="AQ96" s="56"/>
      <c r="AR96" s="56"/>
      <c r="AS96" s="56"/>
      <c r="AT96" s="56"/>
      <c r="AU96" s="56"/>
      <c r="AV96" s="56"/>
      <c r="AW96" s="56"/>
      <c r="AX96" s="56"/>
      <c r="AY96" s="56"/>
      <c r="AZ96" s="56"/>
      <c r="BA96" s="56"/>
      <c r="BB96" s="56"/>
      <c r="BC96" s="56"/>
      <c r="BD96" s="56"/>
      <c r="BE96" s="56"/>
      <c r="BF96" s="56"/>
      <c r="BG96" s="56"/>
      <c r="BH96" s="56"/>
      <c r="BI96" s="56"/>
      <c r="BJ96" s="56"/>
      <c r="BK96" s="56"/>
      <c r="BL96" s="56"/>
      <c r="BM96" s="56"/>
      <c r="BN96" s="56"/>
      <c r="BO96" s="56"/>
      <c r="BP96" s="56"/>
      <c r="BQ96" s="56"/>
      <c r="BR96" s="56"/>
      <c r="BS96" s="56"/>
    </row>
    <row r="97" spans="2:71" x14ac:dyDescent="0.25">
      <c r="B97" s="323"/>
      <c r="C97" s="324"/>
      <c r="D97" s="325"/>
      <c r="E97" s="326"/>
      <c r="F97" s="198"/>
      <c r="G97" s="327"/>
      <c r="H97" s="201"/>
      <c r="I97" s="198"/>
      <c r="J97" s="193"/>
      <c r="K97" s="198"/>
      <c r="L97" s="328"/>
      <c r="M97" s="350"/>
      <c r="N97" s="322"/>
      <c r="O97" s="186"/>
      <c r="P97" s="209"/>
      <c r="Q97" s="209"/>
      <c r="R97" s="209"/>
      <c r="S97" s="209"/>
      <c r="T97" s="209"/>
      <c r="U97" s="209"/>
      <c r="V97" s="209"/>
      <c r="W97" s="209"/>
      <c r="X97" s="209"/>
      <c r="Y97" s="209"/>
      <c r="Z97" s="209"/>
      <c r="AA97" s="209"/>
      <c r="AB97" s="209"/>
      <c r="AC97" s="209"/>
      <c r="AD97" s="209"/>
      <c r="AE97" s="209"/>
      <c r="AF97" s="209"/>
      <c r="AG97" s="209"/>
      <c r="AH97" s="209"/>
      <c r="AI97" s="209"/>
      <c r="AJ97" s="209"/>
      <c r="AK97" s="209"/>
      <c r="AL97" s="209"/>
      <c r="AM97" s="209"/>
      <c r="AN97" s="209"/>
      <c r="AO97" s="56"/>
      <c r="AP97" s="56"/>
      <c r="AQ97" s="56"/>
      <c r="AR97" s="56"/>
      <c r="AS97" s="56"/>
      <c r="AT97" s="56"/>
      <c r="AU97" s="56"/>
      <c r="AV97" s="56"/>
      <c r="AW97" s="56"/>
      <c r="AX97" s="56"/>
      <c r="AY97" s="56"/>
      <c r="AZ97" s="56"/>
      <c r="BA97" s="56"/>
      <c r="BB97" s="56"/>
      <c r="BC97" s="56"/>
      <c r="BD97" s="56"/>
      <c r="BE97" s="56"/>
      <c r="BF97" s="56"/>
      <c r="BG97" s="56"/>
      <c r="BH97" s="56"/>
      <c r="BI97" s="56"/>
      <c r="BJ97" s="56"/>
      <c r="BK97" s="56"/>
      <c r="BL97" s="56"/>
      <c r="BM97" s="56"/>
      <c r="BN97" s="56"/>
      <c r="BO97" s="56"/>
      <c r="BP97" s="56"/>
      <c r="BQ97" s="56"/>
      <c r="BR97" s="56"/>
      <c r="BS97" s="56"/>
    </row>
    <row r="98" spans="2:71" x14ac:dyDescent="0.25">
      <c r="B98" s="323"/>
      <c r="C98" s="324"/>
      <c r="D98" s="325"/>
      <c r="E98" s="326"/>
      <c r="F98" s="198"/>
      <c r="G98" s="327"/>
      <c r="H98" s="201"/>
      <c r="I98" s="198"/>
      <c r="J98" s="193"/>
      <c r="K98" s="198"/>
      <c r="L98" s="328"/>
      <c r="M98" s="350"/>
      <c r="N98" s="322"/>
      <c r="O98" s="186"/>
      <c r="P98" s="209"/>
      <c r="Q98" s="209"/>
      <c r="R98" s="209"/>
      <c r="S98" s="209"/>
      <c r="T98" s="209"/>
      <c r="U98" s="209"/>
      <c r="V98" s="209"/>
      <c r="W98" s="209"/>
      <c r="X98" s="209"/>
      <c r="Y98" s="209"/>
      <c r="Z98" s="209"/>
      <c r="AA98" s="209"/>
      <c r="AB98" s="209"/>
      <c r="AC98" s="209"/>
      <c r="AD98" s="209"/>
      <c r="AE98" s="209"/>
      <c r="AF98" s="209"/>
      <c r="AG98" s="209"/>
      <c r="AH98" s="209"/>
      <c r="AI98" s="209"/>
      <c r="AJ98" s="209"/>
      <c r="AK98" s="209"/>
      <c r="AL98" s="209"/>
      <c r="AM98" s="209"/>
      <c r="AN98" s="209"/>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56"/>
      <c r="BN98" s="56"/>
      <c r="BO98" s="56"/>
      <c r="BP98" s="56"/>
      <c r="BQ98" s="56"/>
      <c r="BR98" s="56"/>
      <c r="BS98" s="56"/>
    </row>
    <row r="99" spans="2:71" x14ac:dyDescent="0.25">
      <c r="B99" s="323"/>
      <c r="C99" s="324"/>
      <c r="D99" s="325"/>
      <c r="E99" s="326"/>
      <c r="F99" s="198"/>
      <c r="G99" s="327"/>
      <c r="H99" s="201"/>
      <c r="I99" s="198"/>
      <c r="J99" s="193"/>
      <c r="K99" s="198"/>
      <c r="L99" s="328"/>
      <c r="M99" s="350"/>
      <c r="N99" s="322"/>
      <c r="O99" s="186"/>
      <c r="P99" s="209"/>
      <c r="Q99" s="209"/>
      <c r="R99" s="209"/>
      <c r="S99" s="209"/>
      <c r="T99" s="209"/>
      <c r="U99" s="209"/>
      <c r="V99" s="209"/>
      <c r="W99" s="209"/>
      <c r="X99" s="209"/>
      <c r="Y99" s="209"/>
      <c r="Z99" s="209"/>
      <c r="AA99" s="209"/>
      <c r="AB99" s="209"/>
      <c r="AC99" s="209"/>
      <c r="AD99" s="209"/>
      <c r="AE99" s="209"/>
      <c r="AF99" s="209"/>
      <c r="AG99" s="209"/>
      <c r="AH99" s="209"/>
      <c r="AI99" s="209"/>
      <c r="AJ99" s="209"/>
      <c r="AK99" s="209"/>
      <c r="AL99" s="209"/>
      <c r="AM99" s="209"/>
      <c r="AN99" s="209"/>
      <c r="AO99" s="56"/>
      <c r="AP99" s="56"/>
      <c r="AQ99" s="56"/>
      <c r="AR99" s="56"/>
      <c r="AS99" s="56"/>
      <c r="AT99" s="56"/>
      <c r="AU99" s="56"/>
      <c r="AV99" s="56"/>
      <c r="AW99" s="56"/>
      <c r="AX99" s="56"/>
      <c r="AY99" s="56"/>
      <c r="AZ99" s="56"/>
      <c r="BA99" s="56"/>
      <c r="BB99" s="56"/>
      <c r="BC99" s="56"/>
      <c r="BD99" s="56"/>
      <c r="BE99" s="56"/>
      <c r="BF99" s="56"/>
      <c r="BG99" s="56"/>
      <c r="BH99" s="56"/>
      <c r="BI99" s="56"/>
      <c r="BJ99" s="56"/>
      <c r="BK99" s="56"/>
      <c r="BL99" s="56"/>
      <c r="BM99" s="56"/>
      <c r="BN99" s="56"/>
      <c r="BO99" s="56"/>
      <c r="BP99" s="56"/>
      <c r="BQ99" s="56"/>
      <c r="BR99" s="56"/>
      <c r="BS99" s="56"/>
    </row>
    <row r="100" spans="2:71" x14ac:dyDescent="0.25">
      <c r="B100" s="323"/>
      <c r="C100" s="324"/>
      <c r="D100" s="325"/>
      <c r="E100" s="326"/>
      <c r="F100" s="198"/>
      <c r="G100" s="327"/>
      <c r="H100" s="201"/>
      <c r="I100" s="198"/>
      <c r="J100" s="193"/>
      <c r="K100" s="198"/>
      <c r="L100" s="328"/>
      <c r="M100" s="350"/>
      <c r="N100" s="322"/>
      <c r="O100" s="186"/>
      <c r="P100" s="209"/>
      <c r="Q100" s="209"/>
      <c r="R100" s="209"/>
      <c r="S100" s="209"/>
      <c r="T100" s="209"/>
      <c r="U100" s="209"/>
      <c r="V100" s="209"/>
      <c r="W100" s="209"/>
      <c r="X100" s="209"/>
      <c r="Y100" s="209"/>
      <c r="Z100" s="209"/>
      <c r="AA100" s="209"/>
      <c r="AB100" s="209"/>
      <c r="AC100" s="209"/>
      <c r="AD100" s="209"/>
      <c r="AE100" s="209"/>
      <c r="AF100" s="209"/>
      <c r="AG100" s="209"/>
      <c r="AH100" s="209"/>
      <c r="AI100" s="209"/>
      <c r="AJ100" s="209"/>
      <c r="AK100" s="209"/>
      <c r="AL100" s="209"/>
      <c r="AM100" s="209"/>
      <c r="AN100" s="209"/>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c r="BL100" s="56"/>
      <c r="BM100" s="56"/>
      <c r="BN100" s="56"/>
      <c r="BO100" s="56"/>
      <c r="BP100" s="56"/>
      <c r="BQ100" s="56"/>
      <c r="BR100" s="56"/>
      <c r="BS100" s="56"/>
    </row>
    <row r="101" spans="2:71" x14ac:dyDescent="0.25">
      <c r="B101" s="323"/>
      <c r="C101" s="324"/>
      <c r="D101" s="325"/>
      <c r="E101" s="326"/>
      <c r="F101" s="198"/>
      <c r="G101" s="327"/>
      <c r="H101" s="201"/>
      <c r="I101" s="198"/>
      <c r="J101" s="193"/>
      <c r="K101" s="198"/>
      <c r="L101" s="328"/>
      <c r="M101" s="350"/>
      <c r="N101" s="322"/>
      <c r="O101" s="186"/>
      <c r="P101" s="209"/>
      <c r="Q101" s="209"/>
      <c r="R101" s="209"/>
      <c r="S101" s="209"/>
      <c r="T101" s="209"/>
      <c r="U101" s="209"/>
      <c r="V101" s="209"/>
      <c r="W101" s="209"/>
      <c r="X101" s="209"/>
      <c r="Y101" s="209"/>
      <c r="Z101" s="209"/>
      <c r="AA101" s="209"/>
      <c r="AB101" s="209"/>
      <c r="AC101" s="209"/>
      <c r="AD101" s="209"/>
      <c r="AE101" s="209"/>
      <c r="AF101" s="209"/>
      <c r="AG101" s="209"/>
      <c r="AH101" s="209"/>
      <c r="AI101" s="209"/>
      <c r="AJ101" s="209"/>
      <c r="AK101" s="209"/>
      <c r="AL101" s="209"/>
      <c r="AM101" s="209"/>
      <c r="AN101" s="209"/>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c r="BL101" s="56"/>
      <c r="BM101" s="56"/>
      <c r="BN101" s="56"/>
      <c r="BO101" s="56"/>
      <c r="BP101" s="56"/>
      <c r="BQ101" s="56"/>
      <c r="BR101" s="56"/>
      <c r="BS101" s="56"/>
    </row>
    <row r="102" spans="2:71" x14ac:dyDescent="0.25">
      <c r="B102" s="323"/>
      <c r="C102" s="324"/>
      <c r="D102" s="325"/>
      <c r="E102" s="326"/>
      <c r="F102" s="198"/>
      <c r="G102" s="327"/>
      <c r="H102" s="201"/>
      <c r="I102" s="198"/>
      <c r="J102" s="193"/>
      <c r="K102" s="198"/>
      <c r="L102" s="328"/>
      <c r="M102" s="350"/>
      <c r="N102" s="322"/>
      <c r="O102" s="186"/>
      <c r="P102" s="209"/>
      <c r="Q102" s="209"/>
      <c r="R102" s="209"/>
      <c r="S102" s="209"/>
      <c r="T102" s="209"/>
      <c r="U102" s="209"/>
      <c r="V102" s="209"/>
      <c r="W102" s="209"/>
      <c r="X102" s="209"/>
      <c r="Y102" s="209"/>
      <c r="Z102" s="209"/>
      <c r="AA102" s="209"/>
      <c r="AB102" s="209"/>
      <c r="AC102" s="209"/>
      <c r="AD102" s="209"/>
      <c r="AE102" s="209"/>
      <c r="AF102" s="209"/>
      <c r="AG102" s="209"/>
      <c r="AH102" s="209"/>
      <c r="AI102" s="209"/>
      <c r="AJ102" s="209"/>
      <c r="AK102" s="209"/>
      <c r="AL102" s="209"/>
      <c r="AM102" s="209"/>
      <c r="AN102" s="209"/>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c r="BL102" s="56"/>
      <c r="BM102" s="56"/>
      <c r="BN102" s="56"/>
      <c r="BO102" s="56"/>
      <c r="BP102" s="56"/>
      <c r="BQ102" s="56"/>
      <c r="BR102" s="56"/>
      <c r="BS102" s="56"/>
    </row>
    <row r="103" spans="2:71" x14ac:dyDescent="0.25">
      <c r="B103" s="323"/>
      <c r="C103" s="324"/>
      <c r="D103" s="325"/>
      <c r="E103" s="326"/>
      <c r="F103" s="198"/>
      <c r="G103" s="327"/>
      <c r="H103" s="201"/>
      <c r="I103" s="198"/>
      <c r="J103" s="193"/>
      <c r="K103" s="198"/>
      <c r="L103" s="328"/>
      <c r="M103" s="350"/>
      <c r="N103" s="322"/>
      <c r="O103" s="186"/>
      <c r="P103" s="209"/>
      <c r="Q103" s="209"/>
      <c r="R103" s="209"/>
      <c r="S103" s="209"/>
      <c r="T103" s="209"/>
      <c r="U103" s="209"/>
      <c r="V103" s="209"/>
      <c r="W103" s="209"/>
      <c r="X103" s="209"/>
      <c r="Y103" s="209"/>
      <c r="Z103" s="209"/>
      <c r="AA103" s="209"/>
      <c r="AB103" s="209"/>
      <c r="AC103" s="209"/>
      <c r="AD103" s="209"/>
      <c r="AE103" s="209"/>
      <c r="AF103" s="209"/>
      <c r="AG103" s="209"/>
      <c r="AH103" s="209"/>
      <c r="AI103" s="209"/>
      <c r="AJ103" s="209"/>
      <c r="AK103" s="209"/>
      <c r="AL103" s="209"/>
      <c r="AM103" s="209"/>
      <c r="AN103" s="209"/>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c r="BL103" s="56"/>
      <c r="BM103" s="56"/>
      <c r="BN103" s="56"/>
      <c r="BO103" s="56"/>
      <c r="BP103" s="56"/>
      <c r="BQ103" s="56"/>
      <c r="BR103" s="56"/>
      <c r="BS103" s="56"/>
    </row>
    <row r="104" spans="2:71" x14ac:dyDescent="0.25">
      <c r="B104" s="323"/>
      <c r="C104" s="324"/>
      <c r="D104" s="325"/>
      <c r="E104" s="326"/>
      <c r="F104" s="198"/>
      <c r="G104" s="327"/>
      <c r="H104" s="201"/>
      <c r="I104" s="198"/>
      <c r="J104" s="193"/>
      <c r="K104" s="198"/>
      <c r="L104" s="328"/>
      <c r="M104" s="350"/>
      <c r="N104" s="322"/>
      <c r="O104" s="186"/>
      <c r="P104" s="209"/>
      <c r="Q104" s="209"/>
      <c r="R104" s="209"/>
      <c r="S104" s="209"/>
      <c r="T104" s="209"/>
      <c r="U104" s="209"/>
      <c r="V104" s="209"/>
      <c r="W104" s="209"/>
      <c r="X104" s="209"/>
      <c r="Y104" s="209"/>
      <c r="Z104" s="209"/>
      <c r="AA104" s="209"/>
      <c r="AB104" s="209"/>
      <c r="AC104" s="209"/>
      <c r="AD104" s="209"/>
      <c r="AE104" s="209"/>
      <c r="AF104" s="209"/>
      <c r="AG104" s="209"/>
      <c r="AH104" s="209"/>
      <c r="AI104" s="209"/>
      <c r="AJ104" s="209"/>
      <c r="AK104" s="209"/>
      <c r="AL104" s="209"/>
      <c r="AM104" s="209"/>
      <c r="AN104" s="209"/>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c r="BL104" s="56"/>
      <c r="BM104" s="56"/>
      <c r="BN104" s="56"/>
      <c r="BO104" s="56"/>
      <c r="BP104" s="56"/>
      <c r="BQ104" s="56"/>
      <c r="BR104" s="56"/>
      <c r="BS104" s="56"/>
    </row>
    <row r="105" spans="2:71" x14ac:dyDescent="0.25">
      <c r="B105" s="323"/>
      <c r="C105" s="324"/>
      <c r="D105" s="325"/>
      <c r="E105" s="326"/>
      <c r="F105" s="198"/>
      <c r="G105" s="327"/>
      <c r="H105" s="201"/>
      <c r="I105" s="198"/>
      <c r="J105" s="193"/>
      <c r="K105" s="198"/>
      <c r="L105" s="328"/>
      <c r="M105" s="350"/>
      <c r="N105" s="322"/>
      <c r="O105" s="186"/>
      <c r="P105" s="209"/>
      <c r="Q105" s="209"/>
      <c r="R105" s="209"/>
      <c r="S105" s="209"/>
      <c r="T105" s="209"/>
      <c r="U105" s="209"/>
      <c r="V105" s="209"/>
      <c r="W105" s="209"/>
      <c r="X105" s="209"/>
      <c r="Y105" s="209"/>
      <c r="Z105" s="209"/>
      <c r="AA105" s="209"/>
      <c r="AB105" s="209"/>
      <c r="AC105" s="209"/>
      <c r="AD105" s="209"/>
      <c r="AE105" s="209"/>
      <c r="AF105" s="209"/>
      <c r="AG105" s="209"/>
      <c r="AH105" s="209"/>
      <c r="AI105" s="209"/>
      <c r="AJ105" s="209"/>
      <c r="AK105" s="209"/>
      <c r="AL105" s="209"/>
      <c r="AM105" s="209"/>
      <c r="AN105" s="209"/>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c r="BL105" s="56"/>
      <c r="BM105" s="56"/>
      <c r="BN105" s="56"/>
      <c r="BO105" s="56"/>
      <c r="BP105" s="56"/>
      <c r="BQ105" s="56"/>
      <c r="BR105" s="56"/>
      <c r="BS105" s="56"/>
    </row>
    <row r="106" spans="2:71" x14ac:dyDescent="0.25">
      <c r="B106" s="323"/>
      <c r="C106" s="324"/>
      <c r="D106" s="325"/>
      <c r="E106" s="326"/>
      <c r="F106" s="198"/>
      <c r="G106" s="327"/>
      <c r="H106" s="201"/>
      <c r="I106" s="198"/>
      <c r="J106" s="193"/>
      <c r="K106" s="198"/>
      <c r="L106" s="328"/>
      <c r="M106" s="350"/>
      <c r="N106" s="322"/>
      <c r="O106" s="186"/>
      <c r="P106" s="209"/>
      <c r="Q106" s="209"/>
      <c r="R106" s="209"/>
      <c r="S106" s="209"/>
      <c r="T106" s="209"/>
      <c r="U106" s="209"/>
      <c r="V106" s="209"/>
      <c r="W106" s="209"/>
      <c r="X106" s="209"/>
      <c r="Y106" s="209"/>
      <c r="Z106" s="209"/>
      <c r="AA106" s="209"/>
      <c r="AB106" s="209"/>
      <c r="AC106" s="209"/>
      <c r="AD106" s="209"/>
      <c r="AE106" s="209"/>
      <c r="AF106" s="209"/>
      <c r="AG106" s="209"/>
      <c r="AH106" s="209"/>
      <c r="AI106" s="209"/>
      <c r="AJ106" s="209"/>
      <c r="AK106" s="209"/>
      <c r="AL106" s="209"/>
      <c r="AM106" s="209"/>
      <c r="AN106" s="209"/>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c r="BL106" s="56"/>
      <c r="BM106" s="56"/>
      <c r="BN106" s="56"/>
      <c r="BO106" s="56"/>
      <c r="BP106" s="56"/>
      <c r="BQ106" s="56"/>
      <c r="BR106" s="56"/>
      <c r="BS106" s="56"/>
    </row>
    <row r="107" spans="2:71" x14ac:dyDescent="0.25">
      <c r="B107" s="323"/>
      <c r="C107" s="324"/>
      <c r="D107" s="325"/>
      <c r="E107" s="326"/>
      <c r="F107" s="198"/>
      <c r="G107" s="327"/>
      <c r="H107" s="201"/>
      <c r="I107" s="198"/>
      <c r="J107" s="193"/>
      <c r="K107" s="198"/>
      <c r="L107" s="328"/>
      <c r="M107" s="350"/>
      <c r="N107" s="322"/>
      <c r="O107" s="186"/>
      <c r="P107" s="209"/>
      <c r="Q107" s="209"/>
      <c r="R107" s="209"/>
      <c r="S107" s="209"/>
      <c r="T107" s="209"/>
      <c r="U107" s="209"/>
      <c r="V107" s="209"/>
      <c r="W107" s="209"/>
      <c r="X107" s="209"/>
      <c r="Y107" s="209"/>
      <c r="Z107" s="209"/>
      <c r="AA107" s="209"/>
      <c r="AB107" s="209"/>
      <c r="AC107" s="209"/>
      <c r="AD107" s="209"/>
      <c r="AE107" s="209"/>
      <c r="AF107" s="209"/>
      <c r="AG107" s="209"/>
      <c r="AH107" s="209"/>
      <c r="AI107" s="209"/>
      <c r="AJ107" s="209"/>
      <c r="AK107" s="209"/>
      <c r="AL107" s="209"/>
      <c r="AM107" s="209"/>
      <c r="AN107" s="209"/>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c r="BL107" s="56"/>
      <c r="BM107" s="56"/>
      <c r="BN107" s="56"/>
      <c r="BO107" s="56"/>
      <c r="BP107" s="56"/>
      <c r="BQ107" s="56"/>
      <c r="BR107" s="56"/>
      <c r="BS107" s="56"/>
    </row>
    <row r="108" spans="2:71" x14ac:dyDescent="0.25">
      <c r="B108" s="323"/>
      <c r="C108" s="324"/>
      <c r="D108" s="325"/>
      <c r="E108" s="326"/>
      <c r="F108" s="198"/>
      <c r="G108" s="327"/>
      <c r="H108" s="201"/>
      <c r="I108" s="198"/>
      <c r="J108" s="193"/>
      <c r="K108" s="198"/>
      <c r="L108" s="328"/>
      <c r="M108" s="350"/>
      <c r="N108" s="322"/>
      <c r="O108" s="186"/>
      <c r="P108" s="209"/>
      <c r="Q108" s="209"/>
      <c r="R108" s="209"/>
      <c r="S108" s="209"/>
      <c r="T108" s="209"/>
      <c r="U108" s="209"/>
      <c r="V108" s="209"/>
      <c r="W108" s="209"/>
      <c r="X108" s="209"/>
      <c r="Y108" s="209"/>
      <c r="Z108" s="209"/>
      <c r="AA108" s="209"/>
      <c r="AB108" s="209"/>
      <c r="AC108" s="209"/>
      <c r="AD108" s="209"/>
      <c r="AE108" s="209"/>
      <c r="AF108" s="209"/>
      <c r="AG108" s="209"/>
      <c r="AH108" s="209"/>
      <c r="AI108" s="209"/>
      <c r="AJ108" s="209"/>
      <c r="AK108" s="209"/>
      <c r="AL108" s="209"/>
      <c r="AM108" s="209"/>
      <c r="AN108" s="209"/>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c r="BL108" s="56"/>
      <c r="BM108" s="56"/>
      <c r="BN108" s="56"/>
      <c r="BO108" s="56"/>
      <c r="BP108" s="56"/>
      <c r="BQ108" s="56"/>
      <c r="BR108" s="56"/>
      <c r="BS108" s="56"/>
    </row>
    <row r="109" spans="2:71" x14ac:dyDescent="0.25">
      <c r="B109" s="323"/>
      <c r="C109" s="324"/>
      <c r="D109" s="325"/>
      <c r="E109" s="326"/>
      <c r="F109" s="198"/>
      <c r="G109" s="327"/>
      <c r="H109" s="201"/>
      <c r="I109" s="198"/>
      <c r="J109" s="193"/>
      <c r="K109" s="198"/>
      <c r="L109" s="328"/>
      <c r="M109" s="350"/>
      <c r="N109" s="322"/>
      <c r="O109" s="186"/>
      <c r="P109" s="209"/>
      <c r="Q109" s="209"/>
      <c r="R109" s="209"/>
      <c r="S109" s="209"/>
      <c r="T109" s="209"/>
      <c r="U109" s="209"/>
      <c r="V109" s="209"/>
      <c r="W109" s="209"/>
      <c r="X109" s="209"/>
      <c r="Y109" s="209"/>
      <c r="Z109" s="209"/>
      <c r="AA109" s="209"/>
      <c r="AB109" s="209"/>
      <c r="AC109" s="209"/>
      <c r="AD109" s="209"/>
      <c r="AE109" s="209"/>
      <c r="AF109" s="209"/>
      <c r="AG109" s="209"/>
      <c r="AH109" s="209"/>
      <c r="AI109" s="209"/>
      <c r="AJ109" s="209"/>
      <c r="AK109" s="209"/>
      <c r="AL109" s="209"/>
      <c r="AM109" s="209"/>
      <c r="AN109" s="209"/>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c r="BL109" s="56"/>
      <c r="BM109" s="56"/>
      <c r="BN109" s="56"/>
      <c r="BO109" s="56"/>
      <c r="BP109" s="56"/>
      <c r="BQ109" s="56"/>
      <c r="BR109" s="56"/>
      <c r="BS109" s="56"/>
    </row>
    <row r="110" spans="2:71" x14ac:dyDescent="0.25">
      <c r="B110" s="323"/>
      <c r="C110" s="324"/>
      <c r="D110" s="325"/>
      <c r="E110" s="326"/>
      <c r="F110" s="198"/>
      <c r="G110" s="327"/>
      <c r="H110" s="201"/>
      <c r="I110" s="198"/>
      <c r="J110" s="193"/>
      <c r="K110" s="198"/>
      <c r="L110" s="328"/>
      <c r="M110" s="350"/>
      <c r="N110" s="322"/>
      <c r="O110" s="186"/>
      <c r="P110" s="209"/>
      <c r="Q110" s="209"/>
      <c r="R110" s="209"/>
      <c r="S110" s="209"/>
      <c r="T110" s="209"/>
      <c r="U110" s="209"/>
      <c r="V110" s="209"/>
      <c r="W110" s="209"/>
      <c r="X110" s="209"/>
      <c r="Y110" s="209"/>
      <c r="Z110" s="209"/>
      <c r="AA110" s="209"/>
      <c r="AB110" s="209"/>
      <c r="AC110" s="209"/>
      <c r="AD110" s="209"/>
      <c r="AE110" s="209"/>
      <c r="AF110" s="209"/>
      <c r="AG110" s="209"/>
      <c r="AH110" s="209"/>
      <c r="AI110" s="209"/>
      <c r="AJ110" s="209"/>
      <c r="AK110" s="209"/>
      <c r="AL110" s="209"/>
      <c r="AM110" s="209"/>
      <c r="AN110" s="209"/>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c r="BL110" s="56"/>
      <c r="BM110" s="56"/>
      <c r="BN110" s="56"/>
      <c r="BO110" s="56"/>
      <c r="BP110" s="56"/>
      <c r="BQ110" s="56"/>
      <c r="BR110" s="56"/>
      <c r="BS110" s="56"/>
    </row>
    <row r="111" spans="2:71" x14ac:dyDescent="0.25">
      <c r="B111" s="323"/>
      <c r="C111" s="324"/>
      <c r="D111" s="325"/>
      <c r="E111" s="326"/>
      <c r="F111" s="198"/>
      <c r="G111" s="327"/>
      <c r="H111" s="201"/>
      <c r="I111" s="198"/>
      <c r="J111" s="193"/>
      <c r="K111" s="198"/>
      <c r="L111" s="328"/>
      <c r="M111" s="350"/>
      <c r="N111" s="322"/>
      <c r="O111" s="186"/>
      <c r="P111" s="209"/>
      <c r="Q111" s="209"/>
      <c r="R111" s="209"/>
      <c r="S111" s="209"/>
      <c r="T111" s="209"/>
      <c r="U111" s="209"/>
      <c r="V111" s="209"/>
      <c r="W111" s="209"/>
      <c r="X111" s="209"/>
      <c r="Y111" s="209"/>
      <c r="Z111" s="209"/>
      <c r="AA111" s="209"/>
      <c r="AB111" s="209"/>
      <c r="AC111" s="209"/>
      <c r="AD111" s="209"/>
      <c r="AE111" s="209"/>
      <c r="AF111" s="209"/>
      <c r="AG111" s="209"/>
      <c r="AH111" s="209"/>
      <c r="AI111" s="209"/>
      <c r="AJ111" s="209"/>
      <c r="AK111" s="209"/>
      <c r="AL111" s="209"/>
      <c r="AM111" s="209"/>
      <c r="AN111" s="209"/>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c r="BL111" s="56"/>
      <c r="BM111" s="56"/>
      <c r="BN111" s="56"/>
      <c r="BO111" s="56"/>
      <c r="BP111" s="56"/>
      <c r="BQ111" s="56"/>
      <c r="BR111" s="56"/>
      <c r="BS111" s="56"/>
    </row>
    <row r="112" spans="2:71" x14ac:dyDescent="0.25">
      <c r="B112" s="323"/>
      <c r="C112" s="324"/>
      <c r="D112" s="325"/>
      <c r="E112" s="326"/>
      <c r="F112" s="198"/>
      <c r="G112" s="327"/>
      <c r="H112" s="201"/>
      <c r="I112" s="198"/>
      <c r="J112" s="193"/>
      <c r="K112" s="198"/>
      <c r="L112" s="328"/>
      <c r="M112" s="350"/>
      <c r="N112" s="322"/>
      <c r="O112" s="186"/>
      <c r="P112" s="209"/>
      <c r="Q112" s="209"/>
      <c r="R112" s="209"/>
      <c r="S112" s="209"/>
      <c r="T112" s="209"/>
      <c r="U112" s="209"/>
      <c r="V112" s="209"/>
      <c r="W112" s="209"/>
      <c r="X112" s="209"/>
      <c r="Y112" s="209"/>
      <c r="Z112" s="209"/>
      <c r="AA112" s="209"/>
      <c r="AB112" s="209"/>
      <c r="AC112" s="209"/>
      <c r="AD112" s="209"/>
      <c r="AE112" s="209"/>
      <c r="AF112" s="209"/>
      <c r="AG112" s="209"/>
      <c r="AH112" s="209"/>
      <c r="AI112" s="209"/>
      <c r="AJ112" s="209"/>
      <c r="AK112" s="209"/>
      <c r="AL112" s="209"/>
      <c r="AM112" s="209"/>
      <c r="AN112" s="209"/>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c r="BL112" s="56"/>
      <c r="BM112" s="56"/>
      <c r="BN112" s="56"/>
      <c r="BO112" s="56"/>
      <c r="BP112" s="56"/>
      <c r="BQ112" s="56"/>
      <c r="BR112" s="56"/>
      <c r="BS112" s="56"/>
    </row>
    <row r="113" spans="2:71" x14ac:dyDescent="0.25">
      <c r="B113" s="323"/>
      <c r="C113" s="324"/>
      <c r="D113" s="325"/>
      <c r="E113" s="326"/>
      <c r="F113" s="198"/>
      <c r="G113" s="327"/>
      <c r="H113" s="201"/>
      <c r="I113" s="198"/>
      <c r="J113" s="193"/>
      <c r="K113" s="198"/>
      <c r="L113" s="328"/>
      <c r="M113" s="350"/>
      <c r="N113" s="322"/>
      <c r="O113" s="186"/>
      <c r="P113" s="209"/>
      <c r="Q113" s="209"/>
      <c r="R113" s="209"/>
      <c r="S113" s="209"/>
      <c r="T113" s="209"/>
      <c r="U113" s="209"/>
      <c r="V113" s="209"/>
      <c r="W113" s="209"/>
      <c r="X113" s="209"/>
      <c r="Y113" s="209"/>
      <c r="Z113" s="209"/>
      <c r="AA113" s="209"/>
      <c r="AB113" s="209"/>
      <c r="AC113" s="209"/>
      <c r="AD113" s="209"/>
      <c r="AE113" s="209"/>
      <c r="AF113" s="209"/>
      <c r="AG113" s="209"/>
      <c r="AH113" s="209"/>
      <c r="AI113" s="209"/>
      <c r="AJ113" s="209"/>
      <c r="AK113" s="209"/>
      <c r="AL113" s="209"/>
      <c r="AM113" s="209"/>
      <c r="AN113" s="209"/>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c r="BL113" s="56"/>
      <c r="BM113" s="56"/>
      <c r="BN113" s="56"/>
      <c r="BO113" s="56"/>
      <c r="BP113" s="56"/>
      <c r="BQ113" s="56"/>
      <c r="BR113" s="56"/>
      <c r="BS113" s="56"/>
    </row>
    <row r="114" spans="2:71" x14ac:dyDescent="0.25">
      <c r="B114" s="323"/>
      <c r="C114" s="324"/>
      <c r="D114" s="325"/>
      <c r="E114" s="326"/>
      <c r="F114" s="198"/>
      <c r="G114" s="327"/>
      <c r="H114" s="201"/>
      <c r="I114" s="198"/>
      <c r="J114" s="193"/>
      <c r="K114" s="198"/>
      <c r="L114" s="328"/>
      <c r="M114" s="350"/>
      <c r="N114" s="322"/>
      <c r="O114" s="186"/>
      <c r="P114" s="209"/>
      <c r="Q114" s="209"/>
      <c r="R114" s="209"/>
      <c r="S114" s="209"/>
      <c r="T114" s="209"/>
      <c r="U114" s="209"/>
      <c r="V114" s="209"/>
      <c r="W114" s="209"/>
      <c r="X114" s="209"/>
      <c r="Y114" s="209"/>
      <c r="Z114" s="209"/>
      <c r="AA114" s="209"/>
      <c r="AB114" s="209"/>
      <c r="AC114" s="209"/>
      <c r="AD114" s="209"/>
      <c r="AE114" s="209"/>
      <c r="AF114" s="209"/>
      <c r="AG114" s="209"/>
      <c r="AH114" s="209"/>
      <c r="AI114" s="209"/>
      <c r="AJ114" s="209"/>
      <c r="AK114" s="209"/>
      <c r="AL114" s="209"/>
      <c r="AM114" s="209"/>
      <c r="AN114" s="209"/>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c r="BL114" s="56"/>
      <c r="BM114" s="56"/>
      <c r="BN114" s="56"/>
      <c r="BO114" s="56"/>
      <c r="BP114" s="56"/>
      <c r="BQ114" s="56"/>
      <c r="BR114" s="56"/>
      <c r="BS114" s="56"/>
    </row>
    <row r="115" spans="2:71" x14ac:dyDescent="0.25">
      <c r="B115" s="323"/>
      <c r="C115" s="324"/>
      <c r="D115" s="325"/>
      <c r="E115" s="326"/>
      <c r="F115" s="198"/>
      <c r="G115" s="327"/>
      <c r="H115" s="201"/>
      <c r="I115" s="198"/>
      <c r="J115" s="193"/>
      <c r="K115" s="198"/>
      <c r="L115" s="328"/>
      <c r="M115" s="350"/>
      <c r="N115" s="322"/>
      <c r="O115" s="186"/>
      <c r="P115" s="209"/>
      <c r="Q115" s="209"/>
      <c r="R115" s="209"/>
      <c r="S115" s="209"/>
      <c r="T115" s="209"/>
      <c r="U115" s="209"/>
      <c r="V115" s="209"/>
      <c r="W115" s="209"/>
      <c r="X115" s="209"/>
      <c r="Y115" s="209"/>
      <c r="Z115" s="209"/>
      <c r="AA115" s="209"/>
      <c r="AB115" s="209"/>
      <c r="AC115" s="209"/>
      <c r="AD115" s="209"/>
      <c r="AE115" s="209"/>
      <c r="AF115" s="209"/>
      <c r="AG115" s="209"/>
      <c r="AH115" s="209"/>
      <c r="AI115" s="209"/>
      <c r="AJ115" s="209"/>
      <c r="AK115" s="209"/>
      <c r="AL115" s="209"/>
      <c r="AM115" s="209"/>
      <c r="AN115" s="209"/>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c r="BL115" s="56"/>
      <c r="BM115" s="56"/>
      <c r="BN115" s="56"/>
      <c r="BO115" s="56"/>
      <c r="BP115" s="56"/>
      <c r="BQ115" s="56"/>
      <c r="BR115" s="56"/>
      <c r="BS115" s="56"/>
    </row>
    <row r="116" spans="2:71" x14ac:dyDescent="0.25">
      <c r="B116" s="323"/>
      <c r="C116" s="324"/>
      <c r="D116" s="325"/>
      <c r="E116" s="326"/>
      <c r="F116" s="198"/>
      <c r="G116" s="327"/>
      <c r="H116" s="201"/>
      <c r="I116" s="198"/>
      <c r="J116" s="193"/>
      <c r="K116" s="198"/>
      <c r="L116" s="328"/>
      <c r="M116" s="350"/>
      <c r="N116" s="322"/>
      <c r="O116" s="186"/>
      <c r="P116" s="209"/>
      <c r="Q116" s="209"/>
      <c r="R116" s="209"/>
      <c r="S116" s="209"/>
      <c r="T116" s="209"/>
      <c r="U116" s="209"/>
      <c r="V116" s="209"/>
      <c r="W116" s="209"/>
      <c r="X116" s="209"/>
      <c r="Y116" s="209"/>
      <c r="Z116" s="209"/>
      <c r="AA116" s="209"/>
      <c r="AB116" s="209"/>
      <c r="AC116" s="209"/>
      <c r="AD116" s="209"/>
      <c r="AE116" s="209"/>
      <c r="AF116" s="209"/>
      <c r="AG116" s="209"/>
      <c r="AH116" s="209"/>
      <c r="AI116" s="209"/>
      <c r="AJ116" s="209"/>
      <c r="AK116" s="209"/>
      <c r="AL116" s="209"/>
      <c r="AM116" s="209"/>
      <c r="AN116" s="209"/>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c r="BL116" s="56"/>
      <c r="BM116" s="56"/>
      <c r="BN116" s="56"/>
      <c r="BO116" s="56"/>
      <c r="BP116" s="56"/>
      <c r="BQ116" s="56"/>
      <c r="BR116" s="56"/>
      <c r="BS116" s="56"/>
    </row>
    <row r="117" spans="2:71" x14ac:dyDescent="0.25">
      <c r="B117" s="323"/>
      <c r="C117" s="324"/>
      <c r="D117" s="325"/>
      <c r="E117" s="326"/>
      <c r="F117" s="198"/>
      <c r="G117" s="327"/>
      <c r="H117" s="201"/>
      <c r="I117" s="198"/>
      <c r="J117" s="193"/>
      <c r="K117" s="198"/>
      <c r="L117" s="328"/>
      <c r="M117" s="350"/>
      <c r="N117" s="322"/>
      <c r="O117" s="186"/>
      <c r="P117" s="209"/>
      <c r="Q117" s="209"/>
      <c r="R117" s="209"/>
      <c r="S117" s="209"/>
      <c r="T117" s="209"/>
      <c r="U117" s="209"/>
      <c r="V117" s="209"/>
      <c r="W117" s="209"/>
      <c r="X117" s="209"/>
      <c r="Y117" s="209"/>
      <c r="Z117" s="209"/>
      <c r="AA117" s="209"/>
      <c r="AB117" s="209"/>
      <c r="AC117" s="209"/>
      <c r="AD117" s="209"/>
      <c r="AE117" s="209"/>
      <c r="AF117" s="209"/>
      <c r="AG117" s="209"/>
      <c r="AH117" s="209"/>
      <c r="AI117" s="209"/>
      <c r="AJ117" s="209"/>
      <c r="AK117" s="209"/>
      <c r="AL117" s="209"/>
      <c r="AM117" s="209"/>
      <c r="AN117" s="209"/>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c r="BL117" s="56"/>
      <c r="BM117" s="56"/>
      <c r="BN117" s="56"/>
      <c r="BO117" s="56"/>
      <c r="BP117" s="56"/>
      <c r="BQ117" s="56"/>
      <c r="BR117" s="56"/>
      <c r="BS117" s="56"/>
    </row>
    <row r="118" spans="2:71" x14ac:dyDescent="0.25">
      <c r="B118" s="323"/>
      <c r="C118" s="324"/>
      <c r="D118" s="325"/>
      <c r="E118" s="326"/>
      <c r="F118" s="198"/>
      <c r="G118" s="327"/>
      <c r="H118" s="201"/>
      <c r="I118" s="198"/>
      <c r="J118" s="193"/>
      <c r="K118" s="198"/>
      <c r="L118" s="328"/>
      <c r="M118" s="350"/>
      <c r="N118" s="322"/>
      <c r="O118" s="186"/>
      <c r="P118" s="209"/>
      <c r="Q118" s="209"/>
      <c r="R118" s="209"/>
      <c r="S118" s="209"/>
      <c r="T118" s="209"/>
      <c r="U118" s="209"/>
      <c r="V118" s="209"/>
      <c r="W118" s="209"/>
      <c r="X118" s="209"/>
      <c r="Y118" s="209"/>
      <c r="Z118" s="209"/>
      <c r="AA118" s="209"/>
      <c r="AB118" s="209"/>
      <c r="AC118" s="209"/>
      <c r="AD118" s="209"/>
      <c r="AE118" s="209"/>
      <c r="AF118" s="209"/>
      <c r="AG118" s="209"/>
      <c r="AH118" s="209"/>
      <c r="AI118" s="209"/>
      <c r="AJ118" s="209"/>
      <c r="AK118" s="209"/>
      <c r="AL118" s="209"/>
      <c r="AM118" s="209"/>
      <c r="AN118" s="209"/>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c r="BL118" s="56"/>
      <c r="BM118" s="56"/>
      <c r="BN118" s="56"/>
      <c r="BO118" s="56"/>
      <c r="BP118" s="56"/>
      <c r="BQ118" s="56"/>
      <c r="BR118" s="56"/>
      <c r="BS118" s="56"/>
    </row>
    <row r="119" spans="2:71" x14ac:dyDescent="0.25">
      <c r="B119" s="323"/>
      <c r="C119" s="324"/>
      <c r="D119" s="325"/>
      <c r="E119" s="326"/>
      <c r="F119" s="198"/>
      <c r="G119" s="327"/>
      <c r="H119" s="201"/>
      <c r="I119" s="198"/>
      <c r="J119" s="193"/>
      <c r="K119" s="198"/>
      <c r="L119" s="328"/>
      <c r="M119" s="350"/>
      <c r="N119" s="322"/>
      <c r="O119" s="186"/>
      <c r="P119" s="209"/>
      <c r="Q119" s="209"/>
      <c r="R119" s="209"/>
      <c r="S119" s="209"/>
      <c r="T119" s="209"/>
      <c r="U119" s="209"/>
      <c r="V119" s="209"/>
      <c r="W119" s="209"/>
      <c r="X119" s="209"/>
      <c r="Y119" s="209"/>
      <c r="Z119" s="209"/>
      <c r="AA119" s="209"/>
      <c r="AB119" s="209"/>
      <c r="AC119" s="209"/>
      <c r="AD119" s="209"/>
      <c r="AE119" s="209"/>
      <c r="AF119" s="209"/>
      <c r="AG119" s="209"/>
      <c r="AH119" s="209"/>
      <c r="AI119" s="209"/>
      <c r="AJ119" s="209"/>
      <c r="AK119" s="209"/>
      <c r="AL119" s="209"/>
      <c r="AM119" s="209"/>
      <c r="AN119" s="209"/>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c r="BL119" s="56"/>
      <c r="BM119" s="56"/>
      <c r="BN119" s="56"/>
      <c r="BO119" s="56"/>
      <c r="BP119" s="56"/>
      <c r="BQ119" s="56"/>
      <c r="BR119" s="56"/>
      <c r="BS119" s="56"/>
    </row>
    <row r="120" spans="2:71" x14ac:dyDescent="0.25">
      <c r="B120" s="323"/>
      <c r="C120" s="324"/>
      <c r="D120" s="325"/>
      <c r="E120" s="326"/>
      <c r="F120" s="198"/>
      <c r="G120" s="327"/>
      <c r="H120" s="201"/>
      <c r="I120" s="198"/>
      <c r="J120" s="193"/>
      <c r="K120" s="198"/>
      <c r="L120" s="328"/>
      <c r="M120" s="350"/>
      <c r="N120" s="322"/>
      <c r="O120" s="186"/>
      <c r="P120" s="209"/>
      <c r="Q120" s="209"/>
      <c r="R120" s="209"/>
      <c r="S120" s="209"/>
      <c r="T120" s="209"/>
      <c r="U120" s="209"/>
      <c r="V120" s="209"/>
      <c r="W120" s="209"/>
      <c r="X120" s="209"/>
      <c r="Y120" s="209"/>
      <c r="Z120" s="209"/>
      <c r="AA120" s="209"/>
      <c r="AB120" s="209"/>
      <c r="AC120" s="209"/>
      <c r="AD120" s="209"/>
      <c r="AE120" s="209"/>
      <c r="AF120" s="209"/>
      <c r="AG120" s="209"/>
      <c r="AH120" s="209"/>
      <c r="AI120" s="209"/>
      <c r="AJ120" s="209"/>
      <c r="AK120" s="209"/>
      <c r="AL120" s="209"/>
      <c r="AM120" s="209"/>
      <c r="AN120" s="209"/>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c r="BL120" s="56"/>
      <c r="BM120" s="56"/>
      <c r="BN120" s="56"/>
      <c r="BO120" s="56"/>
      <c r="BP120" s="56"/>
      <c r="BQ120" s="56"/>
      <c r="BR120" s="56"/>
      <c r="BS120" s="56"/>
    </row>
    <row r="121" spans="2:71" x14ac:dyDescent="0.25">
      <c r="B121" s="323"/>
      <c r="C121" s="324"/>
      <c r="D121" s="325"/>
      <c r="E121" s="326"/>
      <c r="F121" s="198"/>
      <c r="G121" s="327"/>
      <c r="H121" s="201"/>
      <c r="I121" s="198"/>
      <c r="J121" s="193"/>
      <c r="K121" s="198"/>
      <c r="L121" s="328"/>
      <c r="M121" s="350"/>
      <c r="N121" s="322"/>
      <c r="O121" s="186"/>
      <c r="P121" s="209"/>
      <c r="Q121" s="209"/>
      <c r="R121" s="209"/>
      <c r="S121" s="209"/>
      <c r="T121" s="209"/>
      <c r="U121" s="209"/>
      <c r="V121" s="209"/>
      <c r="W121" s="209"/>
      <c r="X121" s="209"/>
      <c r="Y121" s="209"/>
      <c r="Z121" s="209"/>
      <c r="AA121" s="209"/>
      <c r="AB121" s="209"/>
      <c r="AC121" s="209"/>
      <c r="AD121" s="209"/>
      <c r="AE121" s="209"/>
      <c r="AF121" s="209"/>
      <c r="AG121" s="209"/>
      <c r="AH121" s="209"/>
      <c r="AI121" s="209"/>
      <c r="AJ121" s="209"/>
      <c r="AK121" s="209"/>
      <c r="AL121" s="209"/>
      <c r="AM121" s="209"/>
      <c r="AN121" s="209"/>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c r="BL121" s="56"/>
      <c r="BM121" s="56"/>
      <c r="BN121" s="56"/>
      <c r="BO121" s="56"/>
      <c r="BP121" s="56"/>
      <c r="BQ121" s="56"/>
      <c r="BR121" s="56"/>
      <c r="BS121" s="56"/>
    </row>
    <row r="122" spans="2:71" x14ac:dyDescent="0.25">
      <c r="B122" s="323"/>
      <c r="C122" s="324"/>
      <c r="D122" s="325"/>
      <c r="E122" s="326"/>
      <c r="F122" s="198"/>
      <c r="G122" s="327"/>
      <c r="H122" s="201"/>
      <c r="I122" s="198"/>
      <c r="J122" s="193"/>
      <c r="K122" s="198"/>
      <c r="L122" s="328"/>
      <c r="M122" s="350"/>
      <c r="N122" s="322"/>
      <c r="O122" s="186"/>
      <c r="P122" s="209"/>
      <c r="Q122" s="209"/>
      <c r="R122" s="209"/>
      <c r="S122" s="209"/>
      <c r="T122" s="209"/>
      <c r="U122" s="209"/>
      <c r="V122" s="209"/>
      <c r="W122" s="209"/>
      <c r="X122" s="209"/>
      <c r="Y122" s="209"/>
      <c r="Z122" s="209"/>
      <c r="AA122" s="209"/>
      <c r="AB122" s="209"/>
      <c r="AC122" s="209"/>
      <c r="AD122" s="209"/>
      <c r="AE122" s="209"/>
      <c r="AF122" s="209"/>
      <c r="AG122" s="209"/>
      <c r="AH122" s="209"/>
      <c r="AI122" s="209"/>
      <c r="AJ122" s="209"/>
      <c r="AK122" s="209"/>
      <c r="AL122" s="209"/>
      <c r="AM122" s="209"/>
      <c r="AN122" s="209"/>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c r="BL122" s="56"/>
      <c r="BM122" s="56"/>
      <c r="BN122" s="56"/>
      <c r="BO122" s="56"/>
      <c r="BP122" s="56"/>
      <c r="BQ122" s="56"/>
      <c r="BR122" s="56"/>
      <c r="BS122" s="56"/>
    </row>
    <row r="123" spans="2:71" x14ac:dyDescent="0.25">
      <c r="B123" s="323"/>
      <c r="C123" s="324"/>
      <c r="D123" s="325"/>
      <c r="E123" s="326"/>
      <c r="F123" s="198"/>
      <c r="G123" s="327"/>
      <c r="H123" s="201"/>
      <c r="I123" s="198"/>
      <c r="J123" s="193"/>
      <c r="K123" s="198"/>
      <c r="L123" s="328"/>
      <c r="M123" s="350"/>
      <c r="N123" s="322"/>
      <c r="O123" s="186"/>
      <c r="P123" s="209"/>
      <c r="Q123" s="209"/>
      <c r="R123" s="209"/>
      <c r="S123" s="209"/>
      <c r="T123" s="209"/>
      <c r="U123" s="209"/>
      <c r="V123" s="209"/>
      <c r="W123" s="209"/>
      <c r="X123" s="209"/>
      <c r="Y123" s="209"/>
      <c r="Z123" s="209"/>
      <c r="AA123" s="209"/>
      <c r="AB123" s="209"/>
      <c r="AC123" s="209"/>
      <c r="AD123" s="209"/>
      <c r="AE123" s="209"/>
      <c r="AF123" s="209"/>
      <c r="AG123" s="209"/>
      <c r="AH123" s="209"/>
      <c r="AI123" s="209"/>
      <c r="AJ123" s="209"/>
      <c r="AK123" s="209"/>
      <c r="AL123" s="209"/>
      <c r="AM123" s="209"/>
      <c r="AN123" s="209"/>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c r="BL123" s="56"/>
      <c r="BM123" s="56"/>
      <c r="BN123" s="56"/>
      <c r="BO123" s="56"/>
      <c r="BP123" s="56"/>
      <c r="BQ123" s="56"/>
      <c r="BR123" s="56"/>
      <c r="BS123" s="56"/>
    </row>
    <row r="124" spans="2:71" x14ac:dyDescent="0.25">
      <c r="B124" s="323"/>
      <c r="C124" s="324"/>
      <c r="D124" s="325"/>
      <c r="E124" s="326"/>
      <c r="F124" s="198"/>
      <c r="G124" s="327"/>
      <c r="H124" s="201"/>
      <c r="I124" s="198"/>
      <c r="J124" s="193"/>
      <c r="K124" s="198"/>
      <c r="L124" s="328"/>
      <c r="M124" s="350"/>
      <c r="N124" s="322"/>
      <c r="O124" s="186"/>
      <c r="P124" s="209"/>
      <c r="Q124" s="209"/>
      <c r="R124" s="209"/>
      <c r="S124" s="209"/>
      <c r="T124" s="209"/>
      <c r="U124" s="209"/>
      <c r="V124" s="209"/>
      <c r="W124" s="209"/>
      <c r="X124" s="209"/>
      <c r="Y124" s="209"/>
      <c r="Z124" s="209"/>
      <c r="AA124" s="209"/>
      <c r="AB124" s="209"/>
      <c r="AC124" s="209"/>
      <c r="AD124" s="209"/>
      <c r="AE124" s="209"/>
      <c r="AF124" s="209"/>
      <c r="AG124" s="209"/>
      <c r="AH124" s="209"/>
      <c r="AI124" s="209"/>
      <c r="AJ124" s="209"/>
      <c r="AK124" s="209"/>
      <c r="AL124" s="209"/>
      <c r="AM124" s="209"/>
      <c r="AN124" s="209"/>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c r="BL124" s="56"/>
      <c r="BM124" s="56"/>
      <c r="BN124" s="56"/>
      <c r="BO124" s="56"/>
      <c r="BP124" s="56"/>
      <c r="BQ124" s="56"/>
      <c r="BR124" s="56"/>
      <c r="BS124" s="56"/>
    </row>
    <row r="125" spans="2:71" x14ac:dyDescent="0.25">
      <c r="B125" s="323"/>
      <c r="C125" s="324"/>
      <c r="D125" s="325"/>
      <c r="E125" s="326"/>
      <c r="F125" s="198"/>
      <c r="G125" s="327"/>
      <c r="H125" s="201"/>
      <c r="I125" s="198"/>
      <c r="J125" s="193"/>
      <c r="K125" s="198"/>
      <c r="L125" s="328"/>
      <c r="M125" s="350"/>
      <c r="N125" s="322"/>
      <c r="O125" s="186"/>
      <c r="P125" s="209"/>
      <c r="Q125" s="209"/>
      <c r="R125" s="209"/>
      <c r="S125" s="209"/>
      <c r="T125" s="209"/>
      <c r="U125" s="209"/>
      <c r="V125" s="209"/>
      <c r="W125" s="209"/>
      <c r="X125" s="209"/>
      <c r="Y125" s="209"/>
      <c r="Z125" s="209"/>
      <c r="AA125" s="209"/>
      <c r="AB125" s="209"/>
      <c r="AC125" s="209"/>
      <c r="AD125" s="209"/>
      <c r="AE125" s="209"/>
      <c r="AF125" s="209"/>
      <c r="AG125" s="209"/>
      <c r="AH125" s="209"/>
      <c r="AI125" s="209"/>
      <c r="AJ125" s="209"/>
      <c r="AK125" s="209"/>
      <c r="AL125" s="209"/>
      <c r="AM125" s="209"/>
      <c r="AN125" s="209"/>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c r="BL125" s="56"/>
      <c r="BM125" s="56"/>
      <c r="BN125" s="56"/>
      <c r="BO125" s="56"/>
      <c r="BP125" s="56"/>
      <c r="BQ125" s="56"/>
      <c r="BR125" s="56"/>
      <c r="BS125" s="56"/>
    </row>
    <row r="126" spans="2:71" x14ac:dyDescent="0.25">
      <c r="B126" s="323"/>
      <c r="C126" s="324"/>
      <c r="D126" s="325"/>
      <c r="E126" s="326"/>
      <c r="F126" s="198"/>
      <c r="G126" s="327"/>
      <c r="H126" s="201"/>
      <c r="I126" s="198"/>
      <c r="J126" s="193"/>
      <c r="K126" s="198"/>
      <c r="L126" s="328"/>
      <c r="M126" s="350"/>
      <c r="N126" s="322"/>
      <c r="O126" s="186"/>
      <c r="P126" s="209"/>
      <c r="Q126" s="209"/>
      <c r="R126" s="209"/>
      <c r="S126" s="209"/>
      <c r="T126" s="209"/>
      <c r="U126" s="209"/>
      <c r="V126" s="209"/>
      <c r="W126" s="209"/>
      <c r="X126" s="209"/>
      <c r="Y126" s="209"/>
      <c r="Z126" s="209"/>
      <c r="AA126" s="209"/>
      <c r="AB126" s="209"/>
      <c r="AC126" s="209"/>
      <c r="AD126" s="209"/>
      <c r="AE126" s="209"/>
      <c r="AF126" s="209"/>
      <c r="AG126" s="209"/>
      <c r="AH126" s="209"/>
      <c r="AI126" s="209"/>
      <c r="AJ126" s="209"/>
      <c r="AK126" s="209"/>
      <c r="AL126" s="209"/>
      <c r="AM126" s="209"/>
      <c r="AN126" s="209"/>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c r="BL126" s="56"/>
      <c r="BM126" s="56"/>
      <c r="BN126" s="56"/>
      <c r="BO126" s="56"/>
      <c r="BP126" s="56"/>
      <c r="BQ126" s="56"/>
      <c r="BR126" s="56"/>
      <c r="BS126" s="56"/>
    </row>
    <row r="127" spans="2:71" x14ac:dyDescent="0.25">
      <c r="B127" s="323"/>
      <c r="C127" s="324"/>
      <c r="D127" s="325"/>
      <c r="E127" s="326"/>
      <c r="F127" s="198"/>
      <c r="G127" s="327"/>
      <c r="H127" s="201"/>
      <c r="I127" s="198"/>
      <c r="J127" s="193"/>
      <c r="K127" s="198"/>
      <c r="L127" s="328"/>
      <c r="M127" s="350"/>
      <c r="N127" s="322"/>
      <c r="O127" s="186"/>
      <c r="P127" s="209"/>
      <c r="Q127" s="209"/>
      <c r="R127" s="209"/>
      <c r="S127" s="209"/>
      <c r="T127" s="209"/>
      <c r="U127" s="209"/>
      <c r="V127" s="209"/>
      <c r="W127" s="209"/>
      <c r="X127" s="209"/>
      <c r="Y127" s="209"/>
      <c r="Z127" s="209"/>
      <c r="AA127" s="209"/>
      <c r="AB127" s="209"/>
      <c r="AC127" s="209"/>
      <c r="AD127" s="209"/>
      <c r="AE127" s="209"/>
      <c r="AF127" s="209"/>
      <c r="AG127" s="209"/>
      <c r="AH127" s="209"/>
      <c r="AI127" s="209"/>
      <c r="AJ127" s="209"/>
      <c r="AK127" s="209"/>
      <c r="AL127" s="209"/>
      <c r="AM127" s="209"/>
      <c r="AN127" s="209"/>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c r="BL127" s="56"/>
      <c r="BM127" s="56"/>
      <c r="BN127" s="56"/>
      <c r="BO127" s="56"/>
      <c r="BP127" s="56"/>
      <c r="BQ127" s="56"/>
      <c r="BR127" s="56"/>
      <c r="BS127" s="56"/>
    </row>
    <row r="128" spans="2:71" x14ac:dyDescent="0.25">
      <c r="B128" s="323"/>
      <c r="C128" s="324"/>
      <c r="D128" s="325"/>
      <c r="E128" s="326"/>
      <c r="F128" s="198"/>
      <c r="G128" s="327"/>
      <c r="H128" s="201"/>
      <c r="I128" s="198"/>
      <c r="J128" s="193"/>
      <c r="K128" s="198"/>
      <c r="L128" s="328"/>
      <c r="M128" s="350"/>
      <c r="N128" s="322"/>
      <c r="O128" s="186"/>
      <c r="P128" s="209"/>
      <c r="Q128" s="209"/>
      <c r="R128" s="209"/>
      <c r="S128" s="209"/>
      <c r="T128" s="209"/>
      <c r="U128" s="209"/>
      <c r="V128" s="209"/>
      <c r="W128" s="209"/>
      <c r="X128" s="209"/>
      <c r="Y128" s="209"/>
      <c r="Z128" s="209"/>
      <c r="AA128" s="209"/>
      <c r="AB128" s="209"/>
      <c r="AC128" s="209"/>
      <c r="AD128" s="209"/>
      <c r="AE128" s="209"/>
      <c r="AF128" s="209"/>
      <c r="AG128" s="209"/>
      <c r="AH128" s="209"/>
      <c r="AI128" s="209"/>
      <c r="AJ128" s="209"/>
      <c r="AK128" s="209"/>
      <c r="AL128" s="209"/>
      <c r="AM128" s="209"/>
      <c r="AN128" s="209"/>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c r="BL128" s="56"/>
      <c r="BM128" s="56"/>
      <c r="BN128" s="56"/>
      <c r="BO128" s="56"/>
      <c r="BP128" s="56"/>
      <c r="BQ128" s="56"/>
      <c r="BR128" s="56"/>
      <c r="BS128" s="56"/>
    </row>
    <row r="129" spans="2:71" x14ac:dyDescent="0.25">
      <c r="B129" s="323"/>
      <c r="C129" s="324"/>
      <c r="D129" s="325"/>
      <c r="E129" s="326"/>
      <c r="F129" s="198"/>
      <c r="G129" s="327"/>
      <c r="H129" s="201"/>
      <c r="I129" s="198"/>
      <c r="J129" s="193"/>
      <c r="K129" s="198"/>
      <c r="L129" s="328"/>
      <c r="M129" s="350"/>
      <c r="N129" s="322"/>
      <c r="O129" s="186"/>
      <c r="P129" s="209"/>
      <c r="Q129" s="209"/>
      <c r="R129" s="209"/>
      <c r="S129" s="209"/>
      <c r="T129" s="209"/>
      <c r="U129" s="209"/>
      <c r="V129" s="209"/>
      <c r="W129" s="209"/>
      <c r="X129" s="209"/>
      <c r="Y129" s="209"/>
      <c r="Z129" s="209"/>
      <c r="AA129" s="209"/>
      <c r="AB129" s="209"/>
      <c r="AC129" s="209"/>
      <c r="AD129" s="209"/>
      <c r="AE129" s="209"/>
      <c r="AF129" s="209"/>
      <c r="AG129" s="209"/>
      <c r="AH129" s="209"/>
      <c r="AI129" s="209"/>
      <c r="AJ129" s="209"/>
      <c r="AK129" s="209"/>
      <c r="AL129" s="209"/>
      <c r="AM129" s="209"/>
      <c r="AN129" s="209"/>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c r="BL129" s="56"/>
      <c r="BM129" s="56"/>
      <c r="BN129" s="56"/>
      <c r="BO129" s="56"/>
      <c r="BP129" s="56"/>
      <c r="BQ129" s="56"/>
      <c r="BR129" s="56"/>
      <c r="BS129" s="56"/>
    </row>
    <row r="130" spans="2:71" x14ac:dyDescent="0.25">
      <c r="B130" s="323"/>
      <c r="C130" s="324"/>
      <c r="D130" s="325"/>
      <c r="E130" s="326"/>
      <c r="F130" s="198"/>
      <c r="G130" s="327"/>
      <c r="H130" s="201"/>
      <c r="I130" s="198"/>
      <c r="J130" s="193"/>
      <c r="K130" s="198"/>
      <c r="L130" s="328"/>
      <c r="M130" s="350"/>
      <c r="N130" s="322"/>
      <c r="O130" s="186"/>
      <c r="P130" s="209"/>
      <c r="Q130" s="209"/>
      <c r="R130" s="209"/>
      <c r="S130" s="209"/>
      <c r="T130" s="209"/>
      <c r="U130" s="209"/>
      <c r="V130" s="209"/>
      <c r="W130" s="209"/>
      <c r="X130" s="209"/>
      <c r="Y130" s="209"/>
      <c r="Z130" s="209"/>
      <c r="AA130" s="209"/>
      <c r="AB130" s="209"/>
      <c r="AC130" s="209"/>
      <c r="AD130" s="209"/>
      <c r="AE130" s="209"/>
      <c r="AF130" s="209"/>
      <c r="AG130" s="209"/>
      <c r="AH130" s="209"/>
      <c r="AI130" s="209"/>
      <c r="AJ130" s="209"/>
      <c r="AK130" s="209"/>
      <c r="AL130" s="209"/>
      <c r="AM130" s="209"/>
      <c r="AN130" s="209"/>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c r="BL130" s="56"/>
      <c r="BM130" s="56"/>
      <c r="BN130" s="56"/>
      <c r="BO130" s="56"/>
      <c r="BP130" s="56"/>
      <c r="BQ130" s="56"/>
      <c r="BR130" s="56"/>
      <c r="BS130" s="56"/>
    </row>
    <row r="131" spans="2:71" x14ac:dyDescent="0.25">
      <c r="B131" s="323"/>
      <c r="C131" s="324"/>
      <c r="D131" s="325"/>
      <c r="E131" s="326"/>
      <c r="F131" s="198"/>
      <c r="G131" s="327"/>
      <c r="H131" s="201"/>
      <c r="I131" s="198"/>
      <c r="J131" s="193"/>
      <c r="K131" s="198"/>
      <c r="L131" s="328"/>
      <c r="M131" s="350"/>
      <c r="N131" s="322"/>
      <c r="O131" s="186"/>
      <c r="P131" s="209"/>
      <c r="Q131" s="209"/>
      <c r="R131" s="209"/>
      <c r="S131" s="209"/>
      <c r="T131" s="209"/>
      <c r="U131" s="209"/>
      <c r="V131" s="209"/>
      <c r="W131" s="209"/>
      <c r="X131" s="209"/>
      <c r="Y131" s="209"/>
      <c r="Z131" s="209"/>
      <c r="AA131" s="209"/>
      <c r="AB131" s="209"/>
      <c r="AC131" s="209"/>
      <c r="AD131" s="209"/>
      <c r="AE131" s="209"/>
      <c r="AF131" s="209"/>
      <c r="AG131" s="209"/>
      <c r="AH131" s="209"/>
      <c r="AI131" s="209"/>
      <c r="AJ131" s="209"/>
      <c r="AK131" s="209"/>
      <c r="AL131" s="209"/>
      <c r="AM131" s="209"/>
      <c r="AN131" s="209"/>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c r="BL131" s="56"/>
      <c r="BM131" s="56"/>
      <c r="BN131" s="56"/>
      <c r="BO131" s="56"/>
      <c r="BP131" s="56"/>
      <c r="BQ131" s="56"/>
      <c r="BR131" s="56"/>
      <c r="BS131" s="56"/>
    </row>
    <row r="132" spans="2:71" x14ac:dyDescent="0.25">
      <c r="B132" s="323"/>
      <c r="C132" s="324"/>
      <c r="D132" s="325"/>
      <c r="E132" s="326"/>
      <c r="F132" s="198"/>
      <c r="G132" s="327"/>
      <c r="H132" s="201"/>
      <c r="I132" s="198"/>
      <c r="J132" s="193"/>
      <c r="K132" s="198"/>
      <c r="L132" s="328"/>
      <c r="M132" s="350"/>
      <c r="N132" s="322"/>
      <c r="O132" s="186"/>
      <c r="P132" s="209"/>
      <c r="Q132" s="209"/>
      <c r="R132" s="209"/>
      <c r="S132" s="209"/>
      <c r="T132" s="209"/>
      <c r="U132" s="209"/>
      <c r="V132" s="209"/>
      <c r="W132" s="209"/>
      <c r="X132" s="209"/>
      <c r="Y132" s="209"/>
      <c r="Z132" s="209"/>
      <c r="AA132" s="209"/>
      <c r="AB132" s="209"/>
      <c r="AC132" s="209"/>
      <c r="AD132" s="209"/>
      <c r="AE132" s="209"/>
      <c r="AF132" s="209"/>
      <c r="AG132" s="209"/>
      <c r="AH132" s="209"/>
      <c r="AI132" s="209"/>
      <c r="AJ132" s="209"/>
      <c r="AK132" s="209"/>
      <c r="AL132" s="209"/>
      <c r="AM132" s="209"/>
      <c r="AN132" s="209"/>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c r="BL132" s="56"/>
      <c r="BM132" s="56"/>
      <c r="BN132" s="56"/>
      <c r="BO132" s="56"/>
      <c r="BP132" s="56"/>
      <c r="BQ132" s="56"/>
      <c r="BR132" s="56"/>
      <c r="BS132" s="56"/>
    </row>
    <row r="133" spans="2:71" x14ac:dyDescent="0.25">
      <c r="B133" s="323"/>
      <c r="C133" s="324"/>
      <c r="D133" s="325"/>
      <c r="E133" s="326"/>
      <c r="F133" s="198"/>
      <c r="G133" s="327"/>
      <c r="H133" s="201"/>
      <c r="I133" s="198"/>
      <c r="J133" s="193"/>
      <c r="K133" s="198"/>
      <c r="L133" s="328"/>
      <c r="M133" s="350"/>
      <c r="N133" s="322"/>
      <c r="O133" s="186"/>
      <c r="P133" s="209"/>
      <c r="Q133" s="209"/>
      <c r="R133" s="209"/>
      <c r="S133" s="209"/>
      <c r="T133" s="209"/>
      <c r="U133" s="209"/>
      <c r="V133" s="209"/>
      <c r="W133" s="209"/>
      <c r="X133" s="209"/>
      <c r="Y133" s="209"/>
      <c r="Z133" s="209"/>
      <c r="AA133" s="209"/>
      <c r="AB133" s="209"/>
      <c r="AC133" s="209"/>
      <c r="AD133" s="209"/>
      <c r="AE133" s="209"/>
      <c r="AF133" s="209"/>
      <c r="AG133" s="209"/>
      <c r="AH133" s="209"/>
      <c r="AI133" s="209"/>
      <c r="AJ133" s="209"/>
      <c r="AK133" s="209"/>
      <c r="AL133" s="209"/>
      <c r="AM133" s="209"/>
      <c r="AN133" s="209"/>
      <c r="AO133" s="56"/>
      <c r="AP133" s="56"/>
      <c r="AQ133" s="56"/>
      <c r="AR133" s="56"/>
      <c r="AS133" s="56"/>
      <c r="AT133" s="56"/>
      <c r="AU133" s="56"/>
      <c r="AV133" s="56"/>
      <c r="AW133" s="56"/>
      <c r="AX133" s="56"/>
      <c r="AY133" s="56"/>
      <c r="AZ133" s="56"/>
      <c r="BA133" s="56"/>
      <c r="BB133" s="56"/>
      <c r="BC133" s="56"/>
      <c r="BD133" s="56"/>
      <c r="BE133" s="56"/>
      <c r="BF133" s="56"/>
      <c r="BG133" s="56"/>
      <c r="BH133" s="56"/>
      <c r="BI133" s="56"/>
      <c r="BJ133" s="56"/>
      <c r="BK133" s="56"/>
      <c r="BL133" s="56"/>
      <c r="BM133" s="56"/>
      <c r="BN133" s="56"/>
      <c r="BO133" s="56"/>
      <c r="BP133" s="56"/>
      <c r="BQ133" s="56"/>
      <c r="BR133" s="56"/>
      <c r="BS133" s="56"/>
    </row>
    <row r="134" spans="2:71" x14ac:dyDescent="0.25">
      <c r="B134" s="323"/>
      <c r="C134" s="324"/>
      <c r="D134" s="325"/>
      <c r="E134" s="326"/>
      <c r="F134" s="198"/>
      <c r="G134" s="327"/>
      <c r="H134" s="201"/>
      <c r="I134" s="198"/>
      <c r="J134" s="193"/>
      <c r="K134" s="198"/>
      <c r="L134" s="328"/>
      <c r="M134" s="350"/>
      <c r="N134" s="322"/>
      <c r="O134" s="186"/>
      <c r="P134" s="209"/>
      <c r="Q134" s="209"/>
      <c r="R134" s="209"/>
      <c r="S134" s="209"/>
      <c r="T134" s="209"/>
      <c r="U134" s="209"/>
      <c r="V134" s="209"/>
      <c r="W134" s="209"/>
      <c r="X134" s="209"/>
      <c r="Y134" s="209"/>
      <c r="Z134" s="209"/>
      <c r="AA134" s="209"/>
      <c r="AB134" s="209"/>
      <c r="AC134" s="209"/>
      <c r="AD134" s="209"/>
      <c r="AE134" s="209"/>
      <c r="AF134" s="209"/>
      <c r="AG134" s="209"/>
      <c r="AH134" s="209"/>
      <c r="AI134" s="209"/>
      <c r="AJ134" s="209"/>
      <c r="AK134" s="209"/>
      <c r="AL134" s="209"/>
      <c r="AM134" s="209"/>
      <c r="AN134" s="209"/>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c r="BL134" s="56"/>
      <c r="BM134" s="56"/>
      <c r="BN134" s="56"/>
      <c r="BO134" s="56"/>
      <c r="BP134" s="56"/>
      <c r="BQ134" s="56"/>
      <c r="BR134" s="56"/>
      <c r="BS134" s="56"/>
    </row>
    <row r="135" spans="2:71" x14ac:dyDescent="0.25">
      <c r="B135" s="323"/>
      <c r="C135" s="324"/>
      <c r="D135" s="325"/>
      <c r="E135" s="326"/>
      <c r="F135" s="198"/>
      <c r="G135" s="327"/>
      <c r="H135" s="201"/>
      <c r="I135" s="198"/>
      <c r="J135" s="193"/>
      <c r="K135" s="198"/>
      <c r="L135" s="328"/>
      <c r="M135" s="350"/>
      <c r="N135" s="322"/>
      <c r="O135" s="186"/>
      <c r="P135" s="209"/>
      <c r="Q135" s="209"/>
      <c r="R135" s="209"/>
      <c r="S135" s="209"/>
      <c r="T135" s="209"/>
      <c r="U135" s="209"/>
      <c r="V135" s="209"/>
      <c r="W135" s="209"/>
      <c r="X135" s="209"/>
      <c r="Y135" s="209"/>
      <c r="Z135" s="209"/>
      <c r="AA135" s="209"/>
      <c r="AB135" s="209"/>
      <c r="AC135" s="209"/>
      <c r="AD135" s="209"/>
      <c r="AE135" s="209"/>
      <c r="AF135" s="209"/>
      <c r="AG135" s="209"/>
      <c r="AH135" s="209"/>
      <c r="AI135" s="209"/>
      <c r="AJ135" s="209"/>
      <c r="AK135" s="209"/>
      <c r="AL135" s="209"/>
      <c r="AM135" s="209"/>
      <c r="AN135" s="209"/>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c r="BL135" s="56"/>
      <c r="BM135" s="56"/>
      <c r="BN135" s="56"/>
      <c r="BO135" s="56"/>
      <c r="BP135" s="56"/>
      <c r="BQ135" s="56"/>
      <c r="BR135" s="56"/>
      <c r="BS135" s="56"/>
    </row>
    <row r="136" spans="2:71" x14ac:dyDescent="0.25">
      <c r="B136" s="323"/>
      <c r="C136" s="324"/>
      <c r="D136" s="325"/>
      <c r="E136" s="326"/>
      <c r="F136" s="198"/>
      <c r="G136" s="327"/>
      <c r="H136" s="201"/>
      <c r="I136" s="198"/>
      <c r="J136" s="193"/>
      <c r="K136" s="198"/>
      <c r="L136" s="328"/>
      <c r="M136" s="350"/>
      <c r="N136" s="322"/>
      <c r="O136" s="186"/>
      <c r="P136" s="209"/>
      <c r="Q136" s="209"/>
      <c r="R136" s="209"/>
      <c r="S136" s="209"/>
      <c r="T136" s="209"/>
      <c r="U136" s="209"/>
      <c r="V136" s="209"/>
      <c r="W136" s="209"/>
      <c r="X136" s="209"/>
      <c r="Y136" s="209"/>
      <c r="Z136" s="209"/>
      <c r="AA136" s="209"/>
      <c r="AB136" s="209"/>
      <c r="AC136" s="209"/>
      <c r="AD136" s="209"/>
      <c r="AE136" s="209"/>
      <c r="AF136" s="209"/>
      <c r="AG136" s="209"/>
      <c r="AH136" s="209"/>
      <c r="AI136" s="209"/>
      <c r="AJ136" s="209"/>
      <c r="AK136" s="209"/>
      <c r="AL136" s="209"/>
      <c r="AM136" s="209"/>
      <c r="AN136" s="209"/>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c r="BL136" s="56"/>
      <c r="BM136" s="56"/>
      <c r="BN136" s="56"/>
      <c r="BO136" s="56"/>
      <c r="BP136" s="56"/>
      <c r="BQ136" s="56"/>
      <c r="BR136" s="56"/>
      <c r="BS136" s="56"/>
    </row>
    <row r="137" spans="2:71" x14ac:dyDescent="0.25">
      <c r="B137" s="323"/>
      <c r="C137" s="324"/>
      <c r="D137" s="325"/>
      <c r="E137" s="326"/>
      <c r="F137" s="198"/>
      <c r="G137" s="327"/>
      <c r="H137" s="201"/>
      <c r="I137" s="198"/>
      <c r="J137" s="193"/>
      <c r="K137" s="198"/>
      <c r="L137" s="328"/>
      <c r="M137" s="350"/>
      <c r="N137" s="322"/>
      <c r="O137" s="186"/>
      <c r="P137" s="209"/>
      <c r="Q137" s="209"/>
      <c r="R137" s="209"/>
      <c r="S137" s="209"/>
      <c r="T137" s="209"/>
      <c r="U137" s="209"/>
      <c r="V137" s="209"/>
      <c r="W137" s="209"/>
      <c r="X137" s="209"/>
      <c r="Y137" s="209"/>
      <c r="Z137" s="209"/>
      <c r="AA137" s="209"/>
      <c r="AB137" s="209"/>
      <c r="AC137" s="209"/>
      <c r="AD137" s="209"/>
      <c r="AE137" s="209"/>
      <c r="AF137" s="209"/>
      <c r="AG137" s="209"/>
      <c r="AH137" s="209"/>
      <c r="AI137" s="209"/>
      <c r="AJ137" s="209"/>
      <c r="AK137" s="209"/>
      <c r="AL137" s="209"/>
      <c r="AM137" s="209"/>
      <c r="AN137" s="209"/>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c r="BL137" s="56"/>
      <c r="BM137" s="56"/>
      <c r="BN137" s="56"/>
      <c r="BO137" s="56"/>
      <c r="BP137" s="56"/>
      <c r="BQ137" s="56"/>
      <c r="BR137" s="56"/>
      <c r="BS137" s="56"/>
    </row>
    <row r="138" spans="2:71" x14ac:dyDescent="0.25">
      <c r="B138" s="323"/>
      <c r="C138" s="324"/>
      <c r="D138" s="325"/>
      <c r="E138" s="326"/>
      <c r="F138" s="198"/>
      <c r="G138" s="327"/>
      <c r="H138" s="201"/>
      <c r="I138" s="198"/>
      <c r="J138" s="193"/>
      <c r="K138" s="198"/>
      <c r="L138" s="328"/>
      <c r="M138" s="350"/>
      <c r="N138" s="322"/>
      <c r="O138" s="186"/>
      <c r="P138" s="209"/>
      <c r="Q138" s="209"/>
      <c r="R138" s="209"/>
      <c r="S138" s="209"/>
      <c r="T138" s="209"/>
      <c r="U138" s="209"/>
      <c r="V138" s="209"/>
      <c r="W138" s="209"/>
      <c r="X138" s="209"/>
      <c r="Y138" s="209"/>
      <c r="Z138" s="209"/>
      <c r="AA138" s="209"/>
      <c r="AB138" s="209"/>
      <c r="AC138" s="209"/>
      <c r="AD138" s="209"/>
      <c r="AE138" s="209"/>
      <c r="AF138" s="209"/>
      <c r="AG138" s="209"/>
      <c r="AH138" s="209"/>
      <c r="AI138" s="209"/>
      <c r="AJ138" s="209"/>
      <c r="AK138" s="209"/>
      <c r="AL138" s="209"/>
      <c r="AM138" s="209"/>
      <c r="AN138" s="209"/>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c r="BL138" s="56"/>
      <c r="BM138" s="56"/>
      <c r="BN138" s="56"/>
      <c r="BO138" s="56"/>
      <c r="BP138" s="56"/>
      <c r="BQ138" s="56"/>
      <c r="BR138" s="56"/>
      <c r="BS138" s="56"/>
    </row>
    <row r="139" spans="2:71" x14ac:dyDescent="0.25">
      <c r="B139" s="323"/>
      <c r="C139" s="324"/>
      <c r="D139" s="325"/>
      <c r="E139" s="326"/>
      <c r="F139" s="198"/>
      <c r="G139" s="327"/>
      <c r="H139" s="201"/>
      <c r="I139" s="198"/>
      <c r="J139" s="193"/>
      <c r="K139" s="198"/>
      <c r="L139" s="328"/>
      <c r="M139" s="350"/>
      <c r="N139" s="322"/>
      <c r="O139" s="186"/>
      <c r="P139" s="209"/>
      <c r="Q139" s="209"/>
      <c r="R139" s="209"/>
      <c r="S139" s="209"/>
      <c r="T139" s="209"/>
      <c r="U139" s="209"/>
      <c r="V139" s="209"/>
      <c r="W139" s="209"/>
      <c r="X139" s="209"/>
      <c r="Y139" s="209"/>
      <c r="Z139" s="209"/>
      <c r="AA139" s="209"/>
      <c r="AB139" s="209"/>
      <c r="AC139" s="209"/>
      <c r="AD139" s="209"/>
      <c r="AE139" s="209"/>
      <c r="AF139" s="209"/>
      <c r="AG139" s="209"/>
      <c r="AH139" s="209"/>
      <c r="AI139" s="209"/>
      <c r="AJ139" s="209"/>
      <c r="AK139" s="209"/>
      <c r="AL139" s="209"/>
      <c r="AM139" s="209"/>
      <c r="AN139" s="209"/>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c r="BL139" s="56"/>
      <c r="BM139" s="56"/>
      <c r="BN139" s="56"/>
      <c r="BO139" s="56"/>
      <c r="BP139" s="56"/>
      <c r="BQ139" s="56"/>
      <c r="BR139" s="56"/>
      <c r="BS139" s="56"/>
    </row>
    <row r="140" spans="2:71" x14ac:dyDescent="0.25">
      <c r="B140" s="323"/>
      <c r="C140" s="324"/>
      <c r="D140" s="325"/>
      <c r="E140" s="326"/>
      <c r="F140" s="198"/>
      <c r="G140" s="327"/>
      <c r="H140" s="201"/>
      <c r="I140" s="198"/>
      <c r="J140" s="193"/>
      <c r="K140" s="198"/>
      <c r="L140" s="328"/>
      <c r="M140" s="350"/>
      <c r="N140" s="322"/>
      <c r="O140" s="186"/>
      <c r="P140" s="209"/>
      <c r="Q140" s="209"/>
      <c r="R140" s="209"/>
      <c r="S140" s="209"/>
      <c r="T140" s="209"/>
      <c r="U140" s="209"/>
      <c r="V140" s="209"/>
      <c r="W140" s="209"/>
      <c r="X140" s="209"/>
      <c r="Y140" s="209"/>
      <c r="Z140" s="209"/>
      <c r="AA140" s="209"/>
      <c r="AB140" s="209"/>
      <c r="AC140" s="209"/>
      <c r="AD140" s="209"/>
      <c r="AE140" s="209"/>
      <c r="AF140" s="209"/>
      <c r="AG140" s="209"/>
      <c r="AH140" s="209"/>
      <c r="AI140" s="209"/>
      <c r="AJ140" s="209"/>
      <c r="AK140" s="209"/>
      <c r="AL140" s="209"/>
      <c r="AM140" s="209"/>
      <c r="AN140" s="209"/>
      <c r="AO140" s="56"/>
      <c r="AP140" s="56"/>
      <c r="AQ140" s="56"/>
      <c r="AR140" s="56"/>
      <c r="AS140" s="56"/>
      <c r="AT140" s="56"/>
      <c r="AU140" s="56"/>
      <c r="AV140" s="56"/>
      <c r="AW140" s="56"/>
      <c r="AX140" s="56"/>
      <c r="AY140" s="56"/>
      <c r="AZ140" s="56"/>
      <c r="BA140" s="56"/>
      <c r="BB140" s="56"/>
      <c r="BC140" s="56"/>
      <c r="BD140" s="56"/>
      <c r="BE140" s="56"/>
      <c r="BF140" s="56"/>
      <c r="BG140" s="56"/>
      <c r="BH140" s="56"/>
      <c r="BI140" s="56"/>
      <c r="BJ140" s="56"/>
      <c r="BK140" s="56"/>
      <c r="BL140" s="56"/>
      <c r="BM140" s="56"/>
      <c r="BN140" s="56"/>
      <c r="BO140" s="56"/>
      <c r="BP140" s="56"/>
      <c r="BQ140" s="56"/>
      <c r="BR140" s="56"/>
      <c r="BS140" s="56"/>
    </row>
    <row r="141" spans="2:71" x14ac:dyDescent="0.25">
      <c r="B141" s="323"/>
      <c r="C141" s="324"/>
      <c r="D141" s="325"/>
      <c r="E141" s="326"/>
      <c r="F141" s="198"/>
      <c r="G141" s="327"/>
      <c r="H141" s="201"/>
      <c r="I141" s="198"/>
      <c r="J141" s="193"/>
      <c r="K141" s="198"/>
      <c r="L141" s="328"/>
      <c r="M141" s="350"/>
      <c r="N141" s="322"/>
      <c r="O141" s="186"/>
      <c r="P141" s="209"/>
      <c r="Q141" s="209"/>
      <c r="R141" s="209"/>
      <c r="S141" s="209"/>
      <c r="T141" s="209"/>
      <c r="U141" s="209"/>
      <c r="V141" s="209"/>
      <c r="W141" s="209"/>
      <c r="X141" s="209"/>
      <c r="Y141" s="209"/>
      <c r="Z141" s="209"/>
      <c r="AA141" s="209"/>
      <c r="AB141" s="209"/>
      <c r="AC141" s="209"/>
      <c r="AD141" s="209"/>
      <c r="AE141" s="209"/>
      <c r="AF141" s="209"/>
      <c r="AG141" s="209"/>
      <c r="AH141" s="209"/>
      <c r="AI141" s="209"/>
      <c r="AJ141" s="209"/>
      <c r="AK141" s="209"/>
      <c r="AL141" s="209"/>
      <c r="AM141" s="209"/>
      <c r="AN141" s="209"/>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c r="BL141" s="56"/>
      <c r="BM141" s="56"/>
      <c r="BN141" s="56"/>
      <c r="BO141" s="56"/>
      <c r="BP141" s="56"/>
      <c r="BQ141" s="56"/>
      <c r="BR141" s="56"/>
      <c r="BS141" s="56"/>
    </row>
    <row r="142" spans="2:71" x14ac:dyDescent="0.25">
      <c r="B142" s="323"/>
      <c r="C142" s="324"/>
      <c r="D142" s="325"/>
      <c r="E142" s="326"/>
      <c r="F142" s="198"/>
      <c r="G142" s="327"/>
      <c r="H142" s="201"/>
      <c r="I142" s="198"/>
      <c r="J142" s="193"/>
      <c r="K142" s="198"/>
      <c r="L142" s="328"/>
      <c r="M142" s="350"/>
      <c r="N142" s="322"/>
      <c r="O142" s="186"/>
      <c r="P142" s="209"/>
      <c r="Q142" s="209"/>
      <c r="R142" s="209"/>
      <c r="S142" s="209"/>
      <c r="T142" s="209"/>
      <c r="U142" s="209"/>
      <c r="V142" s="209"/>
      <c r="W142" s="209"/>
      <c r="X142" s="209"/>
      <c r="Y142" s="209"/>
      <c r="Z142" s="209"/>
      <c r="AA142" s="209"/>
      <c r="AB142" s="209"/>
      <c r="AC142" s="209"/>
      <c r="AD142" s="209"/>
      <c r="AE142" s="209"/>
      <c r="AF142" s="209"/>
      <c r="AG142" s="209"/>
      <c r="AH142" s="209"/>
      <c r="AI142" s="209"/>
      <c r="AJ142" s="209"/>
      <c r="AK142" s="209"/>
      <c r="AL142" s="209"/>
      <c r="AM142" s="209"/>
      <c r="AN142" s="209"/>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c r="BL142" s="56"/>
      <c r="BM142" s="56"/>
      <c r="BN142" s="56"/>
      <c r="BO142" s="56"/>
      <c r="BP142" s="56"/>
      <c r="BQ142" s="56"/>
      <c r="BR142" s="56"/>
      <c r="BS142" s="56"/>
    </row>
    <row r="143" spans="2:71" x14ac:dyDescent="0.25">
      <c r="B143" s="323"/>
      <c r="C143" s="324"/>
      <c r="D143" s="325"/>
      <c r="E143" s="326"/>
      <c r="F143" s="198"/>
      <c r="G143" s="327"/>
      <c r="H143" s="201"/>
      <c r="I143" s="198"/>
      <c r="J143" s="193"/>
      <c r="K143" s="198"/>
      <c r="L143" s="328"/>
      <c r="M143" s="350"/>
      <c r="N143" s="322"/>
      <c r="O143" s="186"/>
      <c r="P143" s="209"/>
      <c r="Q143" s="209"/>
      <c r="R143" s="209"/>
      <c r="S143" s="209"/>
      <c r="T143" s="209"/>
      <c r="U143" s="209"/>
      <c r="V143" s="209"/>
      <c r="W143" s="209"/>
      <c r="X143" s="209"/>
      <c r="Y143" s="209"/>
      <c r="Z143" s="209"/>
      <c r="AA143" s="209"/>
      <c r="AB143" s="209"/>
      <c r="AC143" s="209"/>
      <c r="AD143" s="209"/>
      <c r="AE143" s="209"/>
      <c r="AF143" s="209"/>
      <c r="AG143" s="209"/>
      <c r="AH143" s="209"/>
      <c r="AI143" s="209"/>
      <c r="AJ143" s="209"/>
      <c r="AK143" s="209"/>
      <c r="AL143" s="209"/>
      <c r="AM143" s="209"/>
      <c r="AN143" s="209"/>
      <c r="AO143" s="56"/>
      <c r="AP143" s="56"/>
      <c r="AQ143" s="56"/>
      <c r="AR143" s="56"/>
      <c r="AS143" s="56"/>
      <c r="AT143" s="56"/>
      <c r="AU143" s="56"/>
      <c r="AV143" s="56"/>
      <c r="AW143" s="56"/>
      <c r="AX143" s="56"/>
      <c r="AY143" s="56"/>
      <c r="AZ143" s="56"/>
      <c r="BA143" s="56"/>
      <c r="BB143" s="56"/>
      <c r="BC143" s="56"/>
      <c r="BD143" s="56"/>
      <c r="BE143" s="56"/>
      <c r="BF143" s="56"/>
      <c r="BG143" s="56"/>
      <c r="BH143" s="56"/>
      <c r="BI143" s="56"/>
      <c r="BJ143" s="56"/>
      <c r="BK143" s="56"/>
      <c r="BL143" s="56"/>
      <c r="BM143" s="56"/>
      <c r="BN143" s="56"/>
      <c r="BO143" s="56"/>
      <c r="BP143" s="56"/>
      <c r="BQ143" s="56"/>
      <c r="BR143" s="56"/>
      <c r="BS143" s="56"/>
    </row>
    <row r="144" spans="2:71" x14ac:dyDescent="0.25">
      <c r="B144" s="323"/>
      <c r="C144" s="324"/>
      <c r="D144" s="325"/>
      <c r="E144" s="326"/>
      <c r="F144" s="198"/>
      <c r="G144" s="327"/>
      <c r="H144" s="201"/>
      <c r="I144" s="198"/>
      <c r="J144" s="193"/>
      <c r="K144" s="198"/>
      <c r="L144" s="328"/>
      <c r="M144" s="350"/>
      <c r="N144" s="322"/>
      <c r="O144" s="186"/>
      <c r="P144" s="209"/>
      <c r="Q144" s="209"/>
      <c r="R144" s="209"/>
      <c r="S144" s="209"/>
      <c r="T144" s="209"/>
      <c r="U144" s="209"/>
      <c r="V144" s="209"/>
      <c r="W144" s="209"/>
      <c r="X144" s="209"/>
      <c r="Y144" s="209"/>
      <c r="Z144" s="209"/>
      <c r="AA144" s="209"/>
      <c r="AB144" s="209"/>
      <c r="AC144" s="209"/>
      <c r="AD144" s="209"/>
      <c r="AE144" s="209"/>
      <c r="AF144" s="209"/>
      <c r="AG144" s="209"/>
      <c r="AH144" s="209"/>
      <c r="AI144" s="209"/>
      <c r="AJ144" s="209"/>
      <c r="AK144" s="209"/>
      <c r="AL144" s="209"/>
      <c r="AM144" s="209"/>
      <c r="AN144" s="209"/>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c r="BL144" s="56"/>
      <c r="BM144" s="56"/>
      <c r="BN144" s="56"/>
      <c r="BO144" s="56"/>
      <c r="BP144" s="56"/>
      <c r="BQ144" s="56"/>
      <c r="BR144" s="56"/>
      <c r="BS144" s="56"/>
    </row>
    <row r="145" spans="1:71" x14ac:dyDescent="0.25">
      <c r="B145" s="323"/>
      <c r="C145" s="324"/>
      <c r="D145" s="325"/>
      <c r="E145" s="326"/>
      <c r="F145" s="198"/>
      <c r="G145" s="327"/>
      <c r="H145" s="201"/>
      <c r="I145" s="198"/>
      <c r="J145" s="193"/>
      <c r="K145" s="198"/>
      <c r="L145" s="328"/>
      <c r="M145" s="350"/>
      <c r="N145" s="322"/>
      <c r="O145" s="186"/>
      <c r="P145" s="209"/>
      <c r="Q145" s="209"/>
      <c r="R145" s="209"/>
      <c r="S145" s="209"/>
      <c r="T145" s="209"/>
      <c r="U145" s="209"/>
      <c r="V145" s="209"/>
      <c r="W145" s="209"/>
      <c r="X145" s="209"/>
      <c r="Y145" s="209"/>
      <c r="Z145" s="209"/>
      <c r="AA145" s="209"/>
      <c r="AB145" s="209"/>
      <c r="AC145" s="209"/>
      <c r="AD145" s="209"/>
      <c r="AE145" s="209"/>
      <c r="AF145" s="209"/>
      <c r="AG145" s="209"/>
      <c r="AH145" s="209"/>
      <c r="AI145" s="209"/>
      <c r="AJ145" s="209"/>
      <c r="AK145" s="209"/>
      <c r="AL145" s="209"/>
      <c r="AM145" s="209"/>
      <c r="AN145" s="209"/>
      <c r="AO145" s="56"/>
      <c r="AP145" s="56"/>
      <c r="AQ145" s="56"/>
      <c r="AR145" s="56"/>
      <c r="AS145" s="56"/>
      <c r="AT145" s="56"/>
      <c r="AU145" s="56"/>
      <c r="AV145" s="56"/>
      <c r="AW145" s="56"/>
      <c r="AX145" s="56"/>
      <c r="AY145" s="56"/>
      <c r="AZ145" s="56"/>
      <c r="BA145" s="56"/>
      <c r="BB145" s="56"/>
      <c r="BC145" s="56"/>
      <c r="BD145" s="56"/>
      <c r="BE145" s="56"/>
      <c r="BF145" s="56"/>
      <c r="BG145" s="56"/>
      <c r="BH145" s="56"/>
      <c r="BI145" s="56"/>
      <c r="BJ145" s="56"/>
      <c r="BK145" s="56"/>
      <c r="BL145" s="56"/>
      <c r="BM145" s="56"/>
      <c r="BN145" s="56"/>
      <c r="BO145" s="56"/>
      <c r="BP145" s="56"/>
      <c r="BQ145" s="56"/>
      <c r="BR145" s="56"/>
      <c r="BS145" s="56"/>
    </row>
    <row r="146" spans="1:71" x14ac:dyDescent="0.25">
      <c r="B146" s="323"/>
      <c r="C146" s="324"/>
      <c r="D146" s="325"/>
      <c r="E146" s="326"/>
      <c r="F146" s="198"/>
      <c r="G146" s="327"/>
      <c r="H146" s="201"/>
      <c r="I146" s="198"/>
      <c r="J146" s="193"/>
      <c r="K146" s="198"/>
      <c r="L146" s="328"/>
      <c r="M146" s="350"/>
      <c r="N146" s="322"/>
      <c r="O146" s="186"/>
      <c r="P146" s="209"/>
      <c r="Q146" s="209"/>
      <c r="R146" s="209"/>
      <c r="S146" s="209"/>
      <c r="T146" s="209"/>
      <c r="U146" s="209"/>
      <c r="V146" s="209"/>
      <c r="W146" s="209"/>
      <c r="X146" s="209"/>
      <c r="Y146" s="209"/>
      <c r="Z146" s="209"/>
      <c r="AA146" s="209"/>
      <c r="AB146" s="209"/>
      <c r="AC146" s="209"/>
      <c r="AD146" s="209"/>
      <c r="AE146" s="209"/>
      <c r="AF146" s="209"/>
      <c r="AG146" s="209"/>
      <c r="AH146" s="209"/>
      <c r="AI146" s="209"/>
      <c r="AJ146" s="209"/>
      <c r="AK146" s="209"/>
      <c r="AL146" s="209"/>
      <c r="AM146" s="209"/>
      <c r="AN146" s="209"/>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c r="BL146" s="56"/>
      <c r="BM146" s="56"/>
      <c r="BN146" s="56"/>
      <c r="BO146" s="56"/>
      <c r="BP146" s="56"/>
      <c r="BQ146" s="56"/>
      <c r="BR146" s="56"/>
      <c r="BS146" s="56"/>
    </row>
    <row r="147" spans="1:71" x14ac:dyDescent="0.25">
      <c r="B147" s="323"/>
      <c r="C147" s="324"/>
      <c r="D147" s="325"/>
      <c r="E147" s="326"/>
      <c r="F147" s="198"/>
      <c r="G147" s="327"/>
      <c r="H147" s="201"/>
      <c r="I147" s="198"/>
      <c r="J147" s="193"/>
      <c r="K147" s="198"/>
      <c r="L147" s="328"/>
      <c r="M147" s="350"/>
      <c r="N147" s="322"/>
      <c r="O147" s="186"/>
      <c r="P147" s="209"/>
      <c r="Q147" s="209"/>
      <c r="R147" s="209"/>
      <c r="S147" s="209"/>
      <c r="T147" s="209"/>
      <c r="U147" s="209"/>
      <c r="V147" s="209"/>
      <c r="W147" s="209"/>
      <c r="X147" s="209"/>
      <c r="Y147" s="209"/>
      <c r="Z147" s="209"/>
      <c r="AA147" s="209"/>
      <c r="AB147" s="209"/>
      <c r="AC147" s="209"/>
      <c r="AD147" s="209"/>
      <c r="AE147" s="209"/>
      <c r="AF147" s="209"/>
      <c r="AG147" s="209"/>
      <c r="AH147" s="209"/>
      <c r="AI147" s="209"/>
      <c r="AJ147" s="209"/>
      <c r="AK147" s="209"/>
      <c r="AL147" s="209"/>
      <c r="AM147" s="209"/>
      <c r="AN147" s="209"/>
      <c r="AO147" s="56"/>
      <c r="AP147" s="56"/>
      <c r="AQ147" s="56"/>
      <c r="AR147" s="56"/>
      <c r="AS147" s="56"/>
      <c r="AT147" s="56"/>
      <c r="AU147" s="56"/>
      <c r="AV147" s="56"/>
      <c r="AW147" s="56"/>
      <c r="AX147" s="56"/>
      <c r="AY147" s="56"/>
      <c r="AZ147" s="56"/>
      <c r="BA147" s="56"/>
      <c r="BB147" s="56"/>
      <c r="BC147" s="56"/>
      <c r="BD147" s="56"/>
      <c r="BE147" s="56"/>
      <c r="BF147" s="56"/>
      <c r="BG147" s="56"/>
      <c r="BH147" s="56"/>
      <c r="BI147" s="56"/>
      <c r="BJ147" s="56"/>
      <c r="BK147" s="56"/>
      <c r="BL147" s="56"/>
      <c r="BM147" s="56"/>
      <c r="BN147" s="56"/>
      <c r="BO147" s="56"/>
      <c r="BP147" s="56"/>
      <c r="BQ147" s="56"/>
      <c r="BR147" s="56"/>
      <c r="BS147" s="56"/>
    </row>
    <row r="148" spans="1:71" x14ac:dyDescent="0.25">
      <c r="B148" s="323"/>
      <c r="C148" s="324"/>
      <c r="D148" s="325"/>
      <c r="E148" s="326"/>
      <c r="F148" s="198"/>
      <c r="G148" s="327"/>
      <c r="H148" s="201"/>
      <c r="I148" s="198"/>
      <c r="J148" s="193"/>
      <c r="K148" s="198"/>
      <c r="L148" s="328"/>
      <c r="M148" s="350"/>
      <c r="N148" s="322"/>
      <c r="O148" s="186"/>
      <c r="P148" s="209"/>
      <c r="Q148" s="209"/>
      <c r="R148" s="209"/>
      <c r="S148" s="209"/>
      <c r="T148" s="209"/>
      <c r="U148" s="209"/>
      <c r="V148" s="209"/>
      <c r="W148" s="209"/>
      <c r="X148" s="209"/>
      <c r="Y148" s="209"/>
      <c r="Z148" s="209"/>
      <c r="AA148" s="209"/>
      <c r="AB148" s="209"/>
      <c r="AC148" s="209"/>
      <c r="AD148" s="209"/>
      <c r="AE148" s="209"/>
      <c r="AF148" s="209"/>
      <c r="AG148" s="209"/>
      <c r="AH148" s="209"/>
      <c r="AI148" s="209"/>
      <c r="AJ148" s="209"/>
      <c r="AK148" s="209"/>
      <c r="AL148" s="209"/>
      <c r="AM148" s="209"/>
      <c r="AN148" s="209"/>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c r="BL148" s="56"/>
      <c r="BM148" s="56"/>
      <c r="BN148" s="56"/>
      <c r="BO148" s="56"/>
      <c r="BP148" s="56"/>
      <c r="BQ148" s="56"/>
      <c r="BR148" s="56"/>
      <c r="BS148" s="56"/>
    </row>
    <row r="149" spans="1:71" x14ac:dyDescent="0.25">
      <c r="B149" s="323"/>
      <c r="C149" s="324"/>
      <c r="D149" s="325"/>
      <c r="E149" s="326"/>
      <c r="F149" s="198"/>
      <c r="G149" s="327"/>
      <c r="H149" s="201"/>
      <c r="I149" s="198"/>
      <c r="J149" s="193"/>
      <c r="K149" s="198"/>
      <c r="L149" s="328"/>
      <c r="M149" s="350"/>
      <c r="N149" s="322"/>
      <c r="O149" s="186"/>
      <c r="P149" s="209"/>
      <c r="Q149" s="209"/>
      <c r="R149" s="209"/>
      <c r="S149" s="209"/>
      <c r="T149" s="209"/>
      <c r="U149" s="209"/>
      <c r="V149" s="209"/>
      <c r="W149" s="209"/>
      <c r="X149" s="209"/>
      <c r="Y149" s="209"/>
      <c r="Z149" s="209"/>
      <c r="AA149" s="209"/>
      <c r="AB149" s="209"/>
      <c r="AC149" s="209"/>
      <c r="AD149" s="209"/>
      <c r="AE149" s="209"/>
      <c r="AF149" s="209"/>
      <c r="AG149" s="209"/>
      <c r="AH149" s="209"/>
      <c r="AI149" s="209"/>
      <c r="AJ149" s="209"/>
      <c r="AK149" s="209"/>
      <c r="AL149" s="209"/>
      <c r="AM149" s="209"/>
      <c r="AN149" s="209"/>
      <c r="AO149" s="56"/>
      <c r="AP149" s="56"/>
      <c r="AQ149" s="56"/>
      <c r="AR149" s="56"/>
      <c r="AS149" s="56"/>
      <c r="AT149" s="56"/>
      <c r="AU149" s="56"/>
      <c r="AV149" s="56"/>
      <c r="AW149" s="56"/>
      <c r="AX149" s="56"/>
      <c r="AY149" s="56"/>
      <c r="AZ149" s="56"/>
      <c r="BA149" s="56"/>
      <c r="BB149" s="56"/>
      <c r="BC149" s="56"/>
      <c r="BD149" s="56"/>
      <c r="BE149" s="56"/>
      <c r="BF149" s="56"/>
      <c r="BG149" s="56"/>
      <c r="BH149" s="56"/>
      <c r="BI149" s="56"/>
      <c r="BJ149" s="56"/>
      <c r="BK149" s="56"/>
      <c r="BL149" s="56"/>
      <c r="BM149" s="56"/>
      <c r="BN149" s="56"/>
      <c r="BO149" s="56"/>
      <c r="BP149" s="56"/>
      <c r="BQ149" s="56"/>
      <c r="BR149" s="56"/>
      <c r="BS149" s="56"/>
    </row>
    <row r="150" spans="1:71" x14ac:dyDescent="0.25">
      <c r="B150" s="323"/>
      <c r="C150" s="324"/>
      <c r="D150" s="325"/>
      <c r="E150" s="326"/>
      <c r="F150" s="198"/>
      <c r="G150" s="327"/>
      <c r="H150" s="201"/>
      <c r="I150" s="198"/>
      <c r="J150" s="193"/>
      <c r="K150" s="198"/>
      <c r="L150" s="328"/>
      <c r="M150" s="350"/>
      <c r="N150" s="322"/>
      <c r="O150" s="186"/>
      <c r="P150" s="209"/>
      <c r="Q150" s="209"/>
      <c r="R150" s="209"/>
      <c r="S150" s="209"/>
      <c r="T150" s="209"/>
      <c r="U150" s="209"/>
      <c r="V150" s="209"/>
      <c r="W150" s="209"/>
      <c r="X150" s="209"/>
      <c r="Y150" s="209"/>
      <c r="Z150" s="209"/>
      <c r="AA150" s="209"/>
      <c r="AB150" s="209"/>
      <c r="AC150" s="209"/>
      <c r="AD150" s="209"/>
      <c r="AE150" s="209"/>
      <c r="AF150" s="209"/>
      <c r="AG150" s="209"/>
      <c r="AH150" s="209"/>
      <c r="AI150" s="209"/>
      <c r="AJ150" s="209"/>
      <c r="AK150" s="209"/>
      <c r="AL150" s="209"/>
      <c r="AM150" s="209"/>
      <c r="AN150" s="209"/>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c r="BL150" s="56"/>
      <c r="BM150" s="56"/>
      <c r="BN150" s="56"/>
      <c r="BO150" s="56"/>
      <c r="BP150" s="56"/>
      <c r="BQ150" s="56"/>
      <c r="BR150" s="56"/>
      <c r="BS150" s="56"/>
    </row>
    <row r="151" spans="1:71" s="95" customFormat="1" x14ac:dyDescent="0.25">
      <c r="A151" s="86"/>
      <c r="B151" s="323"/>
      <c r="C151" s="324"/>
      <c r="D151" s="325"/>
      <c r="E151" s="326"/>
      <c r="F151" s="198"/>
      <c r="G151" s="327"/>
      <c r="H151" s="201"/>
      <c r="I151" s="198"/>
      <c r="J151" s="193"/>
      <c r="K151" s="198"/>
      <c r="L151" s="328"/>
      <c r="M151" s="350"/>
      <c r="N151" s="322"/>
      <c r="O151" s="186"/>
      <c r="P151" s="209"/>
      <c r="Q151" s="209"/>
      <c r="R151" s="209"/>
      <c r="S151" s="209"/>
      <c r="T151" s="209"/>
      <c r="U151" s="209"/>
      <c r="V151" s="209"/>
      <c r="W151" s="209"/>
      <c r="X151" s="209"/>
      <c r="Y151" s="209"/>
      <c r="Z151" s="209"/>
      <c r="AA151" s="209"/>
      <c r="AB151" s="209"/>
      <c r="AC151" s="209"/>
      <c r="AD151" s="209"/>
      <c r="AE151" s="209"/>
      <c r="AF151" s="209"/>
      <c r="AG151" s="209"/>
      <c r="AH151" s="209"/>
      <c r="AI151" s="209"/>
      <c r="AJ151" s="209"/>
      <c r="AK151" s="209"/>
      <c r="AL151" s="209"/>
      <c r="AM151" s="209"/>
      <c r="AN151" s="209"/>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c r="BL151" s="56"/>
      <c r="BM151" s="56"/>
      <c r="BN151" s="56"/>
      <c r="BO151" s="56"/>
      <c r="BP151" s="56"/>
      <c r="BQ151" s="56"/>
      <c r="BR151" s="56"/>
      <c r="BS151" s="56"/>
    </row>
    <row r="152" spans="1:71" s="95" customFormat="1" x14ac:dyDescent="0.25">
      <c r="A152" s="86"/>
      <c r="B152" s="323"/>
      <c r="C152" s="169"/>
      <c r="D152" s="170"/>
      <c r="E152" s="171"/>
      <c r="F152" s="198"/>
      <c r="G152" s="193"/>
      <c r="H152" s="198"/>
      <c r="I152" s="198"/>
      <c r="J152" s="193"/>
      <c r="K152" s="198"/>
      <c r="L152" s="328"/>
      <c r="M152" s="351"/>
      <c r="N152" s="181"/>
      <c r="O152" s="186"/>
      <c r="P152" s="209"/>
      <c r="Q152" s="209"/>
      <c r="R152" s="209"/>
      <c r="S152" s="209"/>
      <c r="T152" s="209"/>
      <c r="U152" s="209"/>
      <c r="V152" s="209"/>
      <c r="W152" s="209"/>
      <c r="X152" s="209"/>
      <c r="Y152" s="209"/>
      <c r="Z152" s="209"/>
      <c r="AA152" s="209"/>
      <c r="AB152" s="209"/>
      <c r="AC152" s="209"/>
      <c r="AD152" s="209"/>
      <c r="AE152" s="209"/>
      <c r="AF152" s="209"/>
      <c r="AG152" s="209"/>
      <c r="AH152" s="209"/>
      <c r="AI152" s="209"/>
      <c r="AJ152" s="209"/>
      <c r="AK152" s="209"/>
      <c r="AL152" s="209"/>
      <c r="AM152" s="209"/>
      <c r="AN152" s="209"/>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c r="BL152" s="56"/>
      <c r="BM152" s="56"/>
      <c r="BN152" s="56"/>
      <c r="BO152" s="56"/>
      <c r="BP152" s="56"/>
      <c r="BQ152" s="56"/>
      <c r="BR152" s="56"/>
      <c r="BS152" s="56"/>
    </row>
    <row r="153" spans="1:71" s="95" customFormat="1" x14ac:dyDescent="0.25">
      <c r="A153" s="86"/>
      <c r="B153" s="323"/>
      <c r="C153" s="169"/>
      <c r="D153" s="170"/>
      <c r="E153" s="171"/>
      <c r="F153" s="198"/>
      <c r="G153" s="193"/>
      <c r="H153" s="198"/>
      <c r="I153" s="198"/>
      <c r="J153" s="193"/>
      <c r="K153" s="198"/>
      <c r="L153" s="328"/>
      <c r="M153" s="351"/>
      <c r="N153" s="181"/>
      <c r="O153" s="186"/>
      <c r="P153" s="209"/>
      <c r="Q153" s="209"/>
      <c r="R153" s="209"/>
      <c r="S153" s="209"/>
      <c r="T153" s="209"/>
      <c r="U153" s="209"/>
      <c r="V153" s="209"/>
      <c r="W153" s="209"/>
      <c r="X153" s="209"/>
      <c r="Y153" s="209"/>
      <c r="Z153" s="209"/>
      <c r="AA153" s="209"/>
      <c r="AB153" s="209"/>
      <c r="AC153" s="209"/>
      <c r="AD153" s="209"/>
      <c r="AE153" s="209"/>
      <c r="AF153" s="209"/>
      <c r="AG153" s="209"/>
      <c r="AH153" s="209"/>
      <c r="AI153" s="209"/>
      <c r="AJ153" s="209"/>
      <c r="AK153" s="209"/>
      <c r="AL153" s="209"/>
      <c r="AM153" s="209"/>
      <c r="AN153" s="209"/>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c r="BL153" s="56"/>
      <c r="BM153" s="56"/>
      <c r="BN153" s="56"/>
      <c r="BO153" s="56"/>
      <c r="BP153" s="56"/>
      <c r="BQ153" s="56"/>
      <c r="BR153" s="56"/>
      <c r="BS153" s="56"/>
    </row>
    <row r="154" spans="1:71" s="95" customFormat="1" x14ac:dyDescent="0.25">
      <c r="A154" s="86"/>
      <c r="B154" s="323"/>
      <c r="C154" s="169"/>
      <c r="D154" s="170"/>
      <c r="E154" s="171"/>
      <c r="F154" s="198"/>
      <c r="G154" s="193"/>
      <c r="H154" s="198"/>
      <c r="I154" s="198"/>
      <c r="J154" s="193"/>
      <c r="K154" s="198"/>
      <c r="L154" s="328"/>
      <c r="M154" s="351"/>
      <c r="N154" s="181"/>
      <c r="O154" s="186"/>
      <c r="P154" s="209"/>
      <c r="Q154" s="209"/>
      <c r="R154" s="209"/>
      <c r="S154" s="209"/>
      <c r="T154" s="209"/>
      <c r="U154" s="209"/>
      <c r="V154" s="209"/>
      <c r="W154" s="209"/>
      <c r="X154" s="209"/>
      <c r="Y154" s="209"/>
      <c r="Z154" s="209"/>
      <c r="AA154" s="209"/>
      <c r="AB154" s="209"/>
      <c r="AC154" s="209"/>
      <c r="AD154" s="209"/>
      <c r="AE154" s="209"/>
      <c r="AF154" s="209"/>
      <c r="AG154" s="209"/>
      <c r="AH154" s="209"/>
      <c r="AI154" s="209"/>
      <c r="AJ154" s="209"/>
      <c r="AK154" s="209"/>
      <c r="AL154" s="209"/>
      <c r="AM154" s="209"/>
      <c r="AN154" s="209"/>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row>
    <row r="155" spans="1:71" s="95" customFormat="1" x14ac:dyDescent="0.25">
      <c r="A155" s="86"/>
      <c r="B155" s="323"/>
      <c r="C155" s="169"/>
      <c r="D155" s="170"/>
      <c r="E155" s="171"/>
      <c r="F155" s="198"/>
      <c r="G155" s="193"/>
      <c r="H155" s="198"/>
      <c r="I155" s="198"/>
      <c r="J155" s="193"/>
      <c r="K155" s="198"/>
      <c r="L155" s="328"/>
      <c r="M155" s="351"/>
      <c r="N155" s="181"/>
      <c r="O155" s="186"/>
      <c r="P155" s="209"/>
      <c r="Q155" s="209"/>
      <c r="R155" s="209"/>
      <c r="S155" s="209"/>
      <c r="T155" s="209"/>
      <c r="U155" s="209"/>
      <c r="V155" s="209"/>
      <c r="W155" s="209"/>
      <c r="X155" s="209"/>
      <c r="Y155" s="209"/>
      <c r="Z155" s="209"/>
      <c r="AA155" s="209"/>
      <c r="AB155" s="209"/>
      <c r="AC155" s="209"/>
      <c r="AD155" s="209"/>
      <c r="AE155" s="209"/>
      <c r="AF155" s="209"/>
      <c r="AG155" s="209"/>
      <c r="AH155" s="209"/>
      <c r="AI155" s="209"/>
      <c r="AJ155" s="209"/>
      <c r="AK155" s="209"/>
      <c r="AL155" s="209"/>
      <c r="AM155" s="209"/>
      <c r="AN155" s="209"/>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c r="BL155" s="56"/>
      <c r="BM155" s="56"/>
      <c r="BN155" s="56"/>
      <c r="BO155" s="56"/>
      <c r="BP155" s="56"/>
      <c r="BQ155" s="56"/>
      <c r="BR155" s="56"/>
      <c r="BS155" s="56"/>
    </row>
    <row r="156" spans="1:71" s="95" customFormat="1" x14ac:dyDescent="0.25">
      <c r="A156" s="86"/>
      <c r="B156" s="323"/>
      <c r="C156" s="169"/>
      <c r="D156" s="170"/>
      <c r="E156" s="171"/>
      <c r="F156" s="198"/>
      <c r="G156" s="193"/>
      <c r="H156" s="198"/>
      <c r="I156" s="198"/>
      <c r="J156" s="193"/>
      <c r="K156" s="198"/>
      <c r="L156" s="328"/>
      <c r="M156" s="351"/>
      <c r="N156" s="181"/>
      <c r="O156" s="186"/>
      <c r="P156" s="209"/>
      <c r="Q156" s="209"/>
      <c r="R156" s="209"/>
      <c r="S156" s="209"/>
      <c r="T156" s="209"/>
      <c r="U156" s="209"/>
      <c r="V156" s="209"/>
      <c r="W156" s="209"/>
      <c r="X156" s="209"/>
      <c r="Y156" s="209"/>
      <c r="Z156" s="209"/>
      <c r="AA156" s="209"/>
      <c r="AB156" s="209"/>
      <c r="AC156" s="209"/>
      <c r="AD156" s="209"/>
      <c r="AE156" s="209"/>
      <c r="AF156" s="209"/>
      <c r="AG156" s="209"/>
      <c r="AH156" s="209"/>
      <c r="AI156" s="209"/>
      <c r="AJ156" s="209"/>
      <c r="AK156" s="209"/>
      <c r="AL156" s="209"/>
      <c r="AM156" s="209"/>
      <c r="AN156" s="209"/>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c r="BL156" s="56"/>
      <c r="BM156" s="56"/>
      <c r="BN156" s="56"/>
      <c r="BO156" s="56"/>
      <c r="BP156" s="56"/>
      <c r="BQ156" s="56"/>
      <c r="BR156" s="56"/>
      <c r="BS156" s="56"/>
    </row>
    <row r="157" spans="1:71" s="95" customFormat="1" x14ac:dyDescent="0.25">
      <c r="A157" s="86"/>
      <c r="B157" s="323"/>
      <c r="C157" s="169"/>
      <c r="D157" s="170"/>
      <c r="E157" s="171"/>
      <c r="F157" s="198"/>
      <c r="G157" s="193"/>
      <c r="H157" s="198"/>
      <c r="I157" s="198"/>
      <c r="J157" s="193"/>
      <c r="K157" s="198"/>
      <c r="L157" s="328"/>
      <c r="M157" s="351"/>
      <c r="N157" s="181"/>
      <c r="O157" s="186"/>
      <c r="P157" s="209"/>
      <c r="Q157" s="209"/>
      <c r="R157" s="209"/>
      <c r="S157" s="209"/>
      <c r="T157" s="209"/>
      <c r="U157" s="209"/>
      <c r="V157" s="209"/>
      <c r="W157" s="209"/>
      <c r="X157" s="209"/>
      <c r="Y157" s="209"/>
      <c r="Z157" s="209"/>
      <c r="AA157" s="209"/>
      <c r="AB157" s="209"/>
      <c r="AC157" s="209"/>
      <c r="AD157" s="209"/>
      <c r="AE157" s="209"/>
      <c r="AF157" s="209"/>
      <c r="AG157" s="209"/>
      <c r="AH157" s="209"/>
      <c r="AI157" s="209"/>
      <c r="AJ157" s="209"/>
      <c r="AK157" s="209"/>
      <c r="AL157" s="209"/>
      <c r="AM157" s="209"/>
      <c r="AN157" s="209"/>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c r="BL157" s="56"/>
      <c r="BM157" s="56"/>
      <c r="BN157" s="56"/>
      <c r="BO157" s="56"/>
      <c r="BP157" s="56"/>
      <c r="BQ157" s="56"/>
      <c r="BR157" s="56"/>
      <c r="BS157" s="56"/>
    </row>
    <row r="158" spans="1:71" s="95" customFormat="1" x14ac:dyDescent="0.25">
      <c r="A158" s="86"/>
      <c r="B158" s="323"/>
      <c r="C158" s="169"/>
      <c r="D158" s="170"/>
      <c r="E158" s="171"/>
      <c r="F158" s="198"/>
      <c r="G158" s="193"/>
      <c r="H158" s="198"/>
      <c r="I158" s="198"/>
      <c r="J158" s="193"/>
      <c r="K158" s="198"/>
      <c r="L158" s="328"/>
      <c r="M158" s="351"/>
      <c r="N158" s="181"/>
      <c r="O158" s="186"/>
      <c r="P158" s="209"/>
      <c r="Q158" s="209"/>
      <c r="R158" s="209"/>
      <c r="S158" s="209"/>
      <c r="T158" s="209"/>
      <c r="U158" s="209"/>
      <c r="V158" s="209"/>
      <c r="W158" s="209"/>
      <c r="X158" s="209"/>
      <c r="Y158" s="209"/>
      <c r="Z158" s="209"/>
      <c r="AA158" s="209"/>
      <c r="AB158" s="209"/>
      <c r="AC158" s="209"/>
      <c r="AD158" s="209"/>
      <c r="AE158" s="209"/>
      <c r="AF158" s="209"/>
      <c r="AG158" s="209"/>
      <c r="AH158" s="209"/>
      <c r="AI158" s="209"/>
      <c r="AJ158" s="209"/>
      <c r="AK158" s="209"/>
      <c r="AL158" s="209"/>
      <c r="AM158" s="209"/>
      <c r="AN158" s="209"/>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c r="BL158" s="56"/>
      <c r="BM158" s="56"/>
      <c r="BN158" s="56"/>
      <c r="BO158" s="56"/>
      <c r="BP158" s="56"/>
      <c r="BQ158" s="56"/>
      <c r="BR158" s="56"/>
      <c r="BS158" s="56"/>
    </row>
    <row r="159" spans="1:71" s="95" customFormat="1" x14ac:dyDescent="0.25">
      <c r="A159" s="86"/>
      <c r="B159" s="323"/>
      <c r="C159" s="169"/>
      <c r="D159" s="170"/>
      <c r="E159" s="171"/>
      <c r="F159" s="198"/>
      <c r="G159" s="193"/>
      <c r="H159" s="198"/>
      <c r="I159" s="198"/>
      <c r="J159" s="193"/>
      <c r="K159" s="198"/>
      <c r="L159" s="328"/>
      <c r="M159" s="351"/>
      <c r="N159" s="181"/>
      <c r="O159" s="186"/>
      <c r="P159" s="209"/>
      <c r="Q159" s="209"/>
      <c r="R159" s="209"/>
      <c r="S159" s="209"/>
      <c r="T159" s="209"/>
      <c r="U159" s="209"/>
      <c r="V159" s="209"/>
      <c r="W159" s="209"/>
      <c r="X159" s="209"/>
      <c r="Y159" s="209"/>
      <c r="Z159" s="209"/>
      <c r="AA159" s="209"/>
      <c r="AB159" s="209"/>
      <c r="AC159" s="209"/>
      <c r="AD159" s="209"/>
      <c r="AE159" s="209"/>
      <c r="AF159" s="209"/>
      <c r="AG159" s="209"/>
      <c r="AH159" s="209"/>
      <c r="AI159" s="209"/>
      <c r="AJ159" s="209"/>
      <c r="AK159" s="209"/>
      <c r="AL159" s="209"/>
      <c r="AM159" s="209"/>
      <c r="AN159" s="209"/>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c r="BL159" s="56"/>
      <c r="BM159" s="56"/>
      <c r="BN159" s="56"/>
      <c r="BO159" s="56"/>
      <c r="BP159" s="56"/>
      <c r="BQ159" s="56"/>
      <c r="BR159" s="56"/>
      <c r="BS159" s="56"/>
    </row>
    <row r="160" spans="1:71" s="95" customFormat="1" x14ac:dyDescent="0.25">
      <c r="A160" s="86"/>
      <c r="B160" s="323"/>
      <c r="C160" s="169"/>
      <c r="D160" s="170"/>
      <c r="E160" s="171"/>
      <c r="F160" s="198"/>
      <c r="G160" s="193"/>
      <c r="H160" s="198"/>
      <c r="I160" s="198"/>
      <c r="J160" s="193"/>
      <c r="K160" s="198"/>
      <c r="L160" s="328"/>
      <c r="M160" s="351"/>
      <c r="N160" s="181"/>
      <c r="O160" s="186"/>
      <c r="P160" s="209"/>
      <c r="Q160" s="209"/>
      <c r="R160" s="209"/>
      <c r="S160" s="209"/>
      <c r="T160" s="209"/>
      <c r="U160" s="209"/>
      <c r="V160" s="209"/>
      <c r="W160" s="209"/>
      <c r="X160" s="209"/>
      <c r="Y160" s="209"/>
      <c r="Z160" s="209"/>
      <c r="AA160" s="209"/>
      <c r="AB160" s="209"/>
      <c r="AC160" s="209"/>
      <c r="AD160" s="209"/>
      <c r="AE160" s="209"/>
      <c r="AF160" s="209"/>
      <c r="AG160" s="209"/>
      <c r="AH160" s="209"/>
      <c r="AI160" s="209"/>
      <c r="AJ160" s="209"/>
      <c r="AK160" s="209"/>
      <c r="AL160" s="209"/>
      <c r="AM160" s="209"/>
      <c r="AN160" s="209"/>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c r="BL160" s="56"/>
      <c r="BM160" s="56"/>
      <c r="BN160" s="56"/>
      <c r="BO160" s="56"/>
      <c r="BP160" s="56"/>
      <c r="BQ160" s="56"/>
      <c r="BR160" s="56"/>
      <c r="BS160" s="56"/>
    </row>
    <row r="161" spans="1:71" s="95" customFormat="1" x14ac:dyDescent="0.25">
      <c r="A161" s="86"/>
      <c r="B161" s="323"/>
      <c r="C161" s="169"/>
      <c r="D161" s="170"/>
      <c r="E161" s="171"/>
      <c r="F161" s="198"/>
      <c r="G161" s="193"/>
      <c r="H161" s="198"/>
      <c r="I161" s="198"/>
      <c r="J161" s="193"/>
      <c r="K161" s="198"/>
      <c r="L161" s="328"/>
      <c r="M161" s="351"/>
      <c r="N161" s="181"/>
      <c r="O161" s="186"/>
      <c r="P161" s="209"/>
      <c r="Q161" s="209"/>
      <c r="R161" s="209"/>
      <c r="S161" s="209"/>
      <c r="T161" s="209"/>
      <c r="U161" s="209"/>
      <c r="V161" s="209"/>
      <c r="W161" s="209"/>
      <c r="X161" s="209"/>
      <c r="Y161" s="209"/>
      <c r="Z161" s="209"/>
      <c r="AA161" s="209"/>
      <c r="AB161" s="209"/>
      <c r="AC161" s="209"/>
      <c r="AD161" s="209"/>
      <c r="AE161" s="209"/>
      <c r="AF161" s="209"/>
      <c r="AG161" s="209"/>
      <c r="AH161" s="209"/>
      <c r="AI161" s="209"/>
      <c r="AJ161" s="209"/>
      <c r="AK161" s="209"/>
      <c r="AL161" s="209"/>
      <c r="AM161" s="209"/>
      <c r="AN161" s="209"/>
      <c r="AO161" s="56"/>
      <c r="AP161" s="56"/>
      <c r="AQ161" s="56"/>
      <c r="AR161" s="56"/>
      <c r="AS161" s="56"/>
      <c r="AT161" s="56"/>
      <c r="AU161" s="56"/>
      <c r="AV161" s="56"/>
      <c r="AW161" s="56"/>
      <c r="AX161" s="56"/>
      <c r="AY161" s="56"/>
      <c r="AZ161" s="56"/>
      <c r="BA161" s="56"/>
      <c r="BB161" s="56"/>
      <c r="BC161" s="56"/>
      <c r="BD161" s="56"/>
      <c r="BE161" s="56"/>
      <c r="BF161" s="56"/>
      <c r="BG161" s="56"/>
      <c r="BH161" s="56"/>
      <c r="BI161" s="56"/>
      <c r="BJ161" s="56"/>
      <c r="BK161" s="56"/>
      <c r="BL161" s="56"/>
      <c r="BM161" s="56"/>
      <c r="BN161" s="56"/>
      <c r="BO161" s="56"/>
      <c r="BP161" s="56"/>
      <c r="BQ161" s="56"/>
      <c r="BR161" s="56"/>
      <c r="BS161" s="56"/>
    </row>
    <row r="162" spans="1:71" s="95" customFormat="1" x14ac:dyDescent="0.25">
      <c r="A162" s="86"/>
      <c r="B162" s="323"/>
      <c r="C162" s="172"/>
      <c r="D162" s="170"/>
      <c r="E162" s="171"/>
      <c r="F162" s="198"/>
      <c r="G162" s="193"/>
      <c r="H162" s="198"/>
      <c r="I162" s="198"/>
      <c r="J162" s="193"/>
      <c r="K162" s="198"/>
      <c r="L162" s="328"/>
      <c r="M162" s="351"/>
      <c r="N162" s="181"/>
      <c r="O162" s="186"/>
      <c r="P162" s="209"/>
      <c r="Q162" s="209"/>
      <c r="R162" s="209"/>
      <c r="S162" s="209"/>
      <c r="T162" s="209"/>
      <c r="U162" s="209"/>
      <c r="V162" s="209"/>
      <c r="W162" s="209"/>
      <c r="X162" s="209"/>
      <c r="Y162" s="209"/>
      <c r="Z162" s="209"/>
      <c r="AA162" s="209"/>
      <c r="AB162" s="209"/>
      <c r="AC162" s="209"/>
      <c r="AD162" s="209"/>
      <c r="AE162" s="209"/>
      <c r="AF162" s="209"/>
      <c r="AG162" s="209"/>
      <c r="AH162" s="209"/>
      <c r="AI162" s="209"/>
      <c r="AJ162" s="209"/>
      <c r="AK162" s="209"/>
      <c r="AL162" s="209"/>
      <c r="AM162" s="209"/>
      <c r="AN162" s="209"/>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c r="BL162" s="56"/>
      <c r="BM162" s="56"/>
      <c r="BN162" s="56"/>
      <c r="BO162" s="56"/>
      <c r="BP162" s="56"/>
      <c r="BQ162" s="56"/>
      <c r="BR162" s="56"/>
      <c r="BS162" s="56"/>
    </row>
    <row r="163" spans="1:71" s="95" customFormat="1" x14ac:dyDescent="0.25">
      <c r="A163" s="86"/>
      <c r="B163" s="323"/>
      <c r="C163" s="172"/>
      <c r="D163" s="170"/>
      <c r="E163" s="171"/>
      <c r="F163" s="198"/>
      <c r="G163" s="193"/>
      <c r="H163" s="198"/>
      <c r="I163" s="198"/>
      <c r="J163" s="193"/>
      <c r="K163" s="198"/>
      <c r="L163" s="328"/>
      <c r="M163" s="351"/>
      <c r="N163" s="181"/>
      <c r="O163" s="186"/>
      <c r="P163" s="209"/>
      <c r="Q163" s="209"/>
      <c r="R163" s="209"/>
      <c r="S163" s="209"/>
      <c r="T163" s="209"/>
      <c r="U163" s="209"/>
      <c r="V163" s="209"/>
      <c r="W163" s="209"/>
      <c r="X163" s="209"/>
      <c r="Y163" s="209"/>
      <c r="Z163" s="209"/>
      <c r="AA163" s="209"/>
      <c r="AB163" s="209"/>
      <c r="AC163" s="209"/>
      <c r="AD163" s="209"/>
      <c r="AE163" s="209"/>
      <c r="AF163" s="209"/>
      <c r="AG163" s="209"/>
      <c r="AH163" s="209"/>
      <c r="AI163" s="209"/>
      <c r="AJ163" s="209"/>
      <c r="AK163" s="209"/>
      <c r="AL163" s="209"/>
      <c r="AM163" s="209"/>
      <c r="AN163" s="209"/>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c r="BL163" s="56"/>
      <c r="BM163" s="56"/>
      <c r="BN163" s="56"/>
      <c r="BO163" s="56"/>
      <c r="BP163" s="56"/>
      <c r="BQ163" s="56"/>
      <c r="BR163" s="56"/>
      <c r="BS163" s="56"/>
    </row>
    <row r="164" spans="1:71" s="95" customFormat="1" x14ac:dyDescent="0.25">
      <c r="A164" s="86"/>
      <c r="B164" s="323"/>
      <c r="C164" s="172"/>
      <c r="D164" s="170"/>
      <c r="E164" s="171"/>
      <c r="F164" s="198"/>
      <c r="G164" s="193"/>
      <c r="H164" s="198"/>
      <c r="I164" s="198"/>
      <c r="J164" s="193"/>
      <c r="K164" s="198"/>
      <c r="L164" s="328"/>
      <c r="M164" s="351"/>
      <c r="N164" s="181"/>
      <c r="O164" s="186"/>
      <c r="P164" s="209"/>
      <c r="Q164" s="209"/>
      <c r="R164" s="209"/>
      <c r="S164" s="209"/>
      <c r="T164" s="209"/>
      <c r="U164" s="209"/>
      <c r="V164" s="209"/>
      <c r="W164" s="209"/>
      <c r="X164" s="209"/>
      <c r="Y164" s="209"/>
      <c r="Z164" s="209"/>
      <c r="AA164" s="209"/>
      <c r="AB164" s="209"/>
      <c r="AC164" s="209"/>
      <c r="AD164" s="209"/>
      <c r="AE164" s="209"/>
      <c r="AF164" s="209"/>
      <c r="AG164" s="209"/>
      <c r="AH164" s="209"/>
      <c r="AI164" s="209"/>
      <c r="AJ164" s="209"/>
      <c r="AK164" s="209"/>
      <c r="AL164" s="209"/>
      <c r="AM164" s="209"/>
      <c r="AN164" s="209"/>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c r="BL164" s="56"/>
      <c r="BM164" s="56"/>
      <c r="BN164" s="56"/>
      <c r="BO164" s="56"/>
      <c r="BP164" s="56"/>
      <c r="BQ164" s="56"/>
      <c r="BR164" s="56"/>
      <c r="BS164" s="56"/>
    </row>
    <row r="165" spans="1:71" s="95" customFormat="1" x14ac:dyDescent="0.25">
      <c r="A165" s="86"/>
      <c r="B165" s="323"/>
      <c r="C165" s="172"/>
      <c r="D165" s="170"/>
      <c r="E165" s="171"/>
      <c r="F165" s="198"/>
      <c r="G165" s="193"/>
      <c r="H165" s="198"/>
      <c r="I165" s="198"/>
      <c r="J165" s="193"/>
      <c r="K165" s="198"/>
      <c r="L165" s="328"/>
      <c r="M165" s="351"/>
      <c r="N165" s="181"/>
      <c r="O165" s="186"/>
      <c r="P165" s="209"/>
      <c r="Q165" s="209"/>
      <c r="R165" s="209"/>
      <c r="S165" s="209"/>
      <c r="T165" s="209"/>
      <c r="U165" s="209"/>
      <c r="V165" s="209"/>
      <c r="W165" s="209"/>
      <c r="X165" s="209"/>
      <c r="Y165" s="209"/>
      <c r="Z165" s="209"/>
      <c r="AA165" s="209"/>
      <c r="AB165" s="209"/>
      <c r="AC165" s="209"/>
      <c r="AD165" s="209"/>
      <c r="AE165" s="209"/>
      <c r="AF165" s="209"/>
      <c r="AG165" s="209"/>
      <c r="AH165" s="209"/>
      <c r="AI165" s="209"/>
      <c r="AJ165" s="209"/>
      <c r="AK165" s="209"/>
      <c r="AL165" s="209"/>
      <c r="AM165" s="209"/>
      <c r="AN165" s="209"/>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c r="BL165" s="56"/>
      <c r="BM165" s="56"/>
      <c r="BN165" s="56"/>
      <c r="BO165" s="56"/>
      <c r="BP165" s="56"/>
      <c r="BQ165" s="56"/>
      <c r="BR165" s="56"/>
      <c r="BS165" s="56"/>
    </row>
    <row r="166" spans="1:71" s="95" customFormat="1" x14ac:dyDescent="0.25">
      <c r="A166" s="86"/>
      <c r="B166" s="323"/>
      <c r="C166" s="172"/>
      <c r="D166" s="170"/>
      <c r="E166" s="171"/>
      <c r="F166" s="198"/>
      <c r="G166" s="193"/>
      <c r="H166" s="198"/>
      <c r="I166" s="198"/>
      <c r="J166" s="193"/>
      <c r="K166" s="198"/>
      <c r="L166" s="328"/>
      <c r="M166" s="351"/>
      <c r="N166" s="181"/>
      <c r="O166" s="186"/>
      <c r="P166" s="209"/>
      <c r="Q166" s="209"/>
      <c r="R166" s="209"/>
      <c r="S166" s="209"/>
      <c r="T166" s="209"/>
      <c r="U166" s="209"/>
      <c r="V166" s="209"/>
      <c r="W166" s="209"/>
      <c r="X166" s="209"/>
      <c r="Y166" s="209"/>
      <c r="Z166" s="209"/>
      <c r="AA166" s="209"/>
      <c r="AB166" s="209"/>
      <c r="AC166" s="209"/>
      <c r="AD166" s="209"/>
      <c r="AE166" s="209"/>
      <c r="AF166" s="209"/>
      <c r="AG166" s="209"/>
      <c r="AH166" s="209"/>
      <c r="AI166" s="209"/>
      <c r="AJ166" s="209"/>
      <c r="AK166" s="209"/>
      <c r="AL166" s="209"/>
      <c r="AM166" s="209"/>
      <c r="AN166" s="209"/>
      <c r="AO166" s="56"/>
      <c r="AP166" s="56"/>
      <c r="AQ166" s="56"/>
      <c r="AR166" s="56"/>
      <c r="AS166" s="56"/>
      <c r="AT166" s="56"/>
      <c r="AU166" s="56"/>
      <c r="AV166" s="56"/>
      <c r="AW166" s="56"/>
      <c r="AX166" s="56"/>
      <c r="AY166" s="56"/>
      <c r="AZ166" s="56"/>
      <c r="BA166" s="56"/>
      <c r="BB166" s="56"/>
      <c r="BC166" s="56"/>
      <c r="BD166" s="56"/>
      <c r="BE166" s="56"/>
      <c r="BF166" s="56"/>
      <c r="BG166" s="56"/>
      <c r="BH166" s="56"/>
      <c r="BI166" s="56"/>
      <c r="BJ166" s="56"/>
      <c r="BK166" s="56"/>
      <c r="BL166" s="56"/>
      <c r="BM166" s="56"/>
      <c r="BN166" s="56"/>
      <c r="BO166" s="56"/>
      <c r="BP166" s="56"/>
      <c r="BQ166" s="56"/>
      <c r="BR166" s="56"/>
      <c r="BS166" s="56"/>
    </row>
    <row r="167" spans="1:71" s="95" customFormat="1" x14ac:dyDescent="0.25">
      <c r="A167" s="86"/>
      <c r="B167" s="323"/>
      <c r="C167" s="172"/>
      <c r="D167" s="170"/>
      <c r="E167" s="171"/>
      <c r="F167" s="198"/>
      <c r="G167" s="193"/>
      <c r="H167" s="198"/>
      <c r="I167" s="198"/>
      <c r="J167" s="193"/>
      <c r="K167" s="198"/>
      <c r="L167" s="328"/>
      <c r="M167" s="351"/>
      <c r="N167" s="181"/>
      <c r="O167" s="186"/>
      <c r="P167" s="209"/>
      <c r="Q167" s="209"/>
      <c r="R167" s="209"/>
      <c r="S167" s="209"/>
      <c r="T167" s="209"/>
      <c r="U167" s="209"/>
      <c r="V167" s="209"/>
      <c r="W167" s="209"/>
      <c r="X167" s="209"/>
      <c r="Y167" s="209"/>
      <c r="Z167" s="209"/>
      <c r="AA167" s="209"/>
      <c r="AB167" s="209"/>
      <c r="AC167" s="209"/>
      <c r="AD167" s="209"/>
      <c r="AE167" s="209"/>
      <c r="AF167" s="209"/>
      <c r="AG167" s="209"/>
      <c r="AH167" s="209"/>
      <c r="AI167" s="209"/>
      <c r="AJ167" s="209"/>
      <c r="AK167" s="209"/>
      <c r="AL167" s="209"/>
      <c r="AM167" s="209"/>
      <c r="AN167" s="209"/>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c r="BL167" s="56"/>
      <c r="BM167" s="56"/>
      <c r="BN167" s="56"/>
      <c r="BO167" s="56"/>
      <c r="BP167" s="56"/>
      <c r="BQ167" s="56"/>
      <c r="BR167" s="56"/>
      <c r="BS167" s="56"/>
    </row>
    <row r="168" spans="1:71" s="95" customFormat="1" x14ac:dyDescent="0.25">
      <c r="A168" s="86"/>
      <c r="B168" s="323"/>
      <c r="C168" s="172"/>
      <c r="D168" s="170"/>
      <c r="E168" s="171"/>
      <c r="F168" s="198"/>
      <c r="G168" s="193"/>
      <c r="H168" s="198"/>
      <c r="I168" s="198"/>
      <c r="J168" s="193"/>
      <c r="K168" s="198"/>
      <c r="L168" s="328"/>
      <c r="M168" s="351"/>
      <c r="N168" s="181"/>
      <c r="O168" s="186"/>
      <c r="P168" s="209"/>
      <c r="Q168" s="209"/>
      <c r="R168" s="209"/>
      <c r="S168" s="209"/>
      <c r="T168" s="209"/>
      <c r="U168" s="209"/>
      <c r="V168" s="209"/>
      <c r="W168" s="209"/>
      <c r="X168" s="209"/>
      <c r="Y168" s="209"/>
      <c r="Z168" s="209"/>
      <c r="AA168" s="56"/>
      <c r="AB168" s="56"/>
      <c r="AC168" s="56"/>
      <c r="AD168" s="56"/>
      <c r="AE168" s="56"/>
      <c r="AF168" s="56"/>
      <c r="AG168" s="56"/>
      <c r="AH168" s="56"/>
      <c r="AI168" s="56"/>
      <c r="AJ168" s="56"/>
      <c r="AK168" s="56"/>
      <c r="AL168" s="56"/>
      <c r="AM168" s="56"/>
      <c r="AN168" s="56"/>
      <c r="AO168" s="56"/>
      <c r="AP168" s="56"/>
      <c r="AQ168" s="56"/>
      <c r="AR168" s="56"/>
      <c r="AS168" s="56"/>
      <c r="AT168" s="56"/>
      <c r="AU168" s="56"/>
      <c r="AV168" s="56"/>
      <c r="AW168" s="56"/>
      <c r="AX168" s="56"/>
      <c r="AY168" s="56"/>
      <c r="AZ168" s="56"/>
      <c r="BA168" s="56"/>
      <c r="BB168" s="56"/>
      <c r="BC168" s="56"/>
      <c r="BD168" s="56"/>
      <c r="BE168" s="56"/>
      <c r="BF168" s="56"/>
      <c r="BG168" s="56"/>
      <c r="BH168" s="56"/>
      <c r="BI168" s="56"/>
      <c r="BJ168" s="56"/>
      <c r="BK168" s="56"/>
      <c r="BL168" s="56"/>
      <c r="BM168" s="56"/>
      <c r="BN168" s="56"/>
      <c r="BO168" s="56"/>
      <c r="BP168" s="56"/>
      <c r="BQ168" s="56"/>
      <c r="BR168" s="56"/>
      <c r="BS168" s="56"/>
    </row>
    <row r="169" spans="1:71" s="95" customFormat="1" x14ac:dyDescent="0.25">
      <c r="A169" s="86"/>
      <c r="B169" s="323"/>
      <c r="C169" s="172"/>
      <c r="D169" s="170"/>
      <c r="E169" s="171"/>
      <c r="F169" s="198"/>
      <c r="G169" s="193"/>
      <c r="H169" s="198"/>
      <c r="I169" s="198"/>
      <c r="J169" s="193"/>
      <c r="K169" s="198"/>
      <c r="L169" s="328"/>
      <c r="M169" s="351"/>
      <c r="N169" s="181"/>
      <c r="O169" s="186"/>
      <c r="P169" s="209"/>
      <c r="Q169" s="209"/>
      <c r="R169" s="209"/>
      <c r="S169" s="209"/>
      <c r="T169" s="209"/>
      <c r="U169" s="209"/>
      <c r="V169" s="209"/>
      <c r="W169" s="209"/>
      <c r="X169" s="209"/>
      <c r="Y169" s="209"/>
      <c r="Z169" s="209"/>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c r="BL169" s="56"/>
      <c r="BM169" s="56"/>
      <c r="BN169" s="56"/>
      <c r="BO169" s="56"/>
      <c r="BP169" s="56"/>
      <c r="BQ169" s="56"/>
      <c r="BR169" s="56"/>
      <c r="BS169" s="56"/>
    </row>
    <row r="170" spans="1:71" s="95" customFormat="1" x14ac:dyDescent="0.25">
      <c r="A170" s="86"/>
      <c r="B170" s="323"/>
      <c r="C170" s="172"/>
      <c r="D170" s="170"/>
      <c r="E170" s="171"/>
      <c r="F170" s="198"/>
      <c r="G170" s="193"/>
      <c r="H170" s="198"/>
      <c r="I170" s="198"/>
      <c r="J170" s="193"/>
      <c r="K170" s="198"/>
      <c r="L170" s="328"/>
      <c r="M170" s="351"/>
      <c r="N170" s="181"/>
      <c r="O170" s="18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c r="BL170" s="56"/>
      <c r="BM170" s="56"/>
      <c r="BN170" s="56"/>
      <c r="BO170" s="56"/>
      <c r="BP170" s="56"/>
      <c r="BQ170" s="56"/>
      <c r="BR170" s="56"/>
      <c r="BS170" s="56"/>
    </row>
    <row r="171" spans="1:71" s="95" customFormat="1" x14ac:dyDescent="0.25">
      <c r="A171" s="89"/>
      <c r="B171" s="323"/>
      <c r="C171" s="172"/>
      <c r="D171" s="170"/>
      <c r="E171" s="171"/>
      <c r="F171" s="198"/>
      <c r="G171" s="193"/>
      <c r="H171" s="198"/>
      <c r="I171" s="198"/>
      <c r="J171" s="193"/>
      <c r="K171" s="198"/>
      <c r="L171" s="328"/>
      <c r="M171" s="351"/>
      <c r="N171" s="181"/>
      <c r="O171" s="18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c r="BL171" s="56"/>
      <c r="BM171" s="56"/>
      <c r="BN171" s="56"/>
      <c r="BO171" s="56"/>
      <c r="BP171" s="56"/>
      <c r="BQ171" s="56"/>
      <c r="BR171" s="56"/>
      <c r="BS171" s="56"/>
    </row>
    <row r="172" spans="1:71" s="95" customFormat="1" x14ac:dyDescent="0.25">
      <c r="A172" s="89"/>
      <c r="B172" s="323"/>
      <c r="C172" s="169"/>
      <c r="D172" s="170"/>
      <c r="E172" s="171"/>
      <c r="F172" s="198"/>
      <c r="G172" s="193"/>
      <c r="H172" s="198"/>
      <c r="I172" s="198"/>
      <c r="J172" s="193"/>
      <c r="K172" s="198"/>
      <c r="L172" s="328"/>
      <c r="M172" s="351"/>
      <c r="N172" s="181"/>
      <c r="O172" s="18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c r="AR172" s="56"/>
      <c r="AS172" s="56"/>
      <c r="AT172" s="56"/>
      <c r="AU172" s="56"/>
      <c r="AV172" s="56"/>
      <c r="AW172" s="56"/>
      <c r="AX172" s="56"/>
      <c r="AY172" s="56"/>
      <c r="AZ172" s="56"/>
      <c r="BA172" s="56"/>
      <c r="BB172" s="56"/>
      <c r="BC172" s="56"/>
      <c r="BD172" s="56"/>
      <c r="BE172" s="56"/>
      <c r="BF172" s="56"/>
      <c r="BG172" s="56"/>
      <c r="BH172" s="56"/>
      <c r="BI172" s="56"/>
      <c r="BJ172" s="56"/>
      <c r="BK172" s="56"/>
      <c r="BL172" s="56"/>
      <c r="BM172" s="56"/>
      <c r="BN172" s="56"/>
      <c r="BO172" s="56"/>
      <c r="BP172" s="56"/>
      <c r="BQ172" s="56"/>
      <c r="BR172" s="56"/>
      <c r="BS172" s="56"/>
    </row>
    <row r="173" spans="1:71" s="95" customFormat="1" x14ac:dyDescent="0.25">
      <c r="A173" s="89"/>
      <c r="B173" s="323"/>
      <c r="C173" s="169"/>
      <c r="D173" s="170"/>
      <c r="E173" s="171"/>
      <c r="F173" s="198"/>
      <c r="G173" s="193"/>
      <c r="H173" s="198"/>
      <c r="I173" s="198"/>
      <c r="J173" s="193"/>
      <c r="K173" s="198"/>
      <c r="L173" s="328"/>
      <c r="M173" s="351"/>
      <c r="N173" s="181"/>
      <c r="O173" s="18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c r="AY173" s="56"/>
      <c r="AZ173" s="56"/>
      <c r="BA173" s="56"/>
      <c r="BB173" s="56"/>
      <c r="BC173" s="56"/>
      <c r="BD173" s="56"/>
      <c r="BE173" s="56"/>
      <c r="BF173" s="56"/>
      <c r="BG173" s="56"/>
      <c r="BH173" s="56"/>
      <c r="BI173" s="56"/>
      <c r="BJ173" s="56"/>
      <c r="BK173" s="56"/>
      <c r="BL173" s="56"/>
      <c r="BM173" s="56"/>
      <c r="BN173" s="56"/>
      <c r="BO173" s="56"/>
      <c r="BP173" s="56"/>
      <c r="BQ173" s="56"/>
      <c r="BR173" s="56"/>
      <c r="BS173" s="56"/>
    </row>
    <row r="174" spans="1:71" s="95" customFormat="1" x14ac:dyDescent="0.25">
      <c r="A174" s="89"/>
      <c r="B174" s="323"/>
      <c r="C174" s="172"/>
      <c r="D174" s="170"/>
      <c r="E174" s="171"/>
      <c r="F174" s="198"/>
      <c r="G174" s="193"/>
      <c r="H174" s="198"/>
      <c r="I174" s="198"/>
      <c r="J174" s="193"/>
      <c r="K174" s="198"/>
      <c r="L174" s="328"/>
      <c r="M174" s="351"/>
      <c r="N174" s="181"/>
      <c r="O174" s="18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c r="BL174" s="56"/>
      <c r="BM174" s="56"/>
      <c r="BN174" s="56"/>
      <c r="BO174" s="56"/>
      <c r="BP174" s="56"/>
      <c r="BQ174" s="56"/>
      <c r="BR174" s="56"/>
      <c r="BS174" s="56"/>
    </row>
    <row r="175" spans="1:71" s="189" customFormat="1" ht="18" x14ac:dyDescent="0.3">
      <c r="A175" s="173"/>
      <c r="B175" s="323"/>
      <c r="C175" s="172"/>
      <c r="D175" s="170"/>
      <c r="E175" s="171"/>
      <c r="F175" s="198"/>
      <c r="G175" s="193"/>
      <c r="H175" s="198"/>
      <c r="I175" s="198"/>
      <c r="J175" s="193"/>
      <c r="K175" s="198"/>
      <c r="L175" s="328"/>
      <c r="M175" s="351"/>
      <c r="N175" s="181"/>
      <c r="O175" s="187"/>
      <c r="P175" s="188"/>
      <c r="Q175" s="188"/>
      <c r="R175" s="188"/>
      <c r="S175" s="188"/>
      <c r="T175" s="188"/>
      <c r="U175" s="188"/>
      <c r="V175" s="188"/>
      <c r="W175" s="188"/>
      <c r="X175" s="188"/>
      <c r="Y175" s="188"/>
      <c r="Z175" s="188"/>
      <c r="AA175" s="188"/>
      <c r="AB175" s="188"/>
      <c r="AC175" s="188"/>
      <c r="AD175" s="188"/>
      <c r="AE175" s="188"/>
      <c r="AF175" s="188"/>
      <c r="AG175" s="188"/>
      <c r="AH175" s="188"/>
      <c r="AI175" s="188"/>
      <c r="AJ175" s="188"/>
      <c r="AK175" s="188"/>
      <c r="AL175" s="188"/>
      <c r="AM175" s="188"/>
      <c r="AN175" s="188"/>
      <c r="AO175" s="188"/>
      <c r="AP175" s="188"/>
      <c r="AQ175" s="188"/>
      <c r="AR175" s="188"/>
      <c r="AS175" s="188"/>
      <c r="AT175" s="188"/>
      <c r="AU175" s="188"/>
      <c r="AV175" s="188"/>
      <c r="AW175" s="188"/>
      <c r="AX175" s="188"/>
      <c r="AY175" s="188"/>
      <c r="AZ175" s="188"/>
      <c r="BA175" s="188"/>
      <c r="BB175" s="188"/>
      <c r="BC175" s="188"/>
      <c r="BD175" s="188"/>
      <c r="BE175" s="188"/>
      <c r="BF175" s="188"/>
      <c r="BG175" s="188"/>
      <c r="BH175" s="188"/>
      <c r="BI175" s="188"/>
      <c r="BJ175" s="188"/>
      <c r="BK175" s="188"/>
      <c r="BL175" s="188"/>
      <c r="BM175" s="188"/>
      <c r="BN175" s="188"/>
      <c r="BO175" s="188"/>
      <c r="BP175" s="188"/>
      <c r="BQ175" s="188"/>
      <c r="BR175" s="188"/>
      <c r="BS175" s="188"/>
    </row>
    <row r="176" spans="1:71" s="189" customFormat="1" ht="18" x14ac:dyDescent="0.3">
      <c r="A176" s="173"/>
      <c r="B176" s="329"/>
      <c r="C176" s="174"/>
      <c r="D176" s="175"/>
      <c r="E176" s="176"/>
      <c r="F176" s="199"/>
      <c r="G176" s="194"/>
      <c r="H176" s="199"/>
      <c r="I176" s="199"/>
      <c r="J176" s="194"/>
      <c r="K176" s="199"/>
      <c r="L176" s="330"/>
      <c r="M176" s="352"/>
      <c r="N176" s="182"/>
      <c r="O176" s="187"/>
      <c r="P176" s="188"/>
      <c r="Q176" s="188"/>
      <c r="R176" s="188"/>
      <c r="S176" s="188"/>
      <c r="T176" s="188"/>
      <c r="U176" s="188"/>
      <c r="V176" s="188"/>
      <c r="W176" s="188"/>
      <c r="X176" s="188"/>
      <c r="Y176" s="188"/>
      <c r="Z176" s="188"/>
      <c r="AA176" s="188"/>
      <c r="AB176" s="188"/>
      <c r="AC176" s="188"/>
      <c r="AD176" s="188"/>
      <c r="AE176" s="188"/>
      <c r="AF176" s="188"/>
      <c r="AG176" s="188"/>
      <c r="AH176" s="188"/>
      <c r="AI176" s="188"/>
      <c r="AJ176" s="188"/>
      <c r="AK176" s="188"/>
      <c r="AL176" s="188"/>
      <c r="AM176" s="188"/>
      <c r="AN176" s="188"/>
      <c r="AO176" s="188"/>
      <c r="AP176" s="188"/>
      <c r="AQ176" s="188"/>
      <c r="AR176" s="188"/>
      <c r="AS176" s="188"/>
      <c r="AT176" s="188"/>
      <c r="AU176" s="188"/>
      <c r="AV176" s="188"/>
      <c r="AW176" s="188"/>
      <c r="AX176" s="188"/>
      <c r="AY176" s="188"/>
      <c r="AZ176" s="188"/>
      <c r="BA176" s="188"/>
      <c r="BB176" s="188"/>
      <c r="BC176" s="188"/>
      <c r="BD176" s="188"/>
      <c r="BE176" s="188"/>
      <c r="BF176" s="188"/>
      <c r="BG176" s="188"/>
      <c r="BH176" s="188"/>
      <c r="BI176" s="188"/>
      <c r="BJ176" s="188"/>
      <c r="BK176" s="188"/>
      <c r="BL176" s="188"/>
      <c r="BM176" s="188"/>
      <c r="BN176" s="188"/>
      <c r="BO176" s="188"/>
      <c r="BP176" s="188"/>
      <c r="BQ176" s="188"/>
      <c r="BR176" s="188"/>
      <c r="BS176" s="188"/>
    </row>
    <row r="177" spans="1:71" s="189" customFormat="1" ht="13.2" customHeight="1" x14ac:dyDescent="0.3">
      <c r="A177" s="173"/>
      <c r="B177" s="329"/>
      <c r="C177" s="174"/>
      <c r="D177" s="175"/>
      <c r="E177" s="176"/>
      <c r="F177" s="199"/>
      <c r="G177" s="194"/>
      <c r="H177" s="199"/>
      <c r="I177" s="199"/>
      <c r="J177" s="194"/>
      <c r="K177" s="199"/>
      <c r="L177" s="330"/>
      <c r="M177" s="352"/>
      <c r="N177" s="182"/>
      <c r="O177" s="187"/>
      <c r="P177" s="188"/>
      <c r="Q177" s="188"/>
      <c r="R177" s="188"/>
      <c r="S177" s="188"/>
      <c r="T177" s="188"/>
      <c r="U177" s="188"/>
      <c r="V177" s="188"/>
      <c r="W177" s="188"/>
      <c r="X177" s="188"/>
      <c r="Y177" s="188"/>
      <c r="Z177" s="188"/>
      <c r="AA177" s="188"/>
      <c r="AB177" s="188"/>
      <c r="AC177" s="188"/>
      <c r="AD177" s="188"/>
      <c r="AE177" s="188"/>
      <c r="AF177" s="188"/>
      <c r="AG177" s="188"/>
      <c r="AH177" s="188"/>
      <c r="AI177" s="188"/>
      <c r="AJ177" s="188"/>
      <c r="AK177" s="188"/>
      <c r="AL177" s="188"/>
      <c r="AM177" s="188"/>
      <c r="AN177" s="188"/>
      <c r="AO177" s="188"/>
      <c r="AP177" s="188"/>
      <c r="AQ177" s="188"/>
      <c r="AR177" s="188"/>
      <c r="AS177" s="188"/>
      <c r="AT177" s="188"/>
      <c r="AU177" s="188"/>
      <c r="AV177" s="188"/>
      <c r="AW177" s="188"/>
      <c r="AX177" s="188"/>
      <c r="AY177" s="188"/>
      <c r="AZ177" s="188"/>
      <c r="BA177" s="188"/>
      <c r="BB177" s="188"/>
      <c r="BC177" s="188"/>
      <c r="BD177" s="188"/>
      <c r="BE177" s="188"/>
      <c r="BF177" s="188"/>
      <c r="BG177" s="188"/>
      <c r="BH177" s="188"/>
      <c r="BI177" s="188"/>
      <c r="BJ177" s="188"/>
      <c r="BK177" s="188"/>
      <c r="BL177" s="188"/>
      <c r="BM177" s="188"/>
      <c r="BN177" s="188"/>
      <c r="BO177" s="188"/>
      <c r="BP177" s="188"/>
      <c r="BQ177" s="188"/>
      <c r="BR177" s="188"/>
      <c r="BS177" s="188"/>
    </row>
    <row r="178" spans="1:71" s="189" customFormat="1" ht="12" customHeight="1" x14ac:dyDescent="0.25">
      <c r="A178" s="173"/>
      <c r="B178" s="329"/>
      <c r="C178" s="178"/>
      <c r="D178" s="179"/>
      <c r="E178" s="177"/>
      <c r="F178" s="201"/>
      <c r="G178" s="195"/>
      <c r="H178" s="312"/>
      <c r="I178" s="312"/>
      <c r="J178" s="195"/>
      <c r="K178" s="312"/>
      <c r="L178" s="331"/>
      <c r="M178" s="352"/>
      <c r="N178" s="284"/>
      <c r="O178" s="187"/>
      <c r="P178" s="188"/>
      <c r="Q178" s="188"/>
      <c r="R178" s="188"/>
      <c r="S178" s="188"/>
      <c r="T178" s="188"/>
      <c r="U178" s="188"/>
      <c r="V178" s="188"/>
      <c r="W178" s="188"/>
      <c r="X178" s="95"/>
      <c r="Y178" s="188"/>
      <c r="Z178" s="188"/>
      <c r="AA178" s="95"/>
      <c r="AB178" s="188"/>
      <c r="AC178" s="95"/>
      <c r="AD178" s="188"/>
      <c r="AE178" s="188"/>
      <c r="AF178" s="188"/>
      <c r="AG178" s="188"/>
      <c r="AH178" s="188"/>
      <c r="AI178" s="188"/>
      <c r="AJ178" s="188"/>
      <c r="AK178" s="188"/>
      <c r="AL178" s="188"/>
      <c r="AM178" s="188"/>
      <c r="AN178" s="188"/>
      <c r="AO178" s="188"/>
      <c r="AP178" s="188"/>
      <c r="AQ178" s="188"/>
      <c r="AR178" s="188"/>
      <c r="AS178" s="188"/>
      <c r="AT178" s="188"/>
      <c r="AU178" s="188"/>
      <c r="AV178" s="188"/>
      <c r="AW178" s="188"/>
      <c r="AX178" s="188"/>
      <c r="AY178" s="188"/>
      <c r="AZ178" s="188"/>
      <c r="BA178" s="188"/>
      <c r="BB178" s="188"/>
      <c r="BC178" s="188"/>
      <c r="BD178" s="188"/>
      <c r="BE178" s="188"/>
      <c r="BF178" s="188"/>
      <c r="BG178" s="188"/>
      <c r="BH178" s="188"/>
      <c r="BI178" s="188"/>
      <c r="BJ178" s="188"/>
      <c r="BK178" s="188"/>
      <c r="BL178" s="188"/>
      <c r="BM178" s="188"/>
      <c r="BN178" s="188"/>
      <c r="BO178" s="188"/>
      <c r="BP178" s="188"/>
      <c r="BQ178" s="188"/>
      <c r="BR178" s="188"/>
      <c r="BS178" s="188"/>
    </row>
    <row r="179" spans="1:71" s="95" customFormat="1" x14ac:dyDescent="0.25">
      <c r="A179" s="180"/>
      <c r="B179" s="329"/>
      <c r="C179" s="178"/>
      <c r="D179" s="179"/>
      <c r="E179" s="177"/>
      <c r="F179" s="201"/>
      <c r="G179" s="195"/>
      <c r="H179" s="312"/>
      <c r="I179" s="312"/>
      <c r="J179" s="195"/>
      <c r="K179" s="312"/>
      <c r="L179" s="331"/>
      <c r="M179" s="352"/>
      <c r="N179" s="284"/>
      <c r="O179" s="180"/>
    </row>
    <row r="180" spans="1:71" s="95" customFormat="1" x14ac:dyDescent="0.25">
      <c r="B180" s="329"/>
      <c r="C180" s="178"/>
      <c r="D180" s="179"/>
      <c r="E180" s="177"/>
      <c r="F180" s="201"/>
      <c r="G180" s="195"/>
      <c r="H180" s="201"/>
      <c r="I180" s="312"/>
      <c r="J180" s="195"/>
      <c r="K180" s="312"/>
      <c r="L180" s="331"/>
      <c r="M180" s="350"/>
      <c r="N180" s="284"/>
      <c r="O180" s="180"/>
    </row>
    <row r="181" spans="1:71" s="95" customFormat="1" x14ac:dyDescent="0.25">
      <c r="B181" s="329"/>
      <c r="C181" s="178"/>
      <c r="D181" s="179"/>
      <c r="E181" s="177"/>
      <c r="F181" s="201"/>
      <c r="G181" s="195"/>
      <c r="H181" s="201"/>
      <c r="I181" s="312"/>
      <c r="J181" s="195"/>
      <c r="K181" s="312"/>
      <c r="L181" s="331"/>
      <c r="M181" s="350"/>
      <c r="N181" s="284"/>
      <c r="O181" s="180"/>
      <c r="P181" s="190"/>
      <c r="R181" s="181"/>
    </row>
    <row r="182" spans="1:71" s="95" customFormat="1" x14ac:dyDescent="0.25">
      <c r="A182" s="86"/>
      <c r="B182" s="329"/>
      <c r="C182" s="178"/>
      <c r="D182" s="179"/>
      <c r="E182" s="177"/>
      <c r="F182" s="201"/>
      <c r="G182" s="195"/>
      <c r="H182" s="201"/>
      <c r="I182" s="312"/>
      <c r="J182" s="195"/>
      <c r="K182" s="312"/>
      <c r="L182" s="331"/>
      <c r="M182" s="350"/>
      <c r="N182" s="284"/>
      <c r="O182" s="180"/>
      <c r="R182" s="181"/>
    </row>
    <row r="183" spans="1:71" s="95" customFormat="1" x14ac:dyDescent="0.25">
      <c r="A183" s="86"/>
      <c r="B183" s="329"/>
      <c r="C183" s="178"/>
      <c r="D183" s="179"/>
      <c r="E183" s="177"/>
      <c r="F183" s="201"/>
      <c r="G183" s="195"/>
      <c r="H183" s="201"/>
      <c r="I183" s="312"/>
      <c r="J183" s="195"/>
      <c r="K183" s="312"/>
      <c r="L183" s="331"/>
      <c r="M183" s="350"/>
      <c r="N183" s="284"/>
      <c r="O183" s="180"/>
      <c r="R183" s="181"/>
    </row>
    <row r="184" spans="1:71" s="95" customFormat="1" x14ac:dyDescent="0.25">
      <c r="A184" s="86"/>
      <c r="B184" s="329"/>
      <c r="C184" s="178"/>
      <c r="D184" s="179"/>
      <c r="E184" s="177"/>
      <c r="F184" s="201"/>
      <c r="G184" s="195"/>
      <c r="H184" s="201"/>
      <c r="I184" s="312"/>
      <c r="J184" s="195"/>
      <c r="K184" s="312"/>
      <c r="L184" s="331"/>
      <c r="M184" s="350"/>
      <c r="N184" s="284"/>
      <c r="O184" s="180"/>
      <c r="R184" s="181"/>
    </row>
    <row r="185" spans="1:71" s="95" customFormat="1" x14ac:dyDescent="0.25">
      <c r="A185" s="86"/>
      <c r="B185" s="329"/>
      <c r="C185" s="178"/>
      <c r="D185" s="179"/>
      <c r="E185" s="177"/>
      <c r="F185" s="201"/>
      <c r="G185" s="195"/>
      <c r="H185" s="201"/>
      <c r="I185" s="312"/>
      <c r="J185" s="195"/>
      <c r="K185" s="312"/>
      <c r="L185" s="331"/>
      <c r="M185" s="350"/>
      <c r="N185" s="284"/>
      <c r="O185" s="180"/>
      <c r="R185" s="181"/>
    </row>
    <row r="186" spans="1:71" s="95" customFormat="1" x14ac:dyDescent="0.25">
      <c r="A186" s="86"/>
      <c r="B186" s="329"/>
      <c r="C186" s="178"/>
      <c r="D186" s="179"/>
      <c r="E186" s="177"/>
      <c r="F186" s="201"/>
      <c r="G186" s="195"/>
      <c r="H186" s="201"/>
      <c r="I186" s="312"/>
      <c r="J186" s="195"/>
      <c r="K186" s="312"/>
      <c r="L186" s="331"/>
      <c r="M186" s="350"/>
      <c r="N186" s="284"/>
      <c r="O186" s="180"/>
      <c r="R186" s="181"/>
    </row>
    <row r="187" spans="1:71" x14ac:dyDescent="0.25">
      <c r="B187" s="329"/>
      <c r="C187" s="178"/>
      <c r="D187" s="179"/>
      <c r="E187" s="177"/>
      <c r="F187" s="201"/>
      <c r="G187" s="195"/>
      <c r="H187" s="201"/>
      <c r="I187" s="312"/>
      <c r="J187" s="195"/>
      <c r="K187" s="312"/>
      <c r="L187" s="331"/>
      <c r="M187" s="350"/>
      <c r="N187" s="284"/>
      <c r="R187" s="181"/>
    </row>
    <row r="188" spans="1:71" x14ac:dyDescent="0.25">
      <c r="B188" s="329"/>
      <c r="C188" s="178"/>
      <c r="D188" s="179"/>
      <c r="E188" s="177"/>
      <c r="F188" s="201"/>
      <c r="G188" s="195"/>
      <c r="H188" s="201"/>
      <c r="I188" s="312"/>
      <c r="J188" s="195"/>
      <c r="K188" s="312"/>
      <c r="L188" s="331"/>
      <c r="M188" s="350"/>
      <c r="N188" s="284"/>
      <c r="R188" s="181"/>
    </row>
    <row r="189" spans="1:71" x14ac:dyDescent="0.25">
      <c r="B189" s="332"/>
      <c r="C189" s="164"/>
      <c r="D189" s="165"/>
      <c r="E189" s="166"/>
      <c r="F189" s="202"/>
      <c r="G189" s="196"/>
      <c r="H189" s="202"/>
      <c r="I189" s="313"/>
      <c r="J189" s="196"/>
      <c r="K189" s="313"/>
      <c r="L189" s="333"/>
      <c r="M189" s="106"/>
      <c r="N189" s="284"/>
      <c r="R189" s="181"/>
    </row>
    <row r="190" spans="1:71" x14ac:dyDescent="0.25">
      <c r="B190" s="332"/>
      <c r="C190" s="164"/>
      <c r="D190" s="165"/>
      <c r="E190" s="166"/>
      <c r="F190" s="202"/>
      <c r="G190" s="196"/>
      <c r="H190" s="202"/>
      <c r="I190" s="313"/>
      <c r="J190" s="196"/>
      <c r="K190" s="313"/>
      <c r="L190" s="333"/>
      <c r="M190" s="106"/>
      <c r="N190" s="284"/>
      <c r="R190" s="181"/>
    </row>
    <row r="191" spans="1:71" x14ac:dyDescent="0.25">
      <c r="B191" s="332"/>
      <c r="C191" s="164"/>
      <c r="D191" s="165"/>
      <c r="E191" s="166"/>
      <c r="F191" s="202"/>
      <c r="G191" s="196"/>
      <c r="H191" s="202"/>
      <c r="I191" s="313"/>
      <c r="J191" s="196"/>
      <c r="K191" s="313"/>
      <c r="L191" s="333"/>
      <c r="M191" s="106"/>
      <c r="N191" s="284"/>
      <c r="R191" s="181"/>
    </row>
    <row r="192" spans="1:71" x14ac:dyDescent="0.25">
      <c r="B192" s="332"/>
      <c r="C192" s="164"/>
      <c r="D192" s="165"/>
      <c r="E192" s="166"/>
      <c r="F192" s="202"/>
      <c r="G192" s="196"/>
      <c r="H192" s="202"/>
      <c r="I192" s="313"/>
      <c r="J192" s="196"/>
      <c r="K192" s="313"/>
      <c r="L192" s="333"/>
      <c r="M192" s="106"/>
      <c r="N192" s="284"/>
      <c r="R192" s="182"/>
    </row>
    <row r="193" spans="2:18" x14ac:dyDescent="0.25">
      <c r="B193" s="332"/>
      <c r="C193" s="164"/>
      <c r="D193" s="165"/>
      <c r="E193" s="166"/>
      <c r="F193" s="202"/>
      <c r="G193" s="196"/>
      <c r="H193" s="202"/>
      <c r="I193" s="313"/>
      <c r="J193" s="196"/>
      <c r="K193" s="313"/>
      <c r="L193" s="333"/>
      <c r="M193" s="106"/>
      <c r="N193" s="284"/>
      <c r="R193" s="182"/>
    </row>
    <row r="194" spans="2:18" x14ac:dyDescent="0.25">
      <c r="B194" s="332"/>
      <c r="C194" s="164"/>
      <c r="D194" s="165"/>
      <c r="E194" s="166"/>
      <c r="F194" s="202"/>
      <c r="G194" s="196"/>
      <c r="H194" s="202"/>
      <c r="I194" s="313"/>
      <c r="J194" s="196"/>
      <c r="K194" s="313"/>
      <c r="L194" s="333"/>
      <c r="M194" s="106"/>
      <c r="N194" s="284"/>
      <c r="R194" s="180"/>
    </row>
    <row r="195" spans="2:18" x14ac:dyDescent="0.25">
      <c r="B195" s="332"/>
      <c r="C195" s="164"/>
      <c r="D195" s="165"/>
      <c r="E195" s="166"/>
      <c r="F195" s="202"/>
      <c r="G195" s="196"/>
      <c r="H195" s="202"/>
      <c r="I195" s="313"/>
      <c r="J195" s="196"/>
      <c r="K195" s="313"/>
      <c r="L195" s="333"/>
      <c r="M195" s="106"/>
      <c r="N195" s="284"/>
      <c r="R195" s="180"/>
    </row>
    <row r="196" spans="2:18" x14ac:dyDescent="0.25">
      <c r="B196" s="332"/>
      <c r="C196" s="164"/>
      <c r="D196" s="165"/>
      <c r="E196" s="166"/>
      <c r="F196" s="202"/>
      <c r="G196" s="196"/>
      <c r="H196" s="202"/>
      <c r="I196" s="313"/>
      <c r="J196" s="196"/>
      <c r="K196" s="313"/>
      <c r="L196" s="333"/>
      <c r="M196" s="106"/>
      <c r="N196" s="284"/>
    </row>
    <row r="197" spans="2:18" x14ac:dyDescent="0.25">
      <c r="B197" s="332"/>
      <c r="C197" s="164"/>
      <c r="D197" s="165"/>
      <c r="E197" s="166"/>
      <c r="F197" s="202"/>
      <c r="G197" s="196"/>
      <c r="H197" s="202"/>
      <c r="I197" s="313"/>
      <c r="J197" s="196"/>
      <c r="K197" s="313"/>
      <c r="L197" s="333"/>
      <c r="M197" s="106"/>
      <c r="N197" s="284"/>
    </row>
    <row r="198" spans="2:18" x14ac:dyDescent="0.25">
      <c r="B198" s="332"/>
      <c r="C198" s="164"/>
      <c r="D198" s="165"/>
      <c r="E198" s="166"/>
      <c r="F198" s="202"/>
      <c r="G198" s="196"/>
      <c r="H198" s="202"/>
      <c r="I198" s="313"/>
      <c r="J198" s="196"/>
      <c r="K198" s="313"/>
      <c r="L198" s="333"/>
      <c r="M198" s="106"/>
      <c r="N198" s="284"/>
    </row>
    <row r="199" spans="2:18" x14ac:dyDescent="0.25">
      <c r="B199" s="332"/>
      <c r="C199" s="164"/>
      <c r="D199" s="165"/>
      <c r="E199" s="166"/>
      <c r="F199" s="202"/>
      <c r="G199" s="196"/>
      <c r="H199" s="202"/>
      <c r="I199" s="313"/>
      <c r="J199" s="196"/>
      <c r="K199" s="313"/>
      <c r="L199" s="333"/>
      <c r="M199" s="106"/>
      <c r="N199" s="284"/>
    </row>
    <row r="200" spans="2:18" x14ac:dyDescent="0.25">
      <c r="B200" s="332"/>
      <c r="C200" s="164"/>
      <c r="D200" s="165"/>
      <c r="E200" s="166"/>
      <c r="F200" s="202"/>
      <c r="G200" s="196"/>
      <c r="H200" s="202"/>
      <c r="I200" s="313"/>
      <c r="J200" s="196"/>
      <c r="K200" s="313"/>
      <c r="L200" s="333"/>
      <c r="M200" s="106"/>
      <c r="N200" s="284"/>
    </row>
    <row r="201" spans="2:18" x14ac:dyDescent="0.25">
      <c r="B201" s="332"/>
      <c r="C201" s="164"/>
      <c r="D201" s="165"/>
      <c r="E201" s="166"/>
      <c r="F201" s="202"/>
      <c r="G201" s="196"/>
      <c r="H201" s="202"/>
      <c r="I201" s="313"/>
      <c r="J201" s="196"/>
      <c r="K201" s="313"/>
      <c r="L201" s="333"/>
      <c r="M201" s="106"/>
      <c r="N201" s="284"/>
    </row>
    <row r="202" spans="2:18" x14ac:dyDescent="0.25">
      <c r="B202" s="332"/>
      <c r="C202" s="164"/>
      <c r="D202" s="165"/>
      <c r="E202" s="166"/>
      <c r="F202" s="202"/>
      <c r="G202" s="196"/>
      <c r="H202" s="202"/>
      <c r="I202" s="313"/>
      <c r="J202" s="196"/>
      <c r="K202" s="313"/>
      <c r="L202" s="333"/>
      <c r="M202" s="106"/>
      <c r="N202" s="284"/>
    </row>
    <row r="203" spans="2:18" x14ac:dyDescent="0.25">
      <c r="B203" s="332"/>
      <c r="C203" s="164"/>
      <c r="D203" s="165"/>
      <c r="E203" s="166"/>
      <c r="F203" s="202"/>
      <c r="G203" s="196"/>
      <c r="H203" s="202"/>
      <c r="I203" s="313"/>
      <c r="J203" s="196"/>
      <c r="K203" s="313"/>
      <c r="L203" s="333"/>
      <c r="M203" s="106"/>
      <c r="N203" s="284"/>
    </row>
    <row r="204" spans="2:18" x14ac:dyDescent="0.25">
      <c r="B204" s="332"/>
      <c r="C204" s="164"/>
      <c r="D204" s="165"/>
      <c r="E204" s="166"/>
      <c r="F204" s="202"/>
      <c r="G204" s="196"/>
      <c r="H204" s="202"/>
      <c r="I204" s="313"/>
      <c r="J204" s="196"/>
      <c r="K204" s="313"/>
      <c r="L204" s="333"/>
      <c r="M204" s="106"/>
      <c r="N204" s="284"/>
    </row>
    <row r="205" spans="2:18" x14ac:dyDescent="0.25">
      <c r="B205" s="332"/>
      <c r="C205" s="164"/>
      <c r="D205" s="165"/>
      <c r="E205" s="166"/>
      <c r="F205" s="202"/>
      <c r="G205" s="196"/>
      <c r="H205" s="202"/>
      <c r="I205" s="313"/>
      <c r="J205" s="196"/>
      <c r="K205" s="313"/>
      <c r="L205" s="333"/>
      <c r="M205" s="106"/>
      <c r="N205" s="284"/>
    </row>
    <row r="206" spans="2:18" x14ac:dyDescent="0.25">
      <c r="B206" s="332"/>
      <c r="C206" s="164"/>
      <c r="D206" s="165"/>
      <c r="E206" s="166"/>
      <c r="F206" s="202"/>
      <c r="G206" s="196"/>
      <c r="H206" s="202"/>
      <c r="I206" s="313"/>
      <c r="J206" s="196"/>
      <c r="K206" s="313"/>
      <c r="L206" s="333"/>
      <c r="M206" s="106"/>
      <c r="N206" s="284"/>
    </row>
    <row r="207" spans="2:18" x14ac:dyDescent="0.25">
      <c r="B207" s="332"/>
      <c r="C207" s="164"/>
      <c r="D207" s="165"/>
      <c r="E207" s="166"/>
      <c r="F207" s="202"/>
      <c r="G207" s="196"/>
      <c r="H207" s="202"/>
      <c r="I207" s="313"/>
      <c r="J207" s="196"/>
      <c r="K207" s="313"/>
      <c r="L207" s="333"/>
      <c r="M207" s="106"/>
      <c r="N207" s="284"/>
    </row>
    <row r="208" spans="2:18" x14ac:dyDescent="0.25">
      <c r="B208" s="332"/>
      <c r="C208" s="164"/>
      <c r="D208" s="165"/>
      <c r="E208" s="166"/>
      <c r="F208" s="202"/>
      <c r="G208" s="196"/>
      <c r="H208" s="202"/>
      <c r="I208" s="313"/>
      <c r="J208" s="196"/>
      <c r="K208" s="313"/>
      <c r="L208" s="333"/>
      <c r="M208" s="106"/>
      <c r="N208" s="284"/>
    </row>
    <row r="209" spans="2:14" x14ac:dyDescent="0.25">
      <c r="B209" s="332"/>
      <c r="C209" s="164"/>
      <c r="D209" s="165"/>
      <c r="E209" s="166"/>
      <c r="F209" s="202"/>
      <c r="G209" s="196"/>
      <c r="H209" s="202"/>
      <c r="I209" s="313"/>
      <c r="J209" s="196"/>
      <c r="K209" s="313"/>
      <c r="L209" s="333"/>
      <c r="M209" s="106"/>
      <c r="N209" s="284"/>
    </row>
    <row r="210" spans="2:14" x14ac:dyDescent="0.25">
      <c r="B210" s="332"/>
      <c r="C210" s="164"/>
      <c r="D210" s="165"/>
      <c r="E210" s="166"/>
      <c r="F210" s="202"/>
      <c r="G210" s="196"/>
      <c r="H210" s="202"/>
      <c r="I210" s="313"/>
      <c r="J210" s="196"/>
      <c r="K210" s="313"/>
      <c r="L210" s="333"/>
      <c r="M210" s="106"/>
      <c r="N210" s="284"/>
    </row>
    <row r="211" spans="2:14" x14ac:dyDescent="0.25">
      <c r="B211" s="332"/>
      <c r="C211" s="164"/>
      <c r="D211" s="165"/>
      <c r="E211" s="166"/>
      <c r="F211" s="202"/>
      <c r="G211" s="196"/>
      <c r="H211" s="202"/>
      <c r="I211" s="313"/>
      <c r="J211" s="196"/>
      <c r="K211" s="313"/>
      <c r="L211" s="333"/>
      <c r="M211" s="106"/>
      <c r="N211" s="284"/>
    </row>
    <row r="212" spans="2:14" x14ac:dyDescent="0.25">
      <c r="B212" s="332"/>
      <c r="C212" s="164"/>
      <c r="D212" s="165"/>
      <c r="E212" s="166"/>
      <c r="F212" s="202"/>
      <c r="G212" s="196"/>
      <c r="H212" s="202"/>
      <c r="I212" s="313"/>
      <c r="J212" s="196"/>
      <c r="K212" s="313"/>
      <c r="L212" s="333"/>
      <c r="M212" s="106"/>
      <c r="N212" s="284"/>
    </row>
    <row r="213" spans="2:14" x14ac:dyDescent="0.25">
      <c r="B213" s="332"/>
      <c r="C213" s="164"/>
      <c r="D213" s="165"/>
      <c r="E213" s="166"/>
      <c r="F213" s="202"/>
      <c r="G213" s="196"/>
      <c r="H213" s="202"/>
      <c r="I213" s="313"/>
      <c r="J213" s="196"/>
      <c r="K213" s="313"/>
      <c r="L213" s="333"/>
      <c r="M213" s="106"/>
      <c r="N213" s="284"/>
    </row>
    <row r="214" spans="2:14" x14ac:dyDescent="0.25">
      <c r="B214" s="332"/>
      <c r="C214" s="164"/>
      <c r="D214" s="165"/>
      <c r="E214" s="166"/>
      <c r="F214" s="202"/>
      <c r="G214" s="196"/>
      <c r="H214" s="202"/>
      <c r="I214" s="313"/>
      <c r="J214" s="196"/>
      <c r="K214" s="313"/>
      <c r="L214" s="333"/>
      <c r="M214" s="106"/>
      <c r="N214" s="284"/>
    </row>
    <row r="215" spans="2:14" x14ac:dyDescent="0.25">
      <c r="B215" s="332"/>
      <c r="C215" s="164"/>
      <c r="D215" s="165"/>
      <c r="E215" s="166"/>
      <c r="F215" s="202"/>
      <c r="G215" s="196"/>
      <c r="H215" s="202"/>
      <c r="I215" s="313"/>
      <c r="J215" s="196"/>
      <c r="K215" s="313"/>
      <c r="L215" s="333"/>
      <c r="M215" s="106"/>
      <c r="N215" s="284"/>
    </row>
    <row r="216" spans="2:14" x14ac:dyDescent="0.25">
      <c r="B216" s="332"/>
      <c r="C216" s="164"/>
      <c r="D216" s="165"/>
      <c r="E216" s="166"/>
      <c r="F216" s="202"/>
      <c r="G216" s="196"/>
      <c r="H216" s="202"/>
      <c r="I216" s="313"/>
      <c r="J216" s="196"/>
      <c r="K216" s="313"/>
      <c r="L216" s="333"/>
      <c r="M216" s="106"/>
      <c r="N216" s="284"/>
    </row>
    <row r="217" spans="2:14" x14ac:dyDescent="0.25">
      <c r="B217" s="332"/>
      <c r="C217" s="164"/>
      <c r="D217" s="165"/>
      <c r="E217" s="166"/>
      <c r="F217" s="202"/>
      <c r="G217" s="196"/>
      <c r="H217" s="202"/>
      <c r="I217" s="313"/>
      <c r="J217" s="196"/>
      <c r="K217" s="313"/>
      <c r="L217" s="333"/>
      <c r="M217" s="106"/>
      <c r="N217" s="284"/>
    </row>
    <row r="218" spans="2:14" x14ac:dyDescent="0.25">
      <c r="B218" s="332"/>
      <c r="C218" s="164"/>
      <c r="D218" s="165"/>
      <c r="E218" s="166"/>
      <c r="F218" s="202"/>
      <c r="G218" s="196"/>
      <c r="H218" s="202"/>
      <c r="I218" s="313"/>
      <c r="J218" s="196"/>
      <c r="K218" s="313"/>
      <c r="L218" s="333"/>
      <c r="M218" s="106"/>
      <c r="N218" s="284"/>
    </row>
    <row r="219" spans="2:14" x14ac:dyDescent="0.25">
      <c r="B219" s="332"/>
      <c r="C219" s="164"/>
      <c r="D219" s="165"/>
      <c r="E219" s="166"/>
      <c r="F219" s="202"/>
      <c r="G219" s="196"/>
      <c r="H219" s="202"/>
      <c r="I219" s="313"/>
      <c r="J219" s="196"/>
      <c r="K219" s="313"/>
      <c r="L219" s="333"/>
      <c r="M219" s="106"/>
      <c r="N219" s="284"/>
    </row>
    <row r="220" spans="2:14" x14ac:dyDescent="0.25">
      <c r="B220" s="332"/>
      <c r="C220" s="164"/>
      <c r="D220" s="165"/>
      <c r="E220" s="166"/>
      <c r="F220" s="202"/>
      <c r="G220" s="196"/>
      <c r="H220" s="202"/>
      <c r="I220" s="313"/>
      <c r="J220" s="196"/>
      <c r="K220" s="313"/>
      <c r="L220" s="333"/>
      <c r="M220" s="106"/>
      <c r="N220" s="284"/>
    </row>
    <row r="221" spans="2:14" x14ac:dyDescent="0.25">
      <c r="B221" s="332"/>
      <c r="C221" s="164"/>
      <c r="D221" s="165"/>
      <c r="E221" s="166"/>
      <c r="F221" s="202"/>
      <c r="G221" s="196"/>
      <c r="H221" s="202"/>
      <c r="I221" s="313"/>
      <c r="J221" s="196"/>
      <c r="K221" s="313"/>
      <c r="L221" s="333"/>
      <c r="M221" s="106"/>
      <c r="N221" s="284"/>
    </row>
    <row r="222" spans="2:14" x14ac:dyDescent="0.25">
      <c r="B222" s="332"/>
      <c r="C222" s="164"/>
      <c r="D222" s="165"/>
      <c r="E222" s="166"/>
      <c r="F222" s="202"/>
      <c r="G222" s="196"/>
      <c r="H222" s="202"/>
      <c r="I222" s="313"/>
      <c r="J222" s="196"/>
      <c r="K222" s="313"/>
      <c r="L222" s="333"/>
      <c r="M222" s="106"/>
      <c r="N222" s="284"/>
    </row>
    <row r="223" spans="2:14" x14ac:dyDescent="0.25">
      <c r="B223" s="332"/>
      <c r="C223" s="164"/>
      <c r="D223" s="165"/>
      <c r="E223" s="166"/>
      <c r="F223" s="202"/>
      <c r="G223" s="196"/>
      <c r="H223" s="202"/>
      <c r="I223" s="313"/>
      <c r="J223" s="196"/>
      <c r="K223" s="313"/>
      <c r="L223" s="333"/>
      <c r="M223" s="106"/>
      <c r="N223" s="284"/>
    </row>
    <row r="224" spans="2:14" x14ac:dyDescent="0.25">
      <c r="B224" s="332"/>
      <c r="C224" s="164"/>
      <c r="D224" s="165"/>
      <c r="E224" s="166"/>
      <c r="F224" s="202"/>
      <c r="G224" s="196"/>
      <c r="H224" s="202"/>
      <c r="I224" s="313"/>
      <c r="J224" s="196"/>
      <c r="K224" s="313"/>
      <c r="L224" s="333"/>
      <c r="M224" s="106"/>
      <c r="N224" s="284"/>
    </row>
    <row r="225" spans="2:14" x14ac:dyDescent="0.25">
      <c r="B225" s="332"/>
      <c r="C225" s="164"/>
      <c r="D225" s="165"/>
      <c r="E225" s="166"/>
      <c r="F225" s="202"/>
      <c r="G225" s="196"/>
      <c r="H225" s="202"/>
      <c r="I225" s="313"/>
      <c r="J225" s="196"/>
      <c r="K225" s="313"/>
      <c r="L225" s="333"/>
      <c r="M225" s="106"/>
      <c r="N225" s="284"/>
    </row>
    <row r="226" spans="2:14" x14ac:dyDescent="0.25">
      <c r="B226" s="332"/>
      <c r="C226" s="164"/>
      <c r="D226" s="165"/>
      <c r="E226" s="166"/>
      <c r="F226" s="202"/>
      <c r="G226" s="196"/>
      <c r="H226" s="202"/>
      <c r="I226" s="313"/>
      <c r="J226" s="196"/>
      <c r="K226" s="313"/>
      <c r="L226" s="333"/>
      <c r="M226" s="106"/>
      <c r="N226" s="284"/>
    </row>
    <row r="227" spans="2:14" x14ac:dyDescent="0.25">
      <c r="B227" s="332"/>
      <c r="C227" s="164"/>
      <c r="D227" s="165"/>
      <c r="E227" s="166"/>
      <c r="F227" s="202"/>
      <c r="G227" s="196"/>
      <c r="H227" s="202"/>
      <c r="I227" s="313"/>
      <c r="J227" s="196"/>
      <c r="K227" s="313"/>
      <c r="L227" s="333"/>
      <c r="M227" s="106"/>
      <c r="N227" s="284"/>
    </row>
    <row r="228" spans="2:14" x14ac:dyDescent="0.25">
      <c r="B228" s="332"/>
      <c r="C228" s="164"/>
      <c r="D228" s="165"/>
      <c r="E228" s="166"/>
      <c r="F228" s="202"/>
      <c r="G228" s="196"/>
      <c r="H228" s="202"/>
      <c r="I228" s="313"/>
      <c r="J228" s="196"/>
      <c r="K228" s="313"/>
      <c r="L228" s="333"/>
      <c r="M228" s="106"/>
      <c r="N228" s="284"/>
    </row>
    <row r="229" spans="2:14" x14ac:dyDescent="0.25">
      <c r="B229" s="332"/>
      <c r="C229" s="164"/>
      <c r="D229" s="165"/>
      <c r="E229" s="166"/>
      <c r="F229" s="202"/>
      <c r="G229" s="196"/>
      <c r="H229" s="202"/>
      <c r="I229" s="313"/>
      <c r="J229" s="196"/>
      <c r="K229" s="313"/>
      <c r="L229" s="333"/>
      <c r="M229" s="106"/>
      <c r="N229" s="284"/>
    </row>
    <row r="230" spans="2:14" x14ac:dyDescent="0.25">
      <c r="B230" s="332"/>
      <c r="C230" s="164"/>
      <c r="D230" s="165"/>
      <c r="E230" s="166"/>
      <c r="F230" s="202"/>
      <c r="G230" s="196"/>
      <c r="H230" s="202"/>
      <c r="I230" s="313"/>
      <c r="J230" s="196"/>
      <c r="K230" s="313"/>
      <c r="L230" s="333"/>
      <c r="M230" s="106"/>
      <c r="N230" s="284"/>
    </row>
    <row r="231" spans="2:14" x14ac:dyDescent="0.25">
      <c r="B231" s="332"/>
      <c r="C231" s="164"/>
      <c r="D231" s="165"/>
      <c r="E231" s="166"/>
      <c r="F231" s="202"/>
      <c r="G231" s="196"/>
      <c r="H231" s="202"/>
      <c r="I231" s="313"/>
      <c r="J231" s="196"/>
      <c r="K231" s="313"/>
      <c r="L231" s="333"/>
      <c r="M231" s="106"/>
      <c r="N231" s="284"/>
    </row>
    <row r="232" spans="2:14" x14ac:dyDescent="0.25">
      <c r="B232" s="332"/>
      <c r="C232" s="164"/>
      <c r="D232" s="165"/>
      <c r="E232" s="166"/>
      <c r="F232" s="202"/>
      <c r="G232" s="196"/>
      <c r="H232" s="202"/>
      <c r="I232" s="313"/>
      <c r="J232" s="196"/>
      <c r="K232" s="313"/>
      <c r="L232" s="333"/>
      <c r="M232" s="106"/>
      <c r="N232" s="284"/>
    </row>
    <row r="233" spans="2:14" x14ac:dyDescent="0.25">
      <c r="B233" s="332"/>
      <c r="C233" s="164"/>
      <c r="D233" s="165"/>
      <c r="E233" s="166"/>
      <c r="F233" s="202"/>
      <c r="G233" s="196"/>
      <c r="H233" s="202"/>
      <c r="I233" s="313"/>
      <c r="J233" s="196"/>
      <c r="K233" s="313"/>
      <c r="L233" s="333"/>
      <c r="M233" s="106"/>
      <c r="N233" s="284"/>
    </row>
    <row r="234" spans="2:14" x14ac:dyDescent="0.25">
      <c r="B234" s="332"/>
      <c r="C234" s="164"/>
      <c r="D234" s="165"/>
      <c r="E234" s="166"/>
      <c r="F234" s="202"/>
      <c r="G234" s="196"/>
      <c r="H234" s="202"/>
      <c r="I234" s="313"/>
      <c r="J234" s="196"/>
      <c r="K234" s="313"/>
      <c r="L234" s="333"/>
      <c r="M234" s="106"/>
      <c r="N234" s="284"/>
    </row>
    <row r="235" spans="2:14" x14ac:dyDescent="0.25">
      <c r="B235" s="332"/>
      <c r="C235" s="164"/>
      <c r="D235" s="165"/>
      <c r="E235" s="166"/>
      <c r="F235" s="202"/>
      <c r="G235" s="196"/>
      <c r="H235" s="202"/>
      <c r="I235" s="313"/>
      <c r="J235" s="196"/>
      <c r="K235" s="313"/>
      <c r="L235" s="333"/>
      <c r="M235" s="106"/>
      <c r="N235" s="284"/>
    </row>
    <row r="236" spans="2:14" x14ac:dyDescent="0.25">
      <c r="B236" s="332"/>
      <c r="C236" s="164"/>
      <c r="D236" s="165"/>
      <c r="E236" s="166"/>
      <c r="F236" s="202"/>
      <c r="G236" s="196"/>
      <c r="H236" s="202"/>
      <c r="I236" s="313"/>
      <c r="J236" s="196"/>
      <c r="K236" s="313"/>
      <c r="L236" s="333"/>
      <c r="M236" s="106"/>
      <c r="N236" s="284"/>
    </row>
    <row r="237" spans="2:14" x14ac:dyDescent="0.25">
      <c r="B237" s="332"/>
      <c r="C237" s="164"/>
      <c r="D237" s="165"/>
      <c r="E237" s="166"/>
      <c r="F237" s="202"/>
      <c r="G237" s="196"/>
      <c r="H237" s="202"/>
      <c r="I237" s="313"/>
      <c r="J237" s="196"/>
      <c r="K237" s="313"/>
      <c r="L237" s="333"/>
      <c r="M237" s="106"/>
      <c r="N237" s="284"/>
    </row>
    <row r="238" spans="2:14" x14ac:dyDescent="0.25">
      <c r="B238" s="332"/>
      <c r="C238" s="164"/>
      <c r="D238" s="165"/>
      <c r="E238" s="166"/>
      <c r="F238" s="202"/>
      <c r="G238" s="196"/>
      <c r="H238" s="202"/>
      <c r="I238" s="313"/>
      <c r="J238" s="196"/>
      <c r="K238" s="313"/>
      <c r="L238" s="333"/>
      <c r="M238" s="106"/>
      <c r="N238" s="284"/>
    </row>
    <row r="239" spans="2:14" x14ac:dyDescent="0.25">
      <c r="B239" s="332"/>
      <c r="C239" s="164"/>
      <c r="D239" s="165"/>
      <c r="E239" s="166"/>
      <c r="F239" s="202"/>
      <c r="G239" s="196"/>
      <c r="H239" s="202"/>
      <c r="I239" s="313"/>
      <c r="J239" s="196"/>
      <c r="K239" s="313"/>
      <c r="L239" s="333"/>
      <c r="M239" s="106"/>
      <c r="N239" s="284"/>
    </row>
    <row r="240" spans="2:14" x14ac:dyDescent="0.25">
      <c r="B240" s="332"/>
      <c r="C240" s="164"/>
      <c r="D240" s="165"/>
      <c r="E240" s="166"/>
      <c r="F240" s="202"/>
      <c r="G240" s="196"/>
      <c r="H240" s="202"/>
      <c r="I240" s="313"/>
      <c r="J240" s="196"/>
      <c r="K240" s="313"/>
      <c r="L240" s="333"/>
      <c r="M240" s="106"/>
      <c r="N240" s="284"/>
    </row>
    <row r="241" spans="2:14" x14ac:dyDescent="0.25">
      <c r="B241" s="332"/>
      <c r="C241" s="164"/>
      <c r="D241" s="165"/>
      <c r="E241" s="166"/>
      <c r="F241" s="202"/>
      <c r="G241" s="196"/>
      <c r="H241" s="202"/>
      <c r="I241" s="313"/>
      <c r="J241" s="196"/>
      <c r="K241" s="313"/>
      <c r="L241" s="333"/>
      <c r="M241" s="106"/>
      <c r="N241" s="284"/>
    </row>
    <row r="242" spans="2:14" x14ac:dyDescent="0.25">
      <c r="B242" s="332"/>
      <c r="C242" s="164"/>
      <c r="D242" s="165"/>
      <c r="E242" s="166"/>
      <c r="F242" s="202"/>
      <c r="G242" s="196"/>
      <c r="H242" s="202"/>
      <c r="I242" s="313"/>
      <c r="J242" s="196"/>
      <c r="K242" s="313"/>
      <c r="L242" s="333"/>
      <c r="M242" s="106"/>
      <c r="N242" s="284"/>
    </row>
    <row r="243" spans="2:14" x14ac:dyDescent="0.25">
      <c r="B243" s="332"/>
      <c r="C243" s="164"/>
      <c r="D243" s="165"/>
      <c r="E243" s="166"/>
      <c r="F243" s="202"/>
      <c r="G243" s="196"/>
      <c r="H243" s="202"/>
      <c r="I243" s="313"/>
      <c r="J243" s="196"/>
      <c r="K243" s="313"/>
      <c r="L243" s="333"/>
      <c r="M243" s="106"/>
      <c r="N243" s="284"/>
    </row>
    <row r="244" spans="2:14" x14ac:dyDescent="0.25">
      <c r="B244" s="332"/>
      <c r="C244" s="164"/>
      <c r="D244" s="165"/>
      <c r="E244" s="166"/>
      <c r="F244" s="202"/>
      <c r="G244" s="196"/>
      <c r="H244" s="202"/>
      <c r="I244" s="313"/>
      <c r="J244" s="196"/>
      <c r="K244" s="313"/>
      <c r="L244" s="333"/>
      <c r="M244" s="106"/>
      <c r="N244" s="284"/>
    </row>
    <row r="245" spans="2:14" x14ac:dyDescent="0.25">
      <c r="B245" s="332"/>
      <c r="C245" s="164"/>
      <c r="D245" s="165"/>
      <c r="E245" s="166"/>
      <c r="F245" s="202"/>
      <c r="G245" s="196"/>
      <c r="H245" s="202"/>
      <c r="I245" s="313"/>
      <c r="J245" s="196"/>
      <c r="K245" s="313"/>
      <c r="L245" s="333"/>
      <c r="M245" s="106"/>
      <c r="N245" s="284"/>
    </row>
    <row r="246" spans="2:14" x14ac:dyDescent="0.25">
      <c r="B246" s="332"/>
      <c r="C246" s="164"/>
      <c r="D246" s="165"/>
      <c r="E246" s="166"/>
      <c r="F246" s="202"/>
      <c r="G246" s="196"/>
      <c r="H246" s="202"/>
      <c r="I246" s="313"/>
      <c r="J246" s="196"/>
      <c r="K246" s="313"/>
      <c r="L246" s="333"/>
      <c r="M246" s="106"/>
      <c r="N246" s="284"/>
    </row>
    <row r="247" spans="2:14" x14ac:dyDescent="0.25">
      <c r="B247" s="332"/>
      <c r="C247" s="164"/>
      <c r="D247" s="165"/>
      <c r="E247" s="166"/>
      <c r="F247" s="202"/>
      <c r="G247" s="196"/>
      <c r="H247" s="202"/>
      <c r="I247" s="313"/>
      <c r="J247" s="196"/>
      <c r="K247" s="313"/>
      <c r="L247" s="333"/>
      <c r="M247" s="106"/>
      <c r="N247" s="284"/>
    </row>
    <row r="248" spans="2:14" x14ac:dyDescent="0.25">
      <c r="B248" s="332"/>
      <c r="C248" s="164"/>
      <c r="D248" s="165"/>
      <c r="E248" s="166"/>
      <c r="F248" s="202"/>
      <c r="G248" s="196"/>
      <c r="H248" s="202"/>
      <c r="I248" s="313"/>
      <c r="J248" s="196"/>
      <c r="K248" s="313"/>
      <c r="L248" s="333"/>
      <c r="M248" s="106"/>
      <c r="N248" s="284"/>
    </row>
    <row r="249" spans="2:14" x14ac:dyDescent="0.25">
      <c r="B249" s="332"/>
      <c r="C249" s="164"/>
      <c r="D249" s="165"/>
      <c r="E249" s="166"/>
      <c r="F249" s="202"/>
      <c r="G249" s="196"/>
      <c r="H249" s="202"/>
      <c r="I249" s="313"/>
      <c r="J249" s="196"/>
      <c r="K249" s="313"/>
      <c r="L249" s="333"/>
      <c r="M249" s="106"/>
      <c r="N249" s="284"/>
    </row>
    <row r="250" spans="2:14" x14ac:dyDescent="0.25">
      <c r="B250" s="332"/>
      <c r="C250" s="164"/>
      <c r="D250" s="165"/>
      <c r="E250" s="166"/>
      <c r="F250" s="202"/>
      <c r="G250" s="196"/>
      <c r="H250" s="202"/>
      <c r="I250" s="313"/>
      <c r="J250" s="196"/>
      <c r="K250" s="313"/>
      <c r="L250" s="333"/>
      <c r="M250" s="106"/>
      <c r="N250" s="284"/>
    </row>
    <row r="251" spans="2:14" x14ac:dyDescent="0.25">
      <c r="B251" s="332"/>
      <c r="C251" s="164"/>
      <c r="D251" s="165"/>
      <c r="E251" s="166"/>
      <c r="F251" s="202"/>
      <c r="G251" s="196"/>
      <c r="H251" s="202"/>
      <c r="I251" s="313"/>
      <c r="J251" s="196"/>
      <c r="K251" s="313"/>
      <c r="L251" s="333"/>
      <c r="M251" s="106"/>
      <c r="N251" s="284"/>
    </row>
    <row r="252" spans="2:14" x14ac:dyDescent="0.25">
      <c r="B252" s="332"/>
      <c r="C252" s="164"/>
      <c r="D252" s="165"/>
      <c r="E252" s="166"/>
      <c r="F252" s="202"/>
      <c r="G252" s="196"/>
      <c r="H252" s="202"/>
      <c r="I252" s="313"/>
      <c r="J252" s="196"/>
      <c r="K252" s="313"/>
      <c r="L252" s="333"/>
      <c r="M252" s="106"/>
      <c r="N252" s="284"/>
    </row>
    <row r="253" spans="2:14" x14ac:dyDescent="0.25">
      <c r="B253" s="332"/>
      <c r="C253" s="164"/>
      <c r="D253" s="165"/>
      <c r="E253" s="166"/>
      <c r="F253" s="202"/>
      <c r="G253" s="196"/>
      <c r="H253" s="202"/>
      <c r="I253" s="313"/>
      <c r="J253" s="196"/>
      <c r="K253" s="313"/>
      <c r="L253" s="333"/>
      <c r="M253" s="106"/>
      <c r="N253" s="284"/>
    </row>
    <row r="254" spans="2:14" x14ac:dyDescent="0.25">
      <c r="B254" s="332"/>
      <c r="C254" s="164"/>
      <c r="D254" s="165"/>
      <c r="E254" s="166"/>
      <c r="F254" s="202"/>
      <c r="G254" s="196"/>
      <c r="H254" s="202"/>
      <c r="I254" s="313"/>
      <c r="J254" s="196"/>
      <c r="K254" s="313"/>
      <c r="L254" s="333"/>
      <c r="M254" s="106"/>
      <c r="N254" s="284"/>
    </row>
    <row r="255" spans="2:14" x14ac:dyDescent="0.25">
      <c r="B255" s="332"/>
      <c r="C255" s="164"/>
      <c r="D255" s="165"/>
      <c r="E255" s="166"/>
      <c r="F255" s="202"/>
      <c r="G255" s="196"/>
      <c r="H255" s="202"/>
      <c r="I255" s="313"/>
      <c r="J255" s="196"/>
      <c r="K255" s="313"/>
      <c r="L255" s="333"/>
      <c r="M255" s="106"/>
      <c r="N255" s="284"/>
    </row>
    <row r="256" spans="2:14" x14ac:dyDescent="0.25">
      <c r="B256" s="332"/>
      <c r="C256" s="164"/>
      <c r="D256" s="165"/>
      <c r="E256" s="166"/>
      <c r="F256" s="202"/>
      <c r="G256" s="196"/>
      <c r="H256" s="202"/>
      <c r="I256" s="313"/>
      <c r="J256" s="196"/>
      <c r="K256" s="313"/>
      <c r="L256" s="333"/>
      <c r="M256" s="106"/>
      <c r="N256" s="284"/>
    </row>
    <row r="257" spans="2:14" x14ac:dyDescent="0.25">
      <c r="B257" s="332"/>
      <c r="C257" s="164"/>
      <c r="D257" s="165"/>
      <c r="E257" s="166"/>
      <c r="F257" s="202"/>
      <c r="G257" s="196"/>
      <c r="H257" s="202"/>
      <c r="I257" s="313"/>
      <c r="J257" s="196"/>
      <c r="K257" s="313"/>
      <c r="L257" s="333"/>
      <c r="M257" s="106"/>
      <c r="N257" s="284"/>
    </row>
    <row r="258" spans="2:14" x14ac:dyDescent="0.25">
      <c r="B258" s="332"/>
      <c r="C258" s="164"/>
      <c r="D258" s="165"/>
      <c r="E258" s="166"/>
      <c r="F258" s="202"/>
      <c r="G258" s="196"/>
      <c r="H258" s="202"/>
      <c r="I258" s="313"/>
      <c r="J258" s="196"/>
      <c r="K258" s="313"/>
      <c r="L258" s="333"/>
      <c r="M258" s="106"/>
      <c r="N258" s="284"/>
    </row>
    <row r="259" spans="2:14" x14ac:dyDescent="0.25">
      <c r="B259" s="332"/>
      <c r="C259" s="164"/>
      <c r="D259" s="165"/>
      <c r="E259" s="166"/>
      <c r="F259" s="202"/>
      <c r="G259" s="196"/>
      <c r="H259" s="202"/>
      <c r="I259" s="313"/>
      <c r="J259" s="196"/>
      <c r="K259" s="313"/>
      <c r="L259" s="333"/>
      <c r="M259" s="106"/>
      <c r="N259" s="284"/>
    </row>
    <row r="260" spans="2:14" x14ac:dyDescent="0.25">
      <c r="B260" s="332"/>
      <c r="C260" s="164"/>
      <c r="D260" s="165"/>
      <c r="E260" s="166"/>
      <c r="F260" s="202"/>
      <c r="G260" s="196"/>
      <c r="H260" s="202"/>
      <c r="I260" s="313"/>
      <c r="J260" s="196"/>
      <c r="K260" s="313"/>
      <c r="L260" s="333"/>
      <c r="M260" s="106"/>
      <c r="N260" s="284"/>
    </row>
    <row r="261" spans="2:14" x14ac:dyDescent="0.25">
      <c r="B261" s="332"/>
      <c r="C261" s="164"/>
      <c r="D261" s="165"/>
      <c r="E261" s="166"/>
      <c r="F261" s="202"/>
      <c r="G261" s="196"/>
      <c r="H261" s="202"/>
      <c r="I261" s="313"/>
      <c r="J261" s="196"/>
      <c r="K261" s="313"/>
      <c r="L261" s="333"/>
      <c r="M261" s="106"/>
      <c r="N261" s="284"/>
    </row>
    <row r="262" spans="2:14" x14ac:dyDescent="0.25">
      <c r="B262" s="332"/>
      <c r="C262" s="164"/>
      <c r="D262" s="165"/>
      <c r="E262" s="166"/>
      <c r="F262" s="202"/>
      <c r="G262" s="196"/>
      <c r="H262" s="202"/>
      <c r="I262" s="313"/>
      <c r="J262" s="196"/>
      <c r="K262" s="313"/>
      <c r="L262" s="333"/>
      <c r="M262" s="106"/>
      <c r="N262" s="284"/>
    </row>
    <row r="263" spans="2:14" x14ac:dyDescent="0.25">
      <c r="B263" s="332"/>
      <c r="C263" s="164"/>
      <c r="D263" s="165"/>
      <c r="E263" s="166"/>
      <c r="F263" s="202"/>
      <c r="G263" s="196"/>
      <c r="H263" s="202"/>
      <c r="I263" s="313"/>
      <c r="J263" s="196"/>
      <c r="K263" s="313"/>
      <c r="L263" s="333"/>
      <c r="M263" s="106"/>
      <c r="N263" s="284"/>
    </row>
    <row r="264" spans="2:14" x14ac:dyDescent="0.25">
      <c r="B264" s="332"/>
      <c r="C264" s="164"/>
      <c r="D264" s="165"/>
      <c r="E264" s="166"/>
      <c r="F264" s="202"/>
      <c r="G264" s="196"/>
      <c r="H264" s="202"/>
      <c r="I264" s="313"/>
      <c r="J264" s="196"/>
      <c r="K264" s="313"/>
      <c r="L264" s="333"/>
      <c r="M264" s="106"/>
      <c r="N264" s="284"/>
    </row>
    <row r="265" spans="2:14" x14ac:dyDescent="0.25">
      <c r="B265" s="332"/>
      <c r="C265" s="164"/>
      <c r="D265" s="165"/>
      <c r="E265" s="166"/>
      <c r="F265" s="202"/>
      <c r="G265" s="196"/>
      <c r="H265" s="202"/>
      <c r="I265" s="313"/>
      <c r="J265" s="196"/>
      <c r="K265" s="313"/>
      <c r="L265" s="333"/>
      <c r="M265" s="106"/>
      <c r="N265" s="284"/>
    </row>
    <row r="266" spans="2:14" x14ac:dyDescent="0.25">
      <c r="B266" s="332"/>
      <c r="C266" s="164"/>
      <c r="D266" s="165"/>
      <c r="E266" s="166"/>
      <c r="F266" s="202"/>
      <c r="G266" s="196"/>
      <c r="H266" s="202"/>
      <c r="I266" s="313"/>
      <c r="J266" s="196"/>
      <c r="K266" s="313"/>
      <c r="L266" s="333"/>
      <c r="M266" s="106"/>
      <c r="N266" s="284"/>
    </row>
    <row r="267" spans="2:14" x14ac:dyDescent="0.25">
      <c r="B267" s="334"/>
      <c r="C267" s="335"/>
      <c r="D267" s="335"/>
      <c r="E267" s="335"/>
      <c r="F267" s="336"/>
      <c r="G267" s="337"/>
      <c r="H267" s="202"/>
      <c r="I267" s="338"/>
      <c r="J267" s="337"/>
      <c r="K267" s="339"/>
      <c r="L267" s="340"/>
      <c r="M267" s="106"/>
      <c r="N267" s="341"/>
    </row>
    <row r="268" spans="2:14" x14ac:dyDescent="0.25">
      <c r="B268" s="334"/>
      <c r="C268" s="335"/>
      <c r="D268" s="335"/>
      <c r="E268" s="335"/>
      <c r="F268" s="336"/>
      <c r="G268" s="337"/>
      <c r="H268" s="202"/>
      <c r="I268" s="338"/>
      <c r="J268" s="337"/>
      <c r="K268" s="339"/>
      <c r="L268" s="340"/>
      <c r="M268" s="106"/>
      <c r="N268" s="341"/>
    </row>
    <row r="269" spans="2:14" x14ac:dyDescent="0.25">
      <c r="B269" s="334"/>
      <c r="C269" s="335"/>
      <c r="D269" s="335"/>
      <c r="E269" s="335"/>
      <c r="F269" s="336"/>
      <c r="G269" s="337"/>
      <c r="H269" s="202"/>
      <c r="I269" s="338"/>
      <c r="J269" s="337"/>
      <c r="K269" s="339"/>
      <c r="L269" s="340"/>
      <c r="M269" s="106"/>
      <c r="N269" s="341"/>
    </row>
    <row r="270" spans="2:14" x14ac:dyDescent="0.25">
      <c r="B270" s="342"/>
      <c r="C270" s="343"/>
      <c r="D270" s="343"/>
      <c r="E270" s="343"/>
      <c r="F270" s="344"/>
      <c r="G270" s="345"/>
      <c r="H270" s="346"/>
      <c r="I270" s="346"/>
      <c r="J270" s="345"/>
      <c r="K270" s="347"/>
      <c r="L270" s="340"/>
      <c r="N270" s="348"/>
    </row>
    <row r="271" spans="2:14" x14ac:dyDescent="0.25">
      <c r="B271" s="342"/>
      <c r="C271" s="343"/>
      <c r="D271" s="343"/>
      <c r="E271" s="343"/>
      <c r="F271" s="344"/>
      <c r="G271" s="345"/>
      <c r="H271" s="346"/>
      <c r="I271" s="346"/>
      <c r="J271" s="345"/>
      <c r="K271" s="347"/>
      <c r="L271" s="340"/>
      <c r="N271" s="348"/>
    </row>
    <row r="272" spans="2:14" x14ac:dyDescent="0.25">
      <c r="B272" s="342"/>
      <c r="C272" s="343"/>
      <c r="D272" s="343"/>
      <c r="E272" s="343"/>
      <c r="F272" s="344"/>
      <c r="G272" s="345"/>
      <c r="H272" s="346"/>
      <c r="I272" s="346"/>
      <c r="J272" s="345"/>
      <c r="K272" s="347"/>
      <c r="L272" s="340"/>
      <c r="N272" s="348"/>
    </row>
    <row r="273" spans="2:14" x14ac:dyDescent="0.25">
      <c r="B273" s="342"/>
      <c r="C273" s="343"/>
      <c r="D273" s="343"/>
      <c r="E273" s="343"/>
      <c r="F273" s="344"/>
      <c r="G273" s="345"/>
      <c r="H273" s="346"/>
      <c r="I273" s="346"/>
      <c r="J273" s="345"/>
      <c r="K273" s="347"/>
      <c r="L273" s="340"/>
      <c r="N273" s="348"/>
    </row>
    <row r="274" spans="2:14" x14ac:dyDescent="0.25">
      <c r="B274" s="342"/>
      <c r="C274" s="343"/>
      <c r="D274" s="343"/>
      <c r="E274" s="343"/>
      <c r="F274" s="344"/>
      <c r="G274" s="345"/>
      <c r="H274" s="346"/>
      <c r="I274" s="346"/>
      <c r="J274" s="345"/>
      <c r="K274" s="347"/>
      <c r="L274" s="340"/>
      <c r="N274" s="348"/>
    </row>
    <row r="275" spans="2:14" x14ac:dyDescent="0.25">
      <c r="B275" s="342"/>
      <c r="C275" s="343"/>
      <c r="D275" s="343"/>
      <c r="E275" s="343"/>
      <c r="F275" s="344"/>
      <c r="G275" s="345"/>
      <c r="H275" s="346"/>
      <c r="I275" s="346"/>
      <c r="J275" s="345"/>
      <c r="K275" s="347"/>
      <c r="L275" s="340"/>
      <c r="N275" s="348"/>
    </row>
    <row r="276" spans="2:14" x14ac:dyDescent="0.25">
      <c r="B276" s="342"/>
      <c r="C276" s="343"/>
      <c r="D276" s="343"/>
      <c r="E276" s="343"/>
      <c r="F276" s="344"/>
      <c r="G276" s="345"/>
      <c r="H276" s="346"/>
      <c r="I276" s="346"/>
      <c r="J276" s="345"/>
      <c r="K276" s="347"/>
      <c r="L276" s="340"/>
      <c r="N276" s="348"/>
    </row>
    <row r="277" spans="2:14" x14ac:dyDescent="0.25">
      <c r="B277" s="342"/>
      <c r="C277" s="343"/>
      <c r="D277" s="343"/>
      <c r="E277" s="343"/>
      <c r="F277" s="344"/>
      <c r="G277" s="345"/>
      <c r="H277" s="346"/>
      <c r="I277" s="346"/>
      <c r="J277" s="345"/>
      <c r="K277" s="347"/>
      <c r="L277" s="340"/>
      <c r="N277" s="348"/>
    </row>
    <row r="278" spans="2:14" x14ac:dyDescent="0.25">
      <c r="B278" s="342"/>
      <c r="C278" s="343"/>
      <c r="D278" s="343"/>
      <c r="E278" s="343"/>
      <c r="F278" s="344"/>
      <c r="G278" s="345"/>
      <c r="H278" s="346"/>
      <c r="I278" s="346"/>
      <c r="J278" s="345"/>
      <c r="K278" s="347"/>
      <c r="L278" s="340"/>
      <c r="N278" s="348"/>
    </row>
    <row r="279" spans="2:14" x14ac:dyDescent="0.25">
      <c r="B279" s="342"/>
      <c r="C279" s="343"/>
      <c r="D279" s="343"/>
      <c r="E279" s="343"/>
      <c r="F279" s="344"/>
      <c r="G279" s="345"/>
      <c r="H279" s="346"/>
      <c r="I279" s="346"/>
      <c r="J279" s="345"/>
      <c r="K279" s="347"/>
      <c r="L279" s="340"/>
      <c r="N279" s="348"/>
    </row>
    <row r="280" spans="2:14" x14ac:dyDescent="0.25">
      <c r="B280" s="342"/>
      <c r="C280" s="343"/>
      <c r="D280" s="343"/>
      <c r="E280" s="343"/>
      <c r="F280" s="344"/>
      <c r="G280" s="345"/>
      <c r="H280" s="346"/>
      <c r="I280" s="346"/>
      <c r="J280" s="345"/>
      <c r="K280" s="347"/>
      <c r="L280" s="340"/>
      <c r="N280" s="348"/>
    </row>
    <row r="281" spans="2:14" x14ac:dyDescent="0.25">
      <c r="B281" s="342"/>
      <c r="C281" s="343"/>
      <c r="D281" s="343"/>
      <c r="E281" s="343"/>
      <c r="F281" s="344"/>
      <c r="G281" s="345"/>
      <c r="H281" s="346"/>
      <c r="I281" s="346"/>
      <c r="J281" s="345"/>
      <c r="K281" s="347"/>
      <c r="L281" s="340"/>
      <c r="N281" s="348"/>
    </row>
    <row r="282" spans="2:14" x14ac:dyDescent="0.25">
      <c r="B282" s="342"/>
      <c r="C282" s="343"/>
      <c r="D282" s="343"/>
      <c r="E282" s="343"/>
      <c r="F282" s="344"/>
      <c r="G282" s="345"/>
      <c r="H282" s="346"/>
      <c r="I282" s="346"/>
      <c r="J282" s="345"/>
      <c r="K282" s="347"/>
      <c r="L282" s="340"/>
      <c r="N282" s="348"/>
    </row>
    <row r="283" spans="2:14" x14ac:dyDescent="0.25">
      <c r="B283" s="342"/>
      <c r="C283" s="343"/>
      <c r="D283" s="343"/>
      <c r="E283" s="343"/>
      <c r="F283" s="344"/>
      <c r="G283" s="345"/>
      <c r="H283" s="346"/>
      <c r="I283" s="346"/>
      <c r="J283" s="345"/>
      <c r="K283" s="347"/>
      <c r="L283" s="340"/>
      <c r="N283" s="348"/>
    </row>
    <row r="284" spans="2:14" x14ac:dyDescent="0.25">
      <c r="B284" s="342"/>
      <c r="C284" s="343"/>
      <c r="D284" s="343"/>
      <c r="E284" s="343"/>
      <c r="F284" s="344"/>
      <c r="G284" s="345"/>
      <c r="H284" s="346"/>
      <c r="I284" s="346"/>
      <c r="J284" s="345"/>
      <c r="K284" s="347"/>
      <c r="L284" s="340"/>
      <c r="N284" s="348"/>
    </row>
    <row r="285" spans="2:14" x14ac:dyDescent="0.25">
      <c r="B285" s="342"/>
      <c r="C285" s="343"/>
      <c r="D285" s="343"/>
      <c r="E285" s="343"/>
      <c r="F285" s="344"/>
      <c r="G285" s="345"/>
      <c r="H285" s="346"/>
      <c r="I285" s="346"/>
      <c r="J285" s="345"/>
      <c r="K285" s="347"/>
      <c r="L285" s="340"/>
      <c r="N285" s="348"/>
    </row>
    <row r="286" spans="2:14" x14ac:dyDescent="0.25">
      <c r="B286" s="342"/>
      <c r="C286" s="343"/>
      <c r="D286" s="343"/>
      <c r="E286" s="343"/>
      <c r="F286" s="344"/>
      <c r="G286" s="345"/>
      <c r="H286" s="346"/>
      <c r="I286" s="346"/>
      <c r="J286" s="345"/>
      <c r="K286" s="347"/>
      <c r="L286" s="340"/>
      <c r="N286" s="348"/>
    </row>
    <row r="287" spans="2:14" x14ac:dyDescent="0.25">
      <c r="B287" s="342"/>
      <c r="C287" s="343"/>
      <c r="D287" s="343"/>
      <c r="E287" s="343"/>
      <c r="F287" s="344"/>
      <c r="G287" s="345"/>
      <c r="H287" s="346"/>
      <c r="I287" s="346"/>
      <c r="J287" s="345"/>
      <c r="K287" s="347"/>
      <c r="L287" s="340"/>
      <c r="N287" s="348"/>
    </row>
    <row r="288" spans="2:14" x14ac:dyDescent="0.25">
      <c r="B288" s="342"/>
      <c r="C288" s="343"/>
      <c r="D288" s="343"/>
      <c r="E288" s="343"/>
      <c r="F288" s="344"/>
      <c r="G288" s="345"/>
      <c r="H288" s="346"/>
      <c r="I288" s="346"/>
      <c r="J288" s="345"/>
      <c r="K288" s="347"/>
      <c r="L288" s="340"/>
      <c r="N288" s="348"/>
    </row>
    <row r="289" spans="2:14" x14ac:dyDescent="0.25">
      <c r="B289" s="342"/>
      <c r="C289" s="343"/>
      <c r="D289" s="343"/>
      <c r="E289" s="343"/>
      <c r="F289" s="344"/>
      <c r="G289" s="345"/>
      <c r="H289" s="346"/>
      <c r="I289" s="346"/>
      <c r="J289" s="345"/>
      <c r="K289" s="347"/>
      <c r="L289" s="340"/>
      <c r="N289" s="348"/>
    </row>
    <row r="290" spans="2:14" x14ac:dyDescent="0.25">
      <c r="B290" s="342"/>
      <c r="C290" s="343"/>
      <c r="D290" s="343"/>
      <c r="E290" s="343"/>
      <c r="F290" s="344"/>
      <c r="G290" s="345"/>
      <c r="H290" s="346"/>
      <c r="I290" s="346"/>
      <c r="J290" s="345"/>
      <c r="K290" s="347"/>
      <c r="L290" s="340"/>
      <c r="N290" s="348"/>
    </row>
    <row r="291" spans="2:14" x14ac:dyDescent="0.25">
      <c r="B291" s="342"/>
      <c r="C291" s="343"/>
      <c r="D291" s="343"/>
      <c r="E291" s="343"/>
      <c r="F291" s="344"/>
      <c r="G291" s="345"/>
      <c r="H291" s="346"/>
      <c r="I291" s="346"/>
      <c r="J291" s="345"/>
      <c r="K291" s="347"/>
      <c r="L291" s="340"/>
      <c r="N291" s="348"/>
    </row>
    <row r="292" spans="2:14" x14ac:dyDescent="0.25">
      <c r="B292" s="342"/>
      <c r="C292" s="343"/>
      <c r="D292" s="343"/>
      <c r="E292" s="343"/>
      <c r="F292" s="344"/>
      <c r="G292" s="345"/>
      <c r="H292" s="346"/>
      <c r="I292" s="346"/>
      <c r="J292" s="345"/>
      <c r="K292" s="347"/>
      <c r="L292" s="340"/>
      <c r="N292" s="348"/>
    </row>
    <row r="293" spans="2:14" x14ac:dyDescent="0.25">
      <c r="B293" s="342"/>
      <c r="C293" s="343"/>
      <c r="D293" s="343"/>
      <c r="E293" s="343"/>
      <c r="F293" s="344"/>
      <c r="G293" s="345"/>
      <c r="H293" s="346"/>
      <c r="I293" s="346"/>
      <c r="J293" s="345"/>
      <c r="K293" s="347"/>
      <c r="L293" s="340"/>
      <c r="N293" s="348"/>
    </row>
    <row r="294" spans="2:14" x14ac:dyDescent="0.25">
      <c r="B294" s="342"/>
      <c r="C294" s="343"/>
      <c r="D294" s="343"/>
      <c r="E294" s="343"/>
      <c r="F294" s="344"/>
      <c r="G294" s="345"/>
      <c r="H294" s="346"/>
      <c r="I294" s="346"/>
      <c r="J294" s="345"/>
      <c r="K294" s="347"/>
      <c r="L294" s="340"/>
      <c r="N294" s="348"/>
    </row>
    <row r="295" spans="2:14" x14ac:dyDescent="0.25">
      <c r="B295" s="342"/>
      <c r="C295" s="343"/>
      <c r="D295" s="343"/>
      <c r="E295" s="343"/>
      <c r="F295" s="344"/>
      <c r="G295" s="345"/>
      <c r="H295" s="346"/>
      <c r="I295" s="346"/>
      <c r="J295" s="345"/>
      <c r="K295" s="347"/>
      <c r="L295" s="340"/>
      <c r="N295" s="348"/>
    </row>
    <row r="296" spans="2:14" x14ac:dyDescent="0.25">
      <c r="B296" s="342"/>
      <c r="C296" s="343"/>
      <c r="D296" s="343"/>
      <c r="E296" s="343"/>
      <c r="F296" s="344"/>
      <c r="G296" s="345"/>
      <c r="H296" s="346"/>
      <c r="I296" s="346"/>
      <c r="J296" s="345"/>
      <c r="K296" s="347"/>
      <c r="L296" s="340"/>
      <c r="N296" s="348"/>
    </row>
    <row r="297" spans="2:14" x14ac:dyDescent="0.25">
      <c r="B297" s="342"/>
      <c r="C297" s="343"/>
      <c r="D297" s="343"/>
      <c r="E297" s="343"/>
      <c r="F297" s="344"/>
      <c r="G297" s="345"/>
      <c r="H297" s="346"/>
      <c r="I297" s="346"/>
      <c r="J297" s="345"/>
      <c r="K297" s="347"/>
      <c r="L297" s="340"/>
      <c r="N297" s="348"/>
    </row>
    <row r="298" spans="2:14" x14ac:dyDescent="0.25">
      <c r="B298" s="342"/>
      <c r="C298" s="343"/>
      <c r="D298" s="343"/>
      <c r="E298" s="343"/>
      <c r="F298" s="344"/>
      <c r="G298" s="345"/>
      <c r="H298" s="346"/>
      <c r="I298" s="346"/>
      <c r="J298" s="345"/>
      <c r="K298" s="347"/>
      <c r="L298" s="340"/>
      <c r="N298" s="348"/>
    </row>
    <row r="299" spans="2:14" x14ac:dyDescent="0.25">
      <c r="B299" s="342"/>
      <c r="C299" s="343"/>
      <c r="D299" s="343"/>
      <c r="E299" s="343"/>
      <c r="F299" s="344"/>
      <c r="G299" s="345"/>
      <c r="H299" s="346"/>
      <c r="I299" s="346"/>
      <c r="J299" s="345"/>
      <c r="K299" s="347"/>
      <c r="L299" s="340"/>
      <c r="N299" s="348"/>
    </row>
    <row r="300" spans="2:14" x14ac:dyDescent="0.25">
      <c r="B300" s="342"/>
      <c r="C300" s="343"/>
      <c r="D300" s="343"/>
      <c r="E300" s="343"/>
      <c r="F300" s="344"/>
      <c r="G300" s="345"/>
      <c r="H300" s="346"/>
      <c r="I300" s="346"/>
      <c r="J300" s="345"/>
      <c r="K300" s="347"/>
      <c r="L300" s="340"/>
      <c r="N300" s="348"/>
    </row>
    <row r="301" spans="2:14" x14ac:dyDescent="0.25">
      <c r="B301" s="342"/>
      <c r="C301" s="343"/>
      <c r="D301" s="343"/>
      <c r="E301" s="343"/>
      <c r="F301" s="344"/>
      <c r="G301" s="345"/>
      <c r="H301" s="346"/>
      <c r="I301" s="346"/>
      <c r="J301" s="345"/>
      <c r="K301" s="347"/>
      <c r="L301" s="340"/>
      <c r="N301" s="348"/>
    </row>
    <row r="302" spans="2:14" x14ac:dyDescent="0.25">
      <c r="B302" s="342"/>
      <c r="C302" s="343"/>
      <c r="D302" s="343"/>
      <c r="E302" s="343"/>
      <c r="F302" s="344"/>
      <c r="G302" s="345"/>
      <c r="H302" s="346"/>
      <c r="I302" s="346"/>
      <c r="J302" s="345"/>
      <c r="K302" s="347"/>
      <c r="L302" s="340"/>
      <c r="N302" s="348"/>
    </row>
    <row r="303" spans="2:14" x14ac:dyDescent="0.25">
      <c r="B303" s="342"/>
      <c r="C303" s="343"/>
      <c r="D303" s="343"/>
      <c r="E303" s="343"/>
      <c r="F303" s="344"/>
      <c r="G303" s="345"/>
      <c r="H303" s="346"/>
      <c r="I303" s="346"/>
      <c r="J303" s="345"/>
      <c r="K303" s="347"/>
      <c r="L303" s="340"/>
      <c r="N303" s="348"/>
    </row>
    <row r="304" spans="2:14" x14ac:dyDescent="0.25">
      <c r="B304" s="342"/>
      <c r="C304" s="343"/>
      <c r="D304" s="343"/>
      <c r="E304" s="343"/>
      <c r="F304" s="344"/>
      <c r="G304" s="345"/>
      <c r="H304" s="346"/>
      <c r="I304" s="346"/>
      <c r="J304" s="345"/>
      <c r="K304" s="347"/>
      <c r="L304" s="340"/>
      <c r="N304" s="348"/>
    </row>
    <row r="305" spans="2:14" x14ac:dyDescent="0.25">
      <c r="B305" s="342"/>
      <c r="C305" s="343"/>
      <c r="D305" s="343"/>
      <c r="E305" s="343"/>
      <c r="F305" s="344"/>
      <c r="G305" s="345"/>
      <c r="H305" s="346"/>
      <c r="I305" s="346"/>
      <c r="J305" s="345"/>
      <c r="K305" s="347"/>
      <c r="L305" s="340"/>
      <c r="N305" s="348"/>
    </row>
    <row r="306" spans="2:14" x14ac:dyDescent="0.25">
      <c r="B306" s="342"/>
      <c r="C306" s="343"/>
      <c r="D306" s="343"/>
      <c r="E306" s="343"/>
      <c r="F306" s="344"/>
      <c r="G306" s="345"/>
      <c r="H306" s="346"/>
      <c r="I306" s="346"/>
      <c r="J306" s="345"/>
      <c r="K306" s="347"/>
      <c r="L306" s="340"/>
      <c r="N306" s="348"/>
    </row>
    <row r="307" spans="2:14" x14ac:dyDescent="0.25">
      <c r="B307" s="342"/>
      <c r="C307" s="343"/>
      <c r="D307" s="343"/>
      <c r="E307" s="343"/>
      <c r="F307" s="344"/>
      <c r="G307" s="345"/>
      <c r="H307" s="346"/>
      <c r="I307" s="346"/>
      <c r="J307" s="345"/>
      <c r="K307" s="347"/>
      <c r="L307" s="340"/>
      <c r="N307" s="348"/>
    </row>
    <row r="308" spans="2:14" x14ac:dyDescent="0.25">
      <c r="B308" s="342"/>
      <c r="C308" s="343"/>
      <c r="D308" s="343"/>
      <c r="E308" s="343"/>
      <c r="F308" s="344"/>
      <c r="G308" s="345"/>
      <c r="H308" s="346"/>
      <c r="I308" s="346"/>
      <c r="J308" s="345"/>
      <c r="K308" s="347"/>
      <c r="L308" s="340"/>
      <c r="N308" s="348"/>
    </row>
    <row r="309" spans="2:14" x14ac:dyDescent="0.25">
      <c r="B309" s="342"/>
      <c r="C309" s="343"/>
      <c r="D309" s="343"/>
      <c r="E309" s="343"/>
      <c r="F309" s="344"/>
      <c r="G309" s="345"/>
      <c r="H309" s="346"/>
      <c r="I309" s="346"/>
      <c r="J309" s="345"/>
      <c r="K309" s="347"/>
      <c r="L309" s="340"/>
      <c r="N309" s="348"/>
    </row>
    <row r="310" spans="2:14" x14ac:dyDescent="0.25">
      <c r="B310" s="342"/>
      <c r="C310" s="343"/>
      <c r="D310" s="343"/>
      <c r="E310" s="343"/>
      <c r="F310" s="344"/>
      <c r="G310" s="345"/>
      <c r="H310" s="346"/>
      <c r="I310" s="346"/>
      <c r="J310" s="345"/>
      <c r="K310" s="347"/>
      <c r="L310" s="340"/>
      <c r="N310" s="348"/>
    </row>
    <row r="311" spans="2:14" x14ac:dyDescent="0.25">
      <c r="B311" s="342"/>
      <c r="C311" s="343"/>
      <c r="D311" s="343"/>
      <c r="E311" s="343"/>
      <c r="F311" s="344"/>
      <c r="G311" s="345"/>
      <c r="H311" s="346"/>
      <c r="I311" s="346"/>
      <c r="J311" s="345"/>
      <c r="K311" s="347"/>
      <c r="L311" s="340"/>
      <c r="N311" s="348"/>
    </row>
    <row r="312" spans="2:14" x14ac:dyDescent="0.25">
      <c r="B312" s="342"/>
      <c r="C312" s="343"/>
      <c r="D312" s="343"/>
      <c r="E312" s="343"/>
      <c r="F312" s="344"/>
      <c r="G312" s="345"/>
      <c r="H312" s="346"/>
      <c r="I312" s="346"/>
      <c r="J312" s="345"/>
      <c r="K312" s="347"/>
      <c r="L312" s="340"/>
      <c r="N312" s="348"/>
    </row>
    <row r="313" spans="2:14" x14ac:dyDescent="0.25">
      <c r="B313" s="342"/>
      <c r="C313" s="343"/>
      <c r="D313" s="343"/>
      <c r="E313" s="343"/>
      <c r="F313" s="344"/>
      <c r="G313" s="345"/>
      <c r="H313" s="346"/>
      <c r="I313" s="346"/>
      <c r="J313" s="345"/>
      <c r="K313" s="347"/>
      <c r="L313" s="340"/>
      <c r="N313" s="348"/>
    </row>
    <row r="314" spans="2:14" x14ac:dyDescent="0.25">
      <c r="B314" s="342"/>
      <c r="C314" s="343"/>
      <c r="D314" s="343"/>
      <c r="E314" s="343"/>
      <c r="F314" s="344"/>
      <c r="G314" s="345"/>
      <c r="H314" s="346"/>
      <c r="I314" s="346"/>
      <c r="J314" s="345"/>
      <c r="K314" s="347"/>
      <c r="L314" s="340"/>
      <c r="N314" s="348"/>
    </row>
    <row r="315" spans="2:14" x14ac:dyDescent="0.25">
      <c r="B315" s="342"/>
      <c r="C315" s="343"/>
      <c r="D315" s="343"/>
      <c r="E315" s="343"/>
      <c r="F315" s="344"/>
      <c r="G315" s="345"/>
      <c r="H315" s="346"/>
      <c r="I315" s="346"/>
      <c r="J315" s="345"/>
      <c r="K315" s="347"/>
      <c r="L315" s="340"/>
      <c r="N315" s="348"/>
    </row>
    <row r="316" spans="2:14" x14ac:dyDescent="0.25">
      <c r="B316" s="342"/>
      <c r="C316" s="343"/>
      <c r="D316" s="343"/>
      <c r="E316" s="343"/>
      <c r="F316" s="344"/>
      <c r="G316" s="345"/>
      <c r="H316" s="346"/>
      <c r="I316" s="346"/>
      <c r="J316" s="345"/>
      <c r="K316" s="347"/>
      <c r="L316" s="340"/>
      <c r="N316" s="348"/>
    </row>
    <row r="317" spans="2:14" x14ac:dyDescent="0.25">
      <c r="B317" s="342"/>
      <c r="C317" s="343"/>
      <c r="D317" s="343"/>
      <c r="E317" s="343"/>
      <c r="F317" s="344"/>
      <c r="G317" s="345"/>
      <c r="H317" s="346"/>
      <c r="I317" s="346"/>
      <c r="J317" s="345"/>
      <c r="K317" s="347"/>
      <c r="L317" s="340"/>
      <c r="N317" s="348"/>
    </row>
    <row r="318" spans="2:14" x14ac:dyDescent="0.25">
      <c r="B318" s="342"/>
      <c r="C318" s="343"/>
      <c r="D318" s="343"/>
      <c r="E318" s="343"/>
      <c r="F318" s="344"/>
      <c r="G318" s="345"/>
      <c r="H318" s="346"/>
      <c r="I318" s="346"/>
      <c r="J318" s="345"/>
      <c r="K318" s="347"/>
      <c r="L318" s="340"/>
      <c r="N318" s="348"/>
    </row>
    <row r="319" spans="2:14" x14ac:dyDescent="0.25">
      <c r="B319" s="342"/>
      <c r="C319" s="343"/>
      <c r="D319" s="343"/>
      <c r="E319" s="343"/>
      <c r="F319" s="344"/>
      <c r="G319" s="345"/>
      <c r="H319" s="346"/>
      <c r="I319" s="346"/>
      <c r="J319" s="345"/>
      <c r="K319" s="347"/>
      <c r="L319" s="340"/>
      <c r="N319" s="348"/>
    </row>
    <row r="320" spans="2:14" x14ac:dyDescent="0.25">
      <c r="B320" s="342"/>
      <c r="C320" s="343"/>
      <c r="D320" s="343"/>
      <c r="E320" s="343"/>
      <c r="F320" s="344"/>
      <c r="G320" s="345"/>
      <c r="H320" s="346"/>
      <c r="I320" s="346"/>
      <c r="J320" s="345"/>
      <c r="K320" s="347"/>
      <c r="L320" s="340"/>
      <c r="N320" s="348"/>
    </row>
    <row r="321" spans="2:14" x14ac:dyDescent="0.25">
      <c r="B321" s="342"/>
      <c r="C321" s="343"/>
      <c r="D321" s="343"/>
      <c r="E321" s="343"/>
      <c r="F321" s="344"/>
      <c r="G321" s="345"/>
      <c r="H321" s="346"/>
      <c r="I321" s="346"/>
      <c r="J321" s="345"/>
      <c r="K321" s="347"/>
      <c r="L321" s="340"/>
      <c r="N321" s="348"/>
    </row>
    <row r="322" spans="2:14" x14ac:dyDescent="0.25">
      <c r="B322" s="342"/>
      <c r="C322" s="343"/>
      <c r="D322" s="343"/>
      <c r="E322" s="343"/>
      <c r="F322" s="344"/>
      <c r="G322" s="345"/>
      <c r="H322" s="346"/>
      <c r="I322" s="346"/>
      <c r="J322" s="345"/>
      <c r="K322" s="347"/>
      <c r="L322" s="340"/>
      <c r="N322" s="348"/>
    </row>
    <row r="323" spans="2:14" x14ac:dyDescent="0.25">
      <c r="B323" s="342"/>
      <c r="C323" s="343"/>
      <c r="D323" s="343"/>
      <c r="E323" s="343"/>
      <c r="F323" s="344"/>
      <c r="G323" s="345"/>
      <c r="H323" s="346"/>
      <c r="I323" s="346"/>
      <c r="J323" s="345"/>
      <c r="K323" s="347"/>
      <c r="L323" s="340"/>
      <c r="N323" s="348"/>
    </row>
    <row r="324" spans="2:14" x14ac:dyDescent="0.25">
      <c r="B324" s="342"/>
      <c r="C324" s="343"/>
      <c r="D324" s="343"/>
      <c r="E324" s="343"/>
      <c r="F324" s="344"/>
      <c r="G324" s="345"/>
      <c r="H324" s="346"/>
      <c r="I324" s="346"/>
      <c r="J324" s="345"/>
      <c r="K324" s="347"/>
      <c r="L324" s="340"/>
      <c r="N324" s="348"/>
    </row>
    <row r="325" spans="2:14" x14ac:dyDescent="0.25">
      <c r="B325" s="342"/>
      <c r="C325" s="343"/>
      <c r="D325" s="343"/>
      <c r="E325" s="343"/>
      <c r="F325" s="344"/>
      <c r="G325" s="345"/>
      <c r="H325" s="346"/>
      <c r="I325" s="346"/>
      <c r="J325" s="345"/>
      <c r="K325" s="347"/>
      <c r="L325" s="340"/>
      <c r="N325" s="348"/>
    </row>
    <row r="326" spans="2:14" x14ac:dyDescent="0.25">
      <c r="B326" s="342"/>
      <c r="C326" s="343"/>
      <c r="D326" s="343"/>
      <c r="E326" s="343"/>
      <c r="F326" s="344"/>
      <c r="G326" s="345"/>
      <c r="H326" s="346"/>
      <c r="I326" s="346"/>
      <c r="J326" s="345"/>
      <c r="K326" s="347"/>
      <c r="L326" s="340"/>
      <c r="N326" s="348"/>
    </row>
    <row r="327" spans="2:14" x14ac:dyDescent="0.25">
      <c r="B327" s="342"/>
      <c r="C327" s="343"/>
      <c r="D327" s="343"/>
      <c r="E327" s="343"/>
      <c r="F327" s="344"/>
      <c r="G327" s="345"/>
      <c r="H327" s="346"/>
      <c r="I327" s="346"/>
      <c r="J327" s="345"/>
      <c r="K327" s="347"/>
      <c r="L327" s="340"/>
      <c r="N327" s="348"/>
    </row>
    <row r="328" spans="2:14" x14ac:dyDescent="0.25">
      <c r="B328" s="342"/>
      <c r="C328" s="343"/>
      <c r="D328" s="343"/>
      <c r="E328" s="343"/>
      <c r="F328" s="344"/>
      <c r="G328" s="345"/>
      <c r="H328" s="346"/>
      <c r="I328" s="346"/>
      <c r="J328" s="345"/>
      <c r="K328" s="347"/>
      <c r="L328" s="340"/>
      <c r="N328" s="348"/>
    </row>
    <row r="329" spans="2:14" x14ac:dyDescent="0.25">
      <c r="B329" s="342"/>
      <c r="C329" s="343"/>
      <c r="D329" s="343"/>
      <c r="E329" s="343"/>
      <c r="F329" s="344"/>
      <c r="G329" s="345"/>
      <c r="H329" s="346"/>
      <c r="I329" s="346"/>
      <c r="J329" s="345"/>
      <c r="K329" s="347"/>
      <c r="L329" s="340"/>
      <c r="N329" s="348"/>
    </row>
    <row r="330" spans="2:14" x14ac:dyDescent="0.25">
      <c r="B330" s="342"/>
      <c r="C330" s="343"/>
      <c r="D330" s="343"/>
      <c r="E330" s="343"/>
      <c r="F330" s="344"/>
      <c r="G330" s="345"/>
      <c r="H330" s="346"/>
      <c r="I330" s="346"/>
      <c r="J330" s="345"/>
      <c r="K330" s="347"/>
      <c r="L330" s="340"/>
      <c r="N330" s="348"/>
    </row>
    <row r="331" spans="2:14" x14ac:dyDescent="0.25">
      <c r="B331" s="342"/>
      <c r="C331" s="343"/>
      <c r="D331" s="343"/>
      <c r="E331" s="343"/>
      <c r="F331" s="344"/>
      <c r="G331" s="345"/>
      <c r="H331" s="346"/>
      <c r="I331" s="346"/>
      <c r="J331" s="345"/>
      <c r="K331" s="347"/>
      <c r="L331" s="340"/>
      <c r="N331" s="348"/>
    </row>
    <row r="332" spans="2:14" x14ac:dyDescent="0.25">
      <c r="B332" s="342"/>
      <c r="C332" s="343"/>
      <c r="D332" s="343"/>
      <c r="E332" s="343"/>
      <c r="F332" s="344"/>
      <c r="G332" s="345"/>
      <c r="H332" s="346"/>
      <c r="I332" s="346"/>
      <c r="J332" s="345"/>
      <c r="K332" s="347"/>
      <c r="L332" s="340"/>
      <c r="N332" s="348"/>
    </row>
    <row r="333" spans="2:14" x14ac:dyDescent="0.25">
      <c r="B333" s="342"/>
      <c r="C333" s="343"/>
      <c r="D333" s="343"/>
      <c r="E333" s="343"/>
      <c r="F333" s="344"/>
      <c r="G333" s="345"/>
      <c r="H333" s="346"/>
      <c r="I333" s="346"/>
      <c r="J333" s="345"/>
      <c r="K333" s="347"/>
      <c r="L333" s="340"/>
      <c r="N333" s="348"/>
    </row>
    <row r="334" spans="2:14" x14ac:dyDescent="0.25">
      <c r="B334" s="342"/>
      <c r="C334" s="343"/>
      <c r="D334" s="343"/>
      <c r="E334" s="343"/>
      <c r="F334" s="344"/>
      <c r="G334" s="345"/>
      <c r="H334" s="346"/>
      <c r="I334" s="346"/>
      <c r="J334" s="345"/>
      <c r="K334" s="347"/>
      <c r="L334" s="340"/>
      <c r="N334" s="348"/>
    </row>
    <row r="335" spans="2:14" x14ac:dyDescent="0.25">
      <c r="B335" s="342"/>
      <c r="C335" s="343"/>
      <c r="D335" s="343"/>
      <c r="E335" s="343"/>
      <c r="F335" s="344"/>
      <c r="G335" s="345"/>
      <c r="H335" s="346"/>
      <c r="I335" s="346"/>
      <c r="J335" s="345"/>
      <c r="K335" s="347"/>
      <c r="L335" s="340"/>
      <c r="N335" s="348"/>
    </row>
    <row r="336" spans="2:14" x14ac:dyDescent="0.25">
      <c r="B336" s="342"/>
      <c r="C336" s="343"/>
      <c r="D336" s="343"/>
      <c r="E336" s="343"/>
      <c r="F336" s="344"/>
      <c r="G336" s="345"/>
      <c r="H336" s="346"/>
      <c r="I336" s="346"/>
      <c r="J336" s="345"/>
      <c r="K336" s="347"/>
      <c r="L336" s="340"/>
      <c r="N336" s="348"/>
    </row>
    <row r="337" spans="2:14" x14ac:dyDescent="0.25">
      <c r="B337" s="342"/>
      <c r="C337" s="343"/>
      <c r="D337" s="343"/>
      <c r="E337" s="343"/>
      <c r="F337" s="344"/>
      <c r="G337" s="345"/>
      <c r="H337" s="346"/>
      <c r="I337" s="346"/>
      <c r="J337" s="345"/>
      <c r="K337" s="347"/>
      <c r="L337" s="340"/>
      <c r="N337" s="348"/>
    </row>
    <row r="338" spans="2:14" x14ac:dyDescent="0.25">
      <c r="B338" s="342"/>
      <c r="C338" s="343"/>
      <c r="D338" s="343"/>
      <c r="E338" s="343"/>
      <c r="F338" s="344"/>
      <c r="G338" s="345"/>
      <c r="H338" s="346"/>
      <c r="I338" s="346"/>
      <c r="J338" s="345"/>
      <c r="K338" s="347"/>
      <c r="L338" s="340"/>
      <c r="N338" s="348"/>
    </row>
    <row r="339" spans="2:14" x14ac:dyDescent="0.25">
      <c r="B339" s="342"/>
      <c r="C339" s="343"/>
      <c r="D339" s="343"/>
      <c r="E339" s="343"/>
      <c r="F339" s="344"/>
      <c r="G339" s="345"/>
      <c r="H339" s="346"/>
      <c r="I339" s="346"/>
      <c r="J339" s="345"/>
      <c r="K339" s="347"/>
      <c r="L339" s="340"/>
      <c r="N339" s="348"/>
    </row>
    <row r="340" spans="2:14" x14ac:dyDescent="0.25">
      <c r="B340" s="342"/>
      <c r="C340" s="343"/>
      <c r="D340" s="343"/>
      <c r="E340" s="343"/>
      <c r="F340" s="344"/>
      <c r="G340" s="345"/>
      <c r="H340" s="346"/>
      <c r="I340" s="346"/>
      <c r="J340" s="345"/>
      <c r="K340" s="347"/>
      <c r="L340" s="340"/>
      <c r="N340" s="348"/>
    </row>
    <row r="341" spans="2:14" x14ac:dyDescent="0.25">
      <c r="B341" s="342"/>
      <c r="C341" s="343"/>
      <c r="D341" s="343"/>
      <c r="E341" s="343"/>
      <c r="F341" s="344"/>
      <c r="G341" s="345"/>
      <c r="H341" s="346"/>
      <c r="I341" s="346"/>
      <c r="J341" s="345"/>
      <c r="K341" s="347"/>
      <c r="L341" s="340"/>
      <c r="N341" s="348"/>
    </row>
    <row r="342" spans="2:14" x14ac:dyDescent="0.25">
      <c r="B342" s="342"/>
      <c r="C342" s="343"/>
      <c r="D342" s="343"/>
      <c r="E342" s="343"/>
      <c r="F342" s="344"/>
      <c r="G342" s="345"/>
      <c r="H342" s="346"/>
      <c r="I342" s="346"/>
      <c r="J342" s="345"/>
      <c r="K342" s="347"/>
      <c r="L342" s="340"/>
      <c r="N342" s="348"/>
    </row>
    <row r="343" spans="2:14" x14ac:dyDescent="0.25">
      <c r="B343" s="342"/>
      <c r="C343" s="343"/>
      <c r="D343" s="343"/>
      <c r="E343" s="343"/>
      <c r="F343" s="344"/>
      <c r="G343" s="345"/>
      <c r="H343" s="346"/>
      <c r="I343" s="346"/>
      <c r="J343" s="345"/>
      <c r="K343" s="347"/>
      <c r="L343" s="340"/>
      <c r="N343" s="348"/>
    </row>
    <row r="344" spans="2:14" x14ac:dyDescent="0.25">
      <c r="B344" s="342"/>
      <c r="C344" s="343"/>
      <c r="D344" s="343"/>
      <c r="E344" s="343"/>
      <c r="F344" s="344"/>
      <c r="G344" s="345"/>
      <c r="H344" s="346"/>
      <c r="I344" s="346"/>
      <c r="J344" s="345"/>
      <c r="K344" s="347"/>
      <c r="L344" s="340"/>
      <c r="N344" s="348"/>
    </row>
    <row r="345" spans="2:14" x14ac:dyDescent="0.25">
      <c r="B345" s="342"/>
      <c r="C345" s="343"/>
      <c r="D345" s="343"/>
      <c r="E345" s="343"/>
      <c r="F345" s="344"/>
      <c r="G345" s="345"/>
      <c r="H345" s="346"/>
      <c r="I345" s="346"/>
      <c r="J345" s="345"/>
      <c r="K345" s="347"/>
      <c r="L345" s="340"/>
      <c r="N345" s="348"/>
    </row>
    <row r="346" spans="2:14" x14ac:dyDescent="0.25">
      <c r="B346" s="342"/>
      <c r="C346" s="343"/>
      <c r="D346" s="343"/>
      <c r="E346" s="343"/>
      <c r="F346" s="344"/>
      <c r="G346" s="345"/>
      <c r="H346" s="346"/>
      <c r="I346" s="346"/>
      <c r="J346" s="345"/>
      <c r="K346" s="347"/>
      <c r="L346" s="340"/>
      <c r="N346" s="348"/>
    </row>
    <row r="347" spans="2:14" x14ac:dyDescent="0.25">
      <c r="B347" s="342"/>
      <c r="C347" s="343"/>
      <c r="D347" s="343"/>
      <c r="E347" s="343"/>
      <c r="F347" s="344"/>
      <c r="G347" s="345"/>
      <c r="H347" s="346"/>
      <c r="I347" s="346"/>
      <c r="J347" s="345"/>
      <c r="K347" s="347"/>
      <c r="L347" s="340"/>
      <c r="N347" s="348"/>
    </row>
    <row r="348" spans="2:14" x14ac:dyDescent="0.25">
      <c r="B348" s="342"/>
      <c r="C348" s="343"/>
      <c r="D348" s="343"/>
      <c r="E348" s="343"/>
      <c r="F348" s="344"/>
      <c r="G348" s="345"/>
      <c r="H348" s="346"/>
      <c r="I348" s="346"/>
      <c r="J348" s="345"/>
      <c r="K348" s="347"/>
      <c r="L348" s="340"/>
      <c r="N348" s="348"/>
    </row>
    <row r="349" spans="2:14" x14ac:dyDescent="0.25">
      <c r="B349" s="342"/>
      <c r="C349" s="343"/>
      <c r="D349" s="343"/>
      <c r="E349" s="343"/>
      <c r="F349" s="344"/>
      <c r="G349" s="345"/>
      <c r="H349" s="346"/>
      <c r="I349" s="346"/>
      <c r="J349" s="345"/>
      <c r="K349" s="347"/>
      <c r="L349" s="340"/>
      <c r="N349" s="348"/>
    </row>
    <row r="350" spans="2:14" x14ac:dyDescent="0.25">
      <c r="B350" s="342"/>
      <c r="C350" s="343"/>
      <c r="D350" s="343"/>
      <c r="E350" s="343"/>
      <c r="F350" s="344"/>
      <c r="G350" s="345"/>
      <c r="H350" s="346"/>
      <c r="I350" s="346"/>
      <c r="J350" s="345"/>
      <c r="K350" s="347"/>
      <c r="L350" s="340"/>
      <c r="N350" s="348"/>
    </row>
    <row r="351" spans="2:14" x14ac:dyDescent="0.25">
      <c r="B351" s="342"/>
      <c r="C351" s="343"/>
      <c r="D351" s="343"/>
      <c r="E351" s="343"/>
      <c r="F351" s="344"/>
      <c r="G351" s="345"/>
      <c r="H351" s="346"/>
      <c r="I351" s="346"/>
      <c r="J351" s="345"/>
      <c r="K351" s="347"/>
      <c r="L351" s="340"/>
      <c r="N351" s="348"/>
    </row>
    <row r="352" spans="2:14" x14ac:dyDescent="0.25">
      <c r="B352" s="342"/>
      <c r="C352" s="343"/>
      <c r="D352" s="343"/>
      <c r="E352" s="343"/>
      <c r="F352" s="344"/>
      <c r="G352" s="345"/>
      <c r="H352" s="346"/>
      <c r="I352" s="346"/>
      <c r="J352" s="345"/>
      <c r="K352" s="347"/>
      <c r="L352" s="340"/>
      <c r="N352" s="348"/>
    </row>
    <row r="353" spans="2:14" x14ac:dyDescent="0.25">
      <c r="B353" s="342"/>
      <c r="C353" s="343"/>
      <c r="D353" s="343"/>
      <c r="E353" s="343"/>
      <c r="F353" s="344"/>
      <c r="G353" s="345"/>
      <c r="H353" s="346"/>
      <c r="I353" s="346"/>
      <c r="J353" s="345"/>
      <c r="K353" s="347"/>
      <c r="L353" s="340"/>
      <c r="N353" s="348"/>
    </row>
    <row r="354" spans="2:14" x14ac:dyDescent="0.25">
      <c r="B354" s="342"/>
      <c r="C354" s="343"/>
      <c r="D354" s="343"/>
      <c r="E354" s="343"/>
      <c r="F354" s="344"/>
      <c r="G354" s="345"/>
      <c r="H354" s="346"/>
      <c r="I354" s="346"/>
      <c r="J354" s="345"/>
      <c r="K354" s="347"/>
      <c r="L354" s="340"/>
      <c r="N354" s="348"/>
    </row>
    <row r="355" spans="2:14" x14ac:dyDescent="0.25">
      <c r="B355" s="342"/>
      <c r="C355" s="343"/>
      <c r="D355" s="343"/>
      <c r="E355" s="343"/>
      <c r="F355" s="344"/>
      <c r="G355" s="345"/>
      <c r="H355" s="346"/>
      <c r="I355" s="346"/>
      <c r="J355" s="345"/>
      <c r="K355" s="347"/>
      <c r="L355" s="340"/>
      <c r="N355" s="348"/>
    </row>
    <row r="356" spans="2:14" x14ac:dyDescent="0.25">
      <c r="B356" s="342"/>
      <c r="C356" s="343"/>
      <c r="D356" s="343"/>
      <c r="E356" s="343"/>
      <c r="F356" s="344"/>
      <c r="G356" s="345"/>
      <c r="H356" s="346"/>
      <c r="I356" s="346"/>
      <c r="J356" s="345"/>
      <c r="K356" s="347"/>
      <c r="L356" s="340"/>
      <c r="N356" s="348"/>
    </row>
    <row r="357" spans="2:14" x14ac:dyDescent="0.25">
      <c r="B357" s="342"/>
      <c r="C357" s="343"/>
      <c r="D357" s="343"/>
      <c r="E357" s="343"/>
      <c r="F357" s="344"/>
      <c r="G357" s="345"/>
      <c r="H357" s="346"/>
      <c r="I357" s="346"/>
      <c r="J357" s="345"/>
      <c r="K357" s="347"/>
      <c r="L357" s="340"/>
      <c r="N357" s="348"/>
    </row>
    <row r="358" spans="2:14" x14ac:dyDescent="0.25">
      <c r="B358" s="342"/>
      <c r="C358" s="343"/>
      <c r="D358" s="343"/>
      <c r="E358" s="343"/>
      <c r="F358" s="344"/>
      <c r="G358" s="345"/>
      <c r="H358" s="346"/>
      <c r="I358" s="346"/>
      <c r="J358" s="345"/>
      <c r="K358" s="347"/>
      <c r="L358" s="340"/>
      <c r="N358" s="348"/>
    </row>
    <row r="359" spans="2:14" x14ac:dyDescent="0.25">
      <c r="B359" s="342"/>
      <c r="C359" s="343"/>
      <c r="D359" s="343"/>
      <c r="E359" s="343"/>
      <c r="F359" s="344"/>
      <c r="G359" s="345"/>
      <c r="H359" s="346"/>
      <c r="I359" s="346"/>
      <c r="J359" s="345"/>
      <c r="K359" s="347"/>
      <c r="L359" s="340"/>
      <c r="N359" s="348"/>
    </row>
    <row r="360" spans="2:14" x14ac:dyDescent="0.25">
      <c r="B360" s="342"/>
      <c r="C360" s="343"/>
      <c r="D360" s="343"/>
      <c r="E360" s="343"/>
      <c r="F360" s="344"/>
      <c r="G360" s="345"/>
      <c r="H360" s="346"/>
      <c r="I360" s="346"/>
      <c r="J360" s="345"/>
      <c r="K360" s="347"/>
      <c r="L360" s="340"/>
      <c r="N360" s="348"/>
    </row>
    <row r="361" spans="2:14" x14ac:dyDescent="0.25">
      <c r="B361" s="342"/>
      <c r="C361" s="343"/>
      <c r="D361" s="343"/>
      <c r="E361" s="343"/>
      <c r="F361" s="344"/>
      <c r="G361" s="345"/>
      <c r="H361" s="346"/>
      <c r="I361" s="346"/>
      <c r="J361" s="345"/>
      <c r="K361" s="347"/>
      <c r="L361" s="340"/>
      <c r="N361" s="348"/>
    </row>
    <row r="362" spans="2:14" x14ac:dyDescent="0.25">
      <c r="B362" s="342"/>
      <c r="C362" s="343"/>
      <c r="D362" s="343"/>
      <c r="E362" s="343"/>
      <c r="F362" s="344"/>
      <c r="G362" s="345"/>
      <c r="H362" s="346"/>
      <c r="I362" s="346"/>
      <c r="J362" s="345"/>
      <c r="K362" s="347"/>
      <c r="L362" s="340"/>
      <c r="N362" s="348"/>
    </row>
    <row r="363" spans="2:14" x14ac:dyDescent="0.25">
      <c r="B363" s="342"/>
      <c r="C363" s="343"/>
      <c r="D363" s="343"/>
      <c r="E363" s="343"/>
      <c r="F363" s="344"/>
      <c r="G363" s="345"/>
      <c r="H363" s="346"/>
      <c r="I363" s="346"/>
      <c r="J363" s="345"/>
      <c r="K363" s="347"/>
      <c r="L363" s="340"/>
      <c r="N363" s="348"/>
    </row>
    <row r="364" spans="2:14" x14ac:dyDescent="0.25">
      <c r="B364" s="342"/>
      <c r="C364" s="343"/>
      <c r="D364" s="343"/>
      <c r="E364" s="343"/>
      <c r="F364" s="344"/>
      <c r="G364" s="345"/>
      <c r="H364" s="346"/>
      <c r="I364" s="346"/>
      <c r="J364" s="345"/>
      <c r="K364" s="347"/>
      <c r="L364" s="340"/>
      <c r="N364" s="348"/>
    </row>
    <row r="365" spans="2:14" x14ac:dyDescent="0.25">
      <c r="B365" s="342"/>
      <c r="C365" s="343"/>
      <c r="D365" s="343"/>
      <c r="E365" s="343"/>
      <c r="F365" s="344"/>
      <c r="G365" s="345"/>
      <c r="H365" s="346"/>
      <c r="I365" s="346"/>
      <c r="J365" s="345"/>
      <c r="K365" s="347"/>
      <c r="L365" s="340"/>
      <c r="N365" s="348"/>
    </row>
    <row r="366" spans="2:14" x14ac:dyDescent="0.25">
      <c r="B366" s="342"/>
      <c r="C366" s="343"/>
      <c r="D366" s="343"/>
      <c r="E366" s="343"/>
      <c r="F366" s="344"/>
      <c r="G366" s="345"/>
      <c r="H366" s="346"/>
      <c r="I366" s="346"/>
      <c r="J366" s="345"/>
      <c r="K366" s="347"/>
      <c r="L366" s="340"/>
      <c r="N366" s="348"/>
    </row>
    <row r="367" spans="2:14" x14ac:dyDescent="0.25">
      <c r="B367" s="342"/>
      <c r="C367" s="343"/>
      <c r="D367" s="343"/>
      <c r="E367" s="343"/>
      <c r="F367" s="344"/>
      <c r="G367" s="345"/>
      <c r="H367" s="346"/>
      <c r="I367" s="346"/>
      <c r="J367" s="345"/>
      <c r="K367" s="347"/>
      <c r="L367" s="340"/>
      <c r="N367" s="348"/>
    </row>
    <row r="368" spans="2:14" x14ac:dyDescent="0.25">
      <c r="B368" s="342"/>
      <c r="C368" s="343"/>
      <c r="D368" s="343"/>
      <c r="E368" s="343"/>
      <c r="F368" s="344"/>
      <c r="G368" s="345"/>
      <c r="H368" s="346"/>
      <c r="I368" s="346"/>
      <c r="J368" s="345"/>
      <c r="K368" s="347"/>
      <c r="L368" s="340"/>
      <c r="N368" s="348"/>
    </row>
    <row r="369" spans="2:14" x14ac:dyDescent="0.25">
      <c r="B369" s="342"/>
      <c r="C369" s="343"/>
      <c r="D369" s="343"/>
      <c r="E369" s="343"/>
      <c r="F369" s="344"/>
      <c r="G369" s="345"/>
      <c r="H369" s="346"/>
      <c r="I369" s="346"/>
      <c r="J369" s="345"/>
      <c r="K369" s="347"/>
      <c r="L369" s="340"/>
      <c r="N369" s="348"/>
    </row>
    <row r="370" spans="2:14" x14ac:dyDescent="0.25">
      <c r="B370" s="342"/>
      <c r="C370" s="343"/>
      <c r="D370" s="343"/>
      <c r="E370" s="343"/>
      <c r="F370" s="344"/>
      <c r="G370" s="345"/>
      <c r="H370" s="346"/>
      <c r="I370" s="346"/>
      <c r="J370" s="345"/>
      <c r="K370" s="347"/>
      <c r="L370" s="340"/>
      <c r="N370" s="348"/>
    </row>
    <row r="371" spans="2:14" x14ac:dyDescent="0.25">
      <c r="B371" s="342"/>
      <c r="C371" s="343"/>
      <c r="D371" s="343"/>
      <c r="E371" s="343"/>
      <c r="F371" s="344"/>
      <c r="G371" s="345"/>
      <c r="H371" s="346"/>
      <c r="I371" s="346"/>
      <c r="J371" s="345"/>
      <c r="K371" s="347"/>
      <c r="L371" s="340"/>
      <c r="N371" s="348"/>
    </row>
    <row r="372" spans="2:14" x14ac:dyDescent="0.25">
      <c r="B372" s="342"/>
      <c r="C372" s="343"/>
      <c r="D372" s="343"/>
      <c r="E372" s="343"/>
      <c r="F372" s="344"/>
      <c r="G372" s="345"/>
      <c r="H372" s="346"/>
      <c r="I372" s="346"/>
      <c r="J372" s="345"/>
      <c r="K372" s="347"/>
      <c r="L372" s="340"/>
      <c r="N372" s="348"/>
    </row>
    <row r="373" spans="2:14" x14ac:dyDescent="0.25">
      <c r="B373" s="342"/>
      <c r="C373" s="343"/>
      <c r="D373" s="343"/>
      <c r="E373" s="343"/>
      <c r="F373" s="344"/>
      <c r="G373" s="345"/>
      <c r="H373" s="346"/>
      <c r="I373" s="346"/>
      <c r="J373" s="345"/>
      <c r="K373" s="347"/>
      <c r="L373" s="340"/>
      <c r="N373" s="348"/>
    </row>
    <row r="374" spans="2:14" x14ac:dyDescent="0.25">
      <c r="B374" s="342"/>
      <c r="C374" s="343"/>
      <c r="D374" s="343"/>
      <c r="E374" s="343"/>
      <c r="F374" s="344"/>
      <c r="G374" s="345"/>
      <c r="H374" s="346"/>
      <c r="I374" s="346"/>
      <c r="J374" s="345"/>
      <c r="K374" s="347"/>
      <c r="L374" s="340"/>
      <c r="N374" s="348"/>
    </row>
    <row r="375" spans="2:14" x14ac:dyDescent="0.25">
      <c r="B375" s="342"/>
      <c r="C375" s="343"/>
      <c r="D375" s="343"/>
      <c r="E375" s="343"/>
      <c r="F375" s="344"/>
      <c r="G375" s="345"/>
      <c r="H375" s="346"/>
      <c r="I375" s="346"/>
      <c r="J375" s="345"/>
      <c r="K375" s="347"/>
      <c r="L375" s="340"/>
      <c r="N375" s="348"/>
    </row>
    <row r="376" spans="2:14" x14ac:dyDescent="0.25">
      <c r="B376" s="342"/>
      <c r="C376" s="343"/>
      <c r="D376" s="343"/>
      <c r="E376" s="343"/>
      <c r="F376" s="344"/>
      <c r="G376" s="345"/>
      <c r="H376" s="346"/>
      <c r="I376" s="346"/>
      <c r="J376" s="345"/>
      <c r="K376" s="347"/>
      <c r="L376" s="340"/>
      <c r="N376" s="348"/>
    </row>
    <row r="377" spans="2:14" x14ac:dyDescent="0.25">
      <c r="B377" s="342"/>
      <c r="C377" s="343"/>
      <c r="D377" s="343"/>
      <c r="E377" s="343"/>
      <c r="F377" s="344"/>
      <c r="G377" s="345"/>
      <c r="H377" s="346"/>
      <c r="I377" s="346"/>
      <c r="J377" s="345"/>
      <c r="K377" s="347"/>
      <c r="L377" s="340"/>
      <c r="N377" s="348"/>
    </row>
    <row r="378" spans="2:14" x14ac:dyDescent="0.25">
      <c r="B378" s="342"/>
      <c r="C378" s="343"/>
      <c r="D378" s="343"/>
      <c r="E378" s="343"/>
      <c r="F378" s="344"/>
      <c r="G378" s="345"/>
      <c r="H378" s="346"/>
      <c r="I378" s="346"/>
      <c r="J378" s="345"/>
      <c r="K378" s="347"/>
      <c r="L378" s="340"/>
      <c r="N378" s="348"/>
    </row>
    <row r="379" spans="2:14" x14ac:dyDescent="0.25">
      <c r="B379" s="342"/>
      <c r="C379" s="343"/>
      <c r="D379" s="343"/>
      <c r="E379" s="343"/>
      <c r="F379" s="344"/>
      <c r="G379" s="345"/>
      <c r="H379" s="346"/>
      <c r="I379" s="346"/>
      <c r="J379" s="345"/>
      <c r="K379" s="347"/>
      <c r="L379" s="340"/>
      <c r="N379" s="348"/>
    </row>
    <row r="380" spans="2:14" x14ac:dyDescent="0.25">
      <c r="B380" s="342"/>
      <c r="C380" s="343"/>
      <c r="D380" s="343"/>
      <c r="E380" s="343"/>
      <c r="F380" s="344"/>
      <c r="G380" s="345"/>
      <c r="H380" s="346"/>
      <c r="I380" s="346"/>
      <c r="J380" s="345"/>
      <c r="K380" s="347"/>
      <c r="L380" s="340"/>
      <c r="N380" s="348"/>
    </row>
    <row r="381" spans="2:14" x14ac:dyDescent="0.25">
      <c r="B381" s="342"/>
      <c r="C381" s="343"/>
      <c r="D381" s="343"/>
      <c r="E381" s="343"/>
      <c r="F381" s="344"/>
      <c r="G381" s="345"/>
      <c r="H381" s="346"/>
      <c r="I381" s="346"/>
      <c r="J381" s="345"/>
      <c r="K381" s="347"/>
      <c r="L381" s="340"/>
      <c r="N381" s="348"/>
    </row>
    <row r="382" spans="2:14" x14ac:dyDescent="0.25">
      <c r="B382" s="342"/>
      <c r="C382" s="343"/>
      <c r="D382" s="343"/>
      <c r="E382" s="343"/>
      <c r="F382" s="344"/>
      <c r="G382" s="345"/>
      <c r="H382" s="346"/>
      <c r="I382" s="346"/>
      <c r="J382" s="345"/>
      <c r="K382" s="347"/>
      <c r="L382" s="340"/>
      <c r="N382" s="348"/>
    </row>
    <row r="383" spans="2:14" x14ac:dyDescent="0.25">
      <c r="B383" s="342"/>
      <c r="C383" s="343"/>
      <c r="D383" s="343"/>
      <c r="E383" s="343"/>
      <c r="F383" s="344"/>
      <c r="G383" s="345"/>
      <c r="H383" s="346"/>
      <c r="I383" s="346"/>
      <c r="J383" s="345"/>
      <c r="K383" s="347"/>
      <c r="L383" s="340"/>
      <c r="N383" s="348"/>
    </row>
    <row r="384" spans="2:14" x14ac:dyDescent="0.25">
      <c r="B384" s="342"/>
      <c r="C384" s="343"/>
      <c r="D384" s="343"/>
      <c r="E384" s="343"/>
      <c r="F384" s="344"/>
      <c r="G384" s="345"/>
      <c r="H384" s="346"/>
      <c r="I384" s="346"/>
      <c r="J384" s="345"/>
      <c r="K384" s="347"/>
      <c r="L384" s="340"/>
      <c r="N384" s="348"/>
    </row>
    <row r="385" spans="2:14" x14ac:dyDescent="0.25">
      <c r="B385" s="342"/>
      <c r="C385" s="343"/>
      <c r="D385" s="343"/>
      <c r="E385" s="343"/>
      <c r="F385" s="344"/>
      <c r="G385" s="345"/>
      <c r="H385" s="346"/>
      <c r="I385" s="346"/>
      <c r="J385" s="345"/>
      <c r="K385" s="347"/>
      <c r="L385" s="340"/>
      <c r="N385" s="348"/>
    </row>
    <row r="386" spans="2:14" x14ac:dyDescent="0.25">
      <c r="B386" s="342"/>
      <c r="C386" s="343"/>
      <c r="D386" s="343"/>
      <c r="E386" s="343"/>
      <c r="F386" s="344"/>
      <c r="G386" s="345"/>
      <c r="H386" s="346"/>
      <c r="I386" s="346"/>
      <c r="J386" s="345"/>
      <c r="K386" s="347"/>
      <c r="L386" s="340"/>
      <c r="N386" s="348"/>
    </row>
    <row r="387" spans="2:14" x14ac:dyDescent="0.25">
      <c r="B387" s="342"/>
      <c r="C387" s="343"/>
      <c r="D387" s="343"/>
      <c r="E387" s="343"/>
      <c r="F387" s="344"/>
      <c r="G387" s="345"/>
      <c r="H387" s="346"/>
      <c r="I387" s="346"/>
      <c r="J387" s="345"/>
      <c r="K387" s="347"/>
      <c r="L387" s="340"/>
      <c r="N387" s="348"/>
    </row>
    <row r="388" spans="2:14" x14ac:dyDescent="0.25">
      <c r="B388" s="342"/>
      <c r="C388" s="343"/>
      <c r="D388" s="343"/>
      <c r="E388" s="343"/>
      <c r="F388" s="344"/>
      <c r="G388" s="345"/>
      <c r="H388" s="346"/>
      <c r="I388" s="346"/>
      <c r="J388" s="345"/>
      <c r="K388" s="347"/>
      <c r="L388" s="340"/>
      <c r="N388" s="348"/>
    </row>
    <row r="389" spans="2:14" x14ac:dyDescent="0.25">
      <c r="B389" s="342"/>
      <c r="C389" s="343"/>
      <c r="D389" s="343"/>
      <c r="E389" s="343"/>
      <c r="F389" s="344"/>
      <c r="G389" s="345"/>
      <c r="H389" s="346"/>
      <c r="I389" s="346"/>
      <c r="J389" s="345"/>
      <c r="K389" s="347"/>
      <c r="L389" s="340"/>
      <c r="N389" s="348"/>
    </row>
    <row r="390" spans="2:14" x14ac:dyDescent="0.25">
      <c r="B390" s="342"/>
      <c r="C390" s="343"/>
      <c r="D390" s="343"/>
      <c r="E390" s="343"/>
      <c r="F390" s="344"/>
      <c r="G390" s="345"/>
      <c r="H390" s="346"/>
      <c r="I390" s="346"/>
      <c r="J390" s="345"/>
      <c r="K390" s="347"/>
      <c r="L390" s="340"/>
      <c r="N390" s="348"/>
    </row>
    <row r="391" spans="2:14" x14ac:dyDescent="0.25">
      <c r="B391" s="342"/>
      <c r="C391" s="343"/>
      <c r="D391" s="343"/>
      <c r="E391" s="343"/>
      <c r="F391" s="344"/>
      <c r="G391" s="345"/>
      <c r="H391" s="346"/>
      <c r="I391" s="346"/>
      <c r="J391" s="345"/>
      <c r="K391" s="347"/>
      <c r="L391" s="340"/>
      <c r="N391" s="348"/>
    </row>
    <row r="392" spans="2:14" x14ac:dyDescent="0.25">
      <c r="B392" s="342"/>
      <c r="C392" s="343"/>
      <c r="D392" s="343"/>
      <c r="E392" s="343"/>
      <c r="F392" s="344"/>
      <c r="G392" s="345"/>
      <c r="H392" s="346"/>
      <c r="I392" s="346"/>
      <c r="J392" s="345"/>
      <c r="K392" s="347"/>
      <c r="L392" s="340"/>
      <c r="N392" s="348"/>
    </row>
    <row r="393" spans="2:14" x14ac:dyDescent="0.25">
      <c r="B393" s="342"/>
      <c r="C393" s="343"/>
      <c r="D393" s="343"/>
      <c r="E393" s="343"/>
      <c r="F393" s="344"/>
      <c r="G393" s="345"/>
      <c r="H393" s="346"/>
      <c r="I393" s="346"/>
      <c r="J393" s="345"/>
      <c r="K393" s="347"/>
      <c r="L393" s="340"/>
      <c r="N393" s="348"/>
    </row>
    <row r="394" spans="2:14" x14ac:dyDescent="0.25">
      <c r="B394" s="342"/>
      <c r="C394" s="343"/>
      <c r="D394" s="343"/>
      <c r="E394" s="343"/>
      <c r="F394" s="344"/>
      <c r="G394" s="345"/>
      <c r="H394" s="346"/>
      <c r="I394" s="346"/>
      <c r="J394" s="345"/>
      <c r="K394" s="347"/>
      <c r="L394" s="340"/>
      <c r="N394" s="348"/>
    </row>
    <row r="395" spans="2:14" x14ac:dyDescent="0.25">
      <c r="B395" s="342"/>
      <c r="C395" s="343"/>
      <c r="D395" s="343"/>
      <c r="E395" s="343"/>
      <c r="F395" s="344"/>
      <c r="G395" s="345"/>
      <c r="H395" s="346"/>
      <c r="I395" s="346"/>
      <c r="J395" s="345"/>
      <c r="K395" s="347"/>
      <c r="L395" s="340"/>
      <c r="N395" s="348"/>
    </row>
    <row r="396" spans="2:14" x14ac:dyDescent="0.25">
      <c r="B396" s="342"/>
      <c r="C396" s="343"/>
      <c r="D396" s="343"/>
      <c r="E396" s="343"/>
      <c r="F396" s="344"/>
      <c r="G396" s="345"/>
      <c r="H396" s="346"/>
      <c r="I396" s="346"/>
      <c r="J396" s="345"/>
      <c r="K396" s="347"/>
      <c r="L396" s="340"/>
      <c r="N396" s="348"/>
    </row>
    <row r="397" spans="2:14" x14ac:dyDescent="0.25">
      <c r="B397" s="342"/>
      <c r="C397" s="343"/>
      <c r="D397" s="343"/>
      <c r="E397" s="343"/>
      <c r="F397" s="344"/>
      <c r="G397" s="345"/>
      <c r="H397" s="346"/>
      <c r="I397" s="346"/>
      <c r="J397" s="345"/>
      <c r="K397" s="347"/>
      <c r="L397" s="340"/>
      <c r="N397" s="348"/>
    </row>
    <row r="398" spans="2:14" x14ac:dyDescent="0.25">
      <c r="B398" s="342"/>
      <c r="C398" s="343"/>
      <c r="D398" s="343"/>
      <c r="E398" s="343"/>
      <c r="F398" s="344"/>
      <c r="G398" s="345"/>
      <c r="H398" s="346"/>
      <c r="I398" s="346"/>
      <c r="J398" s="345"/>
      <c r="K398" s="347"/>
      <c r="L398" s="340"/>
      <c r="N398" s="348"/>
    </row>
    <row r="399" spans="2:14" x14ac:dyDescent="0.25">
      <c r="B399" s="342"/>
      <c r="C399" s="343"/>
      <c r="D399" s="343"/>
      <c r="E399" s="343"/>
      <c r="F399" s="344"/>
      <c r="G399" s="345"/>
      <c r="H399" s="346"/>
      <c r="I399" s="346"/>
      <c r="J399" s="345"/>
      <c r="K399" s="347"/>
      <c r="L399" s="340"/>
      <c r="N399" s="348"/>
    </row>
    <row r="400" spans="2:14" x14ac:dyDescent="0.25">
      <c r="B400" s="342"/>
      <c r="C400" s="343"/>
      <c r="D400" s="343"/>
      <c r="E400" s="343"/>
      <c r="F400" s="344"/>
      <c r="G400" s="345"/>
      <c r="H400" s="346"/>
      <c r="I400" s="346"/>
      <c r="J400" s="345"/>
      <c r="K400" s="347"/>
      <c r="L400" s="340"/>
      <c r="N400" s="348"/>
    </row>
    <row r="401" spans="2:14" x14ac:dyDescent="0.25">
      <c r="B401" s="342"/>
      <c r="C401" s="343"/>
      <c r="D401" s="343"/>
      <c r="E401" s="343"/>
      <c r="F401" s="344"/>
      <c r="G401" s="345"/>
      <c r="H401" s="346"/>
      <c r="I401" s="346"/>
      <c r="J401" s="345"/>
      <c r="K401" s="347"/>
      <c r="L401" s="340"/>
      <c r="N401" s="348"/>
    </row>
    <row r="402" spans="2:14" x14ac:dyDescent="0.25">
      <c r="B402" s="342"/>
      <c r="C402" s="343"/>
      <c r="D402" s="343"/>
      <c r="E402" s="343"/>
      <c r="F402" s="344"/>
      <c r="G402" s="345"/>
      <c r="H402" s="346"/>
      <c r="I402" s="346"/>
      <c r="J402" s="345"/>
      <c r="K402" s="347"/>
      <c r="L402" s="340"/>
      <c r="N402" s="348"/>
    </row>
    <row r="403" spans="2:14" x14ac:dyDescent="0.25">
      <c r="B403" s="342"/>
      <c r="C403" s="343"/>
      <c r="D403" s="343"/>
      <c r="E403" s="343"/>
      <c r="F403" s="344"/>
      <c r="G403" s="345"/>
      <c r="H403" s="346"/>
      <c r="I403" s="346"/>
      <c r="J403" s="345"/>
      <c r="K403" s="347"/>
      <c r="L403" s="340"/>
      <c r="N403" s="348"/>
    </row>
    <row r="404" spans="2:14" x14ac:dyDescent="0.25">
      <c r="B404" s="342"/>
      <c r="C404" s="343"/>
      <c r="D404" s="343"/>
      <c r="E404" s="343"/>
      <c r="F404" s="344"/>
      <c r="G404" s="345"/>
      <c r="H404" s="346"/>
      <c r="I404" s="346"/>
      <c r="J404" s="345"/>
      <c r="K404" s="347"/>
      <c r="L404" s="340"/>
      <c r="N404" s="348"/>
    </row>
    <row r="405" spans="2:14" x14ac:dyDescent="0.25">
      <c r="B405" s="342"/>
      <c r="C405" s="343"/>
      <c r="D405" s="343"/>
      <c r="E405" s="343"/>
      <c r="F405" s="344"/>
      <c r="G405" s="345"/>
      <c r="H405" s="346"/>
      <c r="I405" s="346"/>
      <c r="J405" s="345"/>
      <c r="K405" s="347"/>
      <c r="L405" s="340"/>
      <c r="N405" s="348"/>
    </row>
    <row r="406" spans="2:14" x14ac:dyDescent="0.25">
      <c r="B406" s="342"/>
      <c r="C406" s="343"/>
      <c r="D406" s="343"/>
      <c r="E406" s="343"/>
      <c r="F406" s="344"/>
      <c r="G406" s="345"/>
      <c r="H406" s="346"/>
      <c r="I406" s="346"/>
      <c r="J406" s="345"/>
      <c r="K406" s="347"/>
      <c r="L406" s="340"/>
      <c r="N406" s="348"/>
    </row>
    <row r="407" spans="2:14" x14ac:dyDescent="0.25">
      <c r="B407" s="342"/>
      <c r="C407" s="343"/>
      <c r="D407" s="343"/>
      <c r="E407" s="343"/>
      <c r="F407" s="344"/>
      <c r="G407" s="345"/>
      <c r="H407" s="346"/>
      <c r="I407" s="346"/>
      <c r="J407" s="345"/>
      <c r="K407" s="347"/>
      <c r="L407" s="340"/>
      <c r="N407" s="348"/>
    </row>
    <row r="408" spans="2:14" x14ac:dyDescent="0.25">
      <c r="B408" s="342"/>
      <c r="C408" s="343"/>
      <c r="D408" s="343"/>
      <c r="E408" s="343"/>
      <c r="F408" s="344"/>
      <c r="G408" s="345"/>
      <c r="H408" s="346"/>
      <c r="I408" s="346"/>
      <c r="J408" s="345"/>
      <c r="K408" s="347"/>
      <c r="L408" s="340"/>
      <c r="N408" s="348"/>
    </row>
    <row r="409" spans="2:14" x14ac:dyDescent="0.25">
      <c r="B409" s="342"/>
      <c r="C409" s="343"/>
      <c r="D409" s="343"/>
      <c r="E409" s="343"/>
      <c r="F409" s="344"/>
      <c r="G409" s="345"/>
      <c r="H409" s="346"/>
      <c r="I409" s="346"/>
      <c r="J409" s="345"/>
      <c r="K409" s="347"/>
      <c r="L409" s="340"/>
      <c r="N409" s="348"/>
    </row>
    <row r="410" spans="2:14" x14ac:dyDescent="0.25">
      <c r="B410" s="342"/>
      <c r="C410" s="343"/>
      <c r="D410" s="343"/>
      <c r="E410" s="343"/>
      <c r="F410" s="344"/>
      <c r="G410" s="345"/>
      <c r="H410" s="346"/>
      <c r="I410" s="346"/>
      <c r="J410" s="345"/>
      <c r="K410" s="347"/>
      <c r="L410" s="340"/>
      <c r="N410" s="348"/>
    </row>
    <row r="411" spans="2:14" x14ac:dyDescent="0.25">
      <c r="B411" s="342"/>
      <c r="C411" s="343"/>
      <c r="D411" s="343"/>
      <c r="E411" s="343"/>
      <c r="F411" s="344"/>
      <c r="G411" s="345"/>
      <c r="H411" s="346"/>
      <c r="I411" s="346"/>
      <c r="J411" s="345"/>
      <c r="K411" s="347"/>
      <c r="L411" s="340"/>
      <c r="N411" s="348"/>
    </row>
    <row r="412" spans="2:14" x14ac:dyDescent="0.25">
      <c r="B412" s="342"/>
      <c r="C412" s="343"/>
      <c r="D412" s="343"/>
      <c r="E412" s="343"/>
      <c r="F412" s="344"/>
      <c r="G412" s="345"/>
      <c r="H412" s="346"/>
      <c r="I412" s="346"/>
      <c r="J412" s="345"/>
      <c r="K412" s="347"/>
      <c r="L412" s="340"/>
      <c r="N412" s="348"/>
    </row>
    <row r="413" spans="2:14" x14ac:dyDescent="0.25">
      <c r="B413" s="342"/>
      <c r="C413" s="343"/>
      <c r="D413" s="343"/>
      <c r="E413" s="343"/>
      <c r="F413" s="344"/>
      <c r="G413" s="345"/>
      <c r="H413" s="346"/>
      <c r="I413" s="346"/>
      <c r="J413" s="345"/>
      <c r="K413" s="347"/>
      <c r="L413" s="340"/>
      <c r="N413" s="348"/>
    </row>
    <row r="414" spans="2:14" x14ac:dyDescent="0.25">
      <c r="B414" s="342"/>
      <c r="C414" s="343"/>
      <c r="D414" s="343"/>
      <c r="E414" s="343"/>
      <c r="F414" s="344"/>
      <c r="G414" s="345"/>
      <c r="H414" s="346"/>
      <c r="I414" s="346"/>
      <c r="J414" s="345"/>
      <c r="K414" s="347"/>
      <c r="L414" s="340"/>
      <c r="N414" s="348"/>
    </row>
    <row r="415" spans="2:14" x14ac:dyDescent="0.25">
      <c r="B415" s="342"/>
      <c r="C415" s="343"/>
      <c r="D415" s="343"/>
      <c r="E415" s="343"/>
      <c r="F415" s="344"/>
      <c r="G415" s="345"/>
      <c r="H415" s="346"/>
      <c r="I415" s="346"/>
      <c r="J415" s="345"/>
      <c r="K415" s="347"/>
      <c r="L415" s="340"/>
      <c r="N415" s="348"/>
    </row>
    <row r="416" spans="2:14" x14ac:dyDescent="0.25">
      <c r="B416" s="342"/>
      <c r="C416" s="343"/>
      <c r="D416" s="343"/>
      <c r="E416" s="343"/>
      <c r="F416" s="344"/>
      <c r="G416" s="345"/>
      <c r="H416" s="346"/>
      <c r="I416" s="346"/>
      <c r="J416" s="345"/>
      <c r="K416" s="347"/>
      <c r="L416" s="340"/>
      <c r="N416" s="348"/>
    </row>
    <row r="417" spans="2:14" x14ac:dyDescent="0.25">
      <c r="B417" s="342"/>
      <c r="C417" s="343"/>
      <c r="D417" s="343"/>
      <c r="E417" s="343"/>
      <c r="F417" s="344"/>
      <c r="G417" s="345"/>
      <c r="H417" s="346"/>
      <c r="I417" s="346"/>
      <c r="J417" s="345"/>
      <c r="K417" s="347"/>
      <c r="L417" s="340"/>
      <c r="N417" s="348"/>
    </row>
    <row r="418" spans="2:14" x14ac:dyDescent="0.25">
      <c r="B418" s="342"/>
      <c r="C418" s="343"/>
      <c r="D418" s="343"/>
      <c r="E418" s="343"/>
      <c r="F418" s="344"/>
      <c r="G418" s="345"/>
      <c r="H418" s="346"/>
      <c r="I418" s="346"/>
      <c r="J418" s="345"/>
      <c r="K418" s="347"/>
      <c r="L418" s="340"/>
      <c r="N418" s="348"/>
    </row>
    <row r="419" spans="2:14" x14ac:dyDescent="0.25">
      <c r="B419" s="342"/>
      <c r="C419" s="343"/>
      <c r="D419" s="343"/>
      <c r="E419" s="343"/>
      <c r="F419" s="344"/>
      <c r="G419" s="345"/>
      <c r="H419" s="346"/>
      <c r="I419" s="346"/>
      <c r="J419" s="345"/>
      <c r="K419" s="347"/>
      <c r="L419" s="340"/>
      <c r="N419" s="348"/>
    </row>
    <row r="420" spans="2:14" x14ac:dyDescent="0.25">
      <c r="B420" s="342"/>
      <c r="C420" s="343"/>
      <c r="D420" s="343"/>
      <c r="E420" s="343"/>
      <c r="F420" s="344"/>
      <c r="G420" s="345"/>
      <c r="H420" s="346"/>
      <c r="I420" s="346"/>
      <c r="J420" s="345"/>
      <c r="K420" s="347"/>
      <c r="L420" s="340"/>
      <c r="N420" s="348"/>
    </row>
    <row r="421" spans="2:14" x14ac:dyDescent="0.25">
      <c r="B421" s="342"/>
      <c r="C421" s="343"/>
      <c r="D421" s="343"/>
      <c r="E421" s="343"/>
      <c r="F421" s="344"/>
      <c r="G421" s="345"/>
      <c r="H421" s="346"/>
      <c r="I421" s="346"/>
      <c r="J421" s="345"/>
      <c r="K421" s="347"/>
      <c r="L421" s="340"/>
      <c r="N421" s="348"/>
    </row>
    <row r="422" spans="2:14" x14ac:dyDescent="0.25">
      <c r="B422" s="342"/>
      <c r="C422" s="343"/>
      <c r="D422" s="343"/>
      <c r="E422" s="343"/>
      <c r="F422" s="344"/>
      <c r="G422" s="345"/>
      <c r="H422" s="346"/>
      <c r="I422" s="346"/>
      <c r="J422" s="345"/>
      <c r="K422" s="347"/>
      <c r="L422" s="340"/>
      <c r="N422" s="348"/>
    </row>
    <row r="423" spans="2:14" x14ac:dyDescent="0.25">
      <c r="B423" s="342"/>
      <c r="C423" s="343"/>
      <c r="D423" s="343"/>
      <c r="E423" s="343"/>
      <c r="F423" s="344"/>
      <c r="G423" s="345"/>
      <c r="H423" s="346"/>
      <c r="I423" s="346"/>
      <c r="J423" s="345"/>
      <c r="K423" s="347"/>
      <c r="L423" s="340"/>
      <c r="N423" s="348"/>
    </row>
    <row r="424" spans="2:14" x14ac:dyDescent="0.25">
      <c r="B424" s="342"/>
      <c r="C424" s="343"/>
      <c r="D424" s="343"/>
      <c r="E424" s="343"/>
      <c r="F424" s="344"/>
      <c r="G424" s="345"/>
      <c r="H424" s="346"/>
      <c r="I424" s="346"/>
      <c r="J424" s="345"/>
      <c r="K424" s="347"/>
      <c r="L424" s="340"/>
      <c r="N424" s="348"/>
    </row>
    <row r="425" spans="2:14" x14ac:dyDescent="0.25">
      <c r="B425" s="342"/>
      <c r="C425" s="343"/>
      <c r="D425" s="343"/>
      <c r="E425" s="343"/>
      <c r="F425" s="344"/>
      <c r="G425" s="345"/>
      <c r="H425" s="346"/>
      <c r="I425" s="346"/>
      <c r="J425" s="345"/>
      <c r="K425" s="347"/>
      <c r="L425" s="340"/>
      <c r="N425" s="348"/>
    </row>
    <row r="426" spans="2:14" x14ac:dyDescent="0.25">
      <c r="B426" s="342"/>
      <c r="C426" s="343"/>
      <c r="D426" s="343"/>
      <c r="E426" s="343"/>
      <c r="F426" s="344"/>
      <c r="G426" s="345"/>
      <c r="H426" s="346"/>
      <c r="I426" s="346"/>
      <c r="J426" s="345"/>
      <c r="K426" s="347"/>
      <c r="L426" s="340"/>
      <c r="N426" s="348"/>
    </row>
    <row r="427" spans="2:14" x14ac:dyDescent="0.25">
      <c r="B427" s="342"/>
      <c r="C427" s="343"/>
      <c r="D427" s="343"/>
      <c r="E427" s="343"/>
      <c r="F427" s="344"/>
      <c r="G427" s="345"/>
      <c r="H427" s="346"/>
      <c r="I427" s="346"/>
      <c r="J427" s="345"/>
      <c r="K427" s="347"/>
      <c r="L427" s="340"/>
      <c r="N427" s="348"/>
    </row>
    <row r="428" spans="2:14" x14ac:dyDescent="0.25">
      <c r="B428" s="342"/>
      <c r="C428" s="343"/>
      <c r="D428" s="343"/>
      <c r="E428" s="343"/>
      <c r="F428" s="344"/>
      <c r="G428" s="345"/>
      <c r="H428" s="346"/>
      <c r="I428" s="346"/>
      <c r="J428" s="345"/>
      <c r="K428" s="347"/>
      <c r="L428" s="340"/>
      <c r="N428" s="348"/>
    </row>
    <row r="429" spans="2:14" x14ac:dyDescent="0.25">
      <c r="B429" s="342"/>
      <c r="C429" s="343"/>
      <c r="D429" s="343"/>
      <c r="E429" s="343"/>
      <c r="F429" s="344"/>
      <c r="G429" s="345"/>
      <c r="H429" s="346"/>
      <c r="I429" s="346"/>
      <c r="J429" s="345"/>
      <c r="K429" s="347"/>
      <c r="L429" s="340"/>
      <c r="N429" s="348"/>
    </row>
    <row r="430" spans="2:14" x14ac:dyDescent="0.25">
      <c r="B430" s="342"/>
      <c r="C430" s="343"/>
      <c r="D430" s="343"/>
      <c r="E430" s="343"/>
      <c r="F430" s="344"/>
      <c r="G430" s="345"/>
      <c r="H430" s="346"/>
      <c r="I430" s="346"/>
      <c r="J430" s="345"/>
      <c r="K430" s="347"/>
      <c r="L430" s="340"/>
      <c r="N430" s="348"/>
    </row>
    <row r="431" spans="2:14" x14ac:dyDescent="0.25">
      <c r="B431" s="342"/>
      <c r="C431" s="343"/>
      <c r="D431" s="343"/>
      <c r="E431" s="343"/>
      <c r="F431" s="344"/>
      <c r="G431" s="345"/>
      <c r="H431" s="346"/>
      <c r="I431" s="346"/>
      <c r="J431" s="345"/>
      <c r="K431" s="347"/>
      <c r="L431" s="340"/>
      <c r="N431" s="348"/>
    </row>
    <row r="432" spans="2:14" x14ac:dyDescent="0.25">
      <c r="B432" s="342"/>
      <c r="C432" s="343"/>
      <c r="D432" s="343"/>
      <c r="E432" s="343"/>
      <c r="F432" s="344"/>
      <c r="G432" s="345"/>
      <c r="H432" s="346"/>
      <c r="I432" s="346"/>
      <c r="J432" s="345"/>
      <c r="K432" s="347"/>
      <c r="L432" s="340"/>
      <c r="N432" s="348"/>
    </row>
    <row r="433" spans="2:14" x14ac:dyDescent="0.25">
      <c r="B433" s="342"/>
      <c r="C433" s="343"/>
      <c r="D433" s="343"/>
      <c r="E433" s="343"/>
      <c r="F433" s="344"/>
      <c r="G433" s="345"/>
      <c r="H433" s="346"/>
      <c r="I433" s="346"/>
      <c r="J433" s="345"/>
      <c r="K433" s="347"/>
      <c r="L433" s="340"/>
      <c r="N433" s="348"/>
    </row>
    <row r="434" spans="2:14" x14ac:dyDescent="0.25">
      <c r="B434" s="342"/>
      <c r="C434" s="343"/>
      <c r="D434" s="343"/>
      <c r="E434" s="343"/>
      <c r="F434" s="344"/>
      <c r="G434" s="345"/>
      <c r="H434" s="346"/>
      <c r="I434" s="346"/>
      <c r="J434" s="345"/>
      <c r="K434" s="347"/>
      <c r="L434" s="340"/>
      <c r="N434" s="348"/>
    </row>
    <row r="435" spans="2:14" x14ac:dyDescent="0.25">
      <c r="B435" s="342"/>
      <c r="C435" s="343"/>
      <c r="D435" s="343"/>
      <c r="E435" s="343"/>
      <c r="F435" s="344"/>
      <c r="G435" s="345"/>
      <c r="H435" s="346"/>
      <c r="I435" s="346"/>
      <c r="J435" s="345"/>
      <c r="K435" s="347"/>
      <c r="L435" s="340"/>
      <c r="N435" s="348"/>
    </row>
    <row r="436" spans="2:14" x14ac:dyDescent="0.25">
      <c r="B436" s="342"/>
      <c r="C436" s="343"/>
      <c r="D436" s="343"/>
      <c r="E436" s="343"/>
      <c r="F436" s="344"/>
      <c r="G436" s="345"/>
      <c r="H436" s="346"/>
      <c r="I436" s="346"/>
      <c r="J436" s="345"/>
      <c r="K436" s="347"/>
      <c r="L436" s="340"/>
      <c r="N436" s="348"/>
    </row>
    <row r="437" spans="2:14" x14ac:dyDescent="0.25">
      <c r="B437" s="342"/>
      <c r="C437" s="343"/>
      <c r="D437" s="343"/>
      <c r="E437" s="343"/>
      <c r="F437" s="344"/>
      <c r="G437" s="345"/>
      <c r="H437" s="346"/>
      <c r="I437" s="346"/>
      <c r="J437" s="345"/>
      <c r="K437" s="347"/>
      <c r="L437" s="340"/>
      <c r="N437" s="348"/>
    </row>
    <row r="438" spans="2:14" x14ac:dyDescent="0.25">
      <c r="B438" s="342"/>
      <c r="C438" s="343"/>
      <c r="D438" s="343"/>
      <c r="E438" s="343"/>
      <c r="F438" s="344"/>
      <c r="G438" s="345"/>
      <c r="H438" s="346"/>
      <c r="I438" s="346"/>
      <c r="J438" s="345"/>
      <c r="K438" s="347"/>
      <c r="L438" s="340"/>
      <c r="N438" s="348"/>
    </row>
    <row r="439" spans="2:14" x14ac:dyDescent="0.25">
      <c r="B439" s="342"/>
      <c r="C439" s="343"/>
      <c r="D439" s="343"/>
      <c r="E439" s="343"/>
      <c r="F439" s="344"/>
      <c r="G439" s="345"/>
      <c r="H439" s="346"/>
      <c r="I439" s="346"/>
      <c r="J439" s="345"/>
      <c r="K439" s="347"/>
      <c r="L439" s="340"/>
      <c r="N439" s="348"/>
    </row>
    <row r="440" spans="2:14" x14ac:dyDescent="0.25">
      <c r="B440" s="342"/>
      <c r="C440" s="343"/>
      <c r="D440" s="343"/>
      <c r="E440" s="343"/>
      <c r="F440" s="344"/>
      <c r="G440" s="345"/>
      <c r="H440" s="346"/>
      <c r="I440" s="346"/>
      <c r="J440" s="345"/>
      <c r="K440" s="347"/>
      <c r="L440" s="340"/>
      <c r="N440" s="348"/>
    </row>
    <row r="441" spans="2:14" x14ac:dyDescent="0.25">
      <c r="B441" s="342"/>
      <c r="C441" s="343"/>
      <c r="D441" s="343"/>
      <c r="E441" s="343"/>
      <c r="F441" s="344"/>
      <c r="G441" s="345"/>
      <c r="H441" s="346"/>
      <c r="I441" s="346"/>
      <c r="J441" s="345"/>
      <c r="K441" s="347"/>
      <c r="L441" s="340"/>
      <c r="N441" s="348"/>
    </row>
    <row r="442" spans="2:14" x14ac:dyDescent="0.25">
      <c r="B442" s="342"/>
      <c r="C442" s="343"/>
      <c r="D442" s="343"/>
      <c r="E442" s="343"/>
      <c r="F442" s="344"/>
      <c r="G442" s="345"/>
      <c r="H442" s="346"/>
      <c r="I442" s="346"/>
      <c r="J442" s="345"/>
      <c r="K442" s="347"/>
      <c r="L442" s="340"/>
      <c r="N442" s="348"/>
    </row>
    <row r="443" spans="2:14" x14ac:dyDescent="0.25">
      <c r="B443" s="342"/>
      <c r="C443" s="343"/>
      <c r="D443" s="343"/>
      <c r="E443" s="343"/>
      <c r="F443" s="344"/>
      <c r="G443" s="345"/>
      <c r="H443" s="346"/>
      <c r="I443" s="346"/>
      <c r="J443" s="345"/>
      <c r="K443" s="347"/>
      <c r="L443" s="340"/>
      <c r="N443" s="348"/>
    </row>
    <row r="444" spans="2:14" x14ac:dyDescent="0.25">
      <c r="B444" s="342"/>
      <c r="C444" s="343"/>
      <c r="D444" s="343"/>
      <c r="E444" s="343"/>
      <c r="F444" s="344"/>
      <c r="G444" s="345"/>
      <c r="H444" s="346"/>
      <c r="I444" s="346"/>
      <c r="J444" s="345"/>
      <c r="K444" s="347"/>
      <c r="L444" s="340"/>
      <c r="N444" s="348"/>
    </row>
    <row r="445" spans="2:14" x14ac:dyDescent="0.25">
      <c r="B445" s="342"/>
      <c r="C445" s="343"/>
      <c r="D445" s="343"/>
      <c r="E445" s="343"/>
      <c r="F445" s="344"/>
      <c r="G445" s="345"/>
      <c r="H445" s="346"/>
      <c r="I445" s="346"/>
      <c r="J445" s="345"/>
      <c r="K445" s="347"/>
      <c r="L445" s="340"/>
      <c r="N445" s="348"/>
    </row>
    <row r="446" spans="2:14" x14ac:dyDescent="0.25">
      <c r="B446" s="342"/>
      <c r="C446" s="343"/>
      <c r="D446" s="343"/>
      <c r="E446" s="343"/>
      <c r="F446" s="344"/>
      <c r="G446" s="345"/>
      <c r="H446" s="346"/>
      <c r="I446" s="346"/>
      <c r="J446" s="345"/>
      <c r="K446" s="347"/>
      <c r="L446" s="340"/>
      <c r="N446" s="348"/>
    </row>
    <row r="447" spans="2:14" x14ac:dyDescent="0.25">
      <c r="B447" s="342"/>
      <c r="C447" s="343"/>
      <c r="D447" s="343"/>
      <c r="E447" s="343"/>
      <c r="F447" s="344"/>
      <c r="G447" s="345"/>
      <c r="H447" s="346"/>
      <c r="I447" s="346"/>
      <c r="J447" s="345"/>
      <c r="K447" s="347"/>
      <c r="L447" s="340"/>
      <c r="N447" s="348"/>
    </row>
    <row r="448" spans="2:14" x14ac:dyDescent="0.25">
      <c r="B448" s="342"/>
      <c r="C448" s="343"/>
      <c r="D448" s="343"/>
      <c r="E448" s="343"/>
      <c r="F448" s="344"/>
      <c r="G448" s="345"/>
      <c r="H448" s="346"/>
      <c r="I448" s="346"/>
      <c r="J448" s="345"/>
      <c r="K448" s="347"/>
      <c r="L448" s="340"/>
      <c r="N448" s="348"/>
    </row>
    <row r="449" spans="2:14" x14ac:dyDescent="0.25">
      <c r="B449" s="342"/>
      <c r="C449" s="343"/>
      <c r="D449" s="343"/>
      <c r="E449" s="343"/>
      <c r="F449" s="344"/>
      <c r="G449" s="345"/>
      <c r="H449" s="346"/>
      <c r="I449" s="346"/>
      <c r="J449" s="345"/>
      <c r="K449" s="347"/>
      <c r="L449" s="340"/>
      <c r="N449" s="348"/>
    </row>
    <row r="450" spans="2:14" x14ac:dyDescent="0.25">
      <c r="B450" s="342"/>
      <c r="C450" s="343"/>
      <c r="D450" s="343"/>
      <c r="E450" s="343"/>
      <c r="F450" s="344"/>
      <c r="G450" s="345"/>
      <c r="H450" s="346"/>
      <c r="I450" s="346"/>
      <c r="J450" s="345"/>
      <c r="K450" s="347"/>
      <c r="L450" s="340"/>
      <c r="N450" s="348"/>
    </row>
    <row r="451" spans="2:14" x14ac:dyDescent="0.25">
      <c r="B451" s="342"/>
      <c r="C451" s="343"/>
      <c r="D451" s="343"/>
      <c r="E451" s="343"/>
      <c r="F451" s="344"/>
      <c r="G451" s="345"/>
      <c r="H451" s="346"/>
      <c r="I451" s="346"/>
      <c r="J451" s="345"/>
      <c r="K451" s="347"/>
      <c r="L451" s="340"/>
      <c r="N451" s="348"/>
    </row>
    <row r="452" spans="2:14" x14ac:dyDescent="0.25">
      <c r="B452" s="342"/>
      <c r="C452" s="343"/>
      <c r="D452" s="343"/>
      <c r="E452" s="343"/>
      <c r="F452" s="344"/>
      <c r="G452" s="345"/>
      <c r="H452" s="346"/>
      <c r="I452" s="346"/>
      <c r="J452" s="345"/>
      <c r="K452" s="347"/>
      <c r="L452" s="340"/>
      <c r="N452" s="348"/>
    </row>
  </sheetData>
  <protectedRanges>
    <protectedRange sqref="M176:M177" name="Milestones"/>
    <protectedRange sqref="B1:B8 V6 D3:D8 H4 F4" name="Header"/>
    <protectedRange sqref="N176:N177 M178:N266 I176:I266 C176:F266 R192:R193" name="Planning"/>
    <protectedRange sqref="D1:D2" name="Header_1"/>
  </protectedRanges>
  <mergeCells count="28">
    <mergeCell ref="L11:N11"/>
    <mergeCell ref="F11:H11"/>
    <mergeCell ref="I11:K11"/>
    <mergeCell ref="P9:V9"/>
    <mergeCell ref="P6:U6"/>
    <mergeCell ref="V6:X6"/>
    <mergeCell ref="BM9:BS9"/>
    <mergeCell ref="D7:I7"/>
    <mergeCell ref="P10:V10"/>
    <mergeCell ref="W10:AC10"/>
    <mergeCell ref="AD10:AJ10"/>
    <mergeCell ref="AK10:AQ10"/>
    <mergeCell ref="AR10:AX10"/>
    <mergeCell ref="AY10:BE10"/>
    <mergeCell ref="BF10:BL10"/>
    <mergeCell ref="BM10:BS10"/>
    <mergeCell ref="W9:AC9"/>
    <mergeCell ref="AD9:AJ9"/>
    <mergeCell ref="AK9:AQ9"/>
    <mergeCell ref="AR9:AX9"/>
    <mergeCell ref="AY9:BE9"/>
    <mergeCell ref="BF9:BL9"/>
    <mergeCell ref="B1:C2"/>
    <mergeCell ref="D5:I5"/>
    <mergeCell ref="D6:I6"/>
    <mergeCell ref="D4:I4"/>
    <mergeCell ref="D1:N1"/>
    <mergeCell ref="D2:N2"/>
  </mergeCells>
  <conditionalFormatting sqref="P11:BS12">
    <cfRule type="expression" dxfId="14" priority="51">
      <formula>P$11=TODAY()</formula>
    </cfRule>
  </conditionalFormatting>
  <conditionalFormatting sqref="P175:BS451 P171:BS173 P152:BS160 P146:BS150 P125:BS139 P141:BS144 P122:BS123 P119:BS120 P112:BS112 P109:BS109 P106:BS107 P102:BS104 P84:BS84 P77:BS80">
    <cfRule type="expression" dxfId="13" priority="23">
      <formula>AND($B76&lt;&gt;"",$B77&lt;&gt;"")</formula>
    </cfRule>
  </conditionalFormatting>
  <conditionalFormatting sqref="BS13:BS451 K13:K451">
    <cfRule type="expression" dxfId="12" priority="6">
      <formula>NOT(ISBLANK($B13))</formula>
    </cfRule>
  </conditionalFormatting>
  <conditionalFormatting sqref="O13:O451 B13:D451">
    <cfRule type="expression" dxfId="11" priority="5">
      <formula>NOT(ISBLANK($B13))</formula>
    </cfRule>
  </conditionalFormatting>
  <conditionalFormatting sqref="P178:W178 Y178:Z178 AD178:BS178 AB178 P175:BS177">
    <cfRule type="expression" dxfId="10" priority="54">
      <formula>AND(NOT(ISBLANK($I176)),$I176&lt;=P$11,$J176&gt;=P$11)</formula>
    </cfRule>
  </conditionalFormatting>
  <conditionalFormatting sqref="B13:N451">
    <cfRule type="expression" dxfId="3" priority="8">
      <formula>LEN($B13)-LEN(SUBSTITUTE($B13,".",""))=1</formula>
    </cfRule>
    <cfRule type="expression" dxfId="2" priority="9">
      <formula>LEN($B13)-LEN(SUBSTITUTE($B13,".",""))=2</formula>
    </cfRule>
    <cfRule type="expression" dxfId="1" priority="10">
      <formula>AND(LEN($B13)-LEN(SUBSTITUTE($B13,".",""))=0,NOT(ISBLANK($B13)))</formula>
    </cfRule>
  </conditionalFormatting>
  <conditionalFormatting sqref="P13:BS451">
    <cfRule type="expression" dxfId="9" priority="3">
      <formula>AND(P$11&gt;=$F13,P$11&lt;=$H13,P$11&gt;=$I13,P$11&lt;=$K13,$I13&lt;&gt;"",$H13&lt;&gt;"")</formula>
    </cfRule>
    <cfRule type="expression" dxfId="8" priority="21">
      <formula>AND(P$11&gt;=$F13,P$11&lt;=$H13,$F13&lt;&gt;"",$H13&lt;&gt;"")</formula>
    </cfRule>
    <cfRule type="expression" dxfId="7" priority="37">
      <formula>AND(P$11=TODAY(),$B13&lt;&gt;"")</formula>
    </cfRule>
  </conditionalFormatting>
  <conditionalFormatting sqref="H13:H451">
    <cfRule type="expression" dxfId="6" priority="2">
      <formula>NOT(ISBLANK($B13))</formula>
    </cfRule>
  </conditionalFormatting>
  <conditionalFormatting sqref="F13:F451">
    <cfRule type="expression" dxfId="5" priority="1">
      <formula>NOT(ISBLANK($B13))</formula>
    </cfRule>
  </conditionalFormatting>
  <conditionalFormatting sqref="N13:N451">
    <cfRule type="dataBar" priority="459">
      <dataBar>
        <cfvo type="num" val="0"/>
        <cfvo type="num" val="1"/>
        <color rgb="FF638EC6"/>
      </dataBar>
      <extLst>
        <ext xmlns:x14="http://schemas.microsoft.com/office/spreadsheetml/2009/9/main" uri="{B025F937-C7B1-47D3-B67F-A62EFF666E3E}">
          <x14:id>{5A070A4B-628E-4DFB-8F5F-FF9174D796FE}</x14:id>
        </ext>
      </extLst>
    </cfRule>
  </conditionalFormatting>
  <conditionalFormatting sqref="P13:BS300">
    <cfRule type="expression" dxfId="4" priority="490">
      <formula>OR(AND($B14&lt;&gt;"",$B13&lt;&gt;""),AND($B14="",$B13&lt;&gt;""))</formula>
    </cfRule>
  </conditionalFormatting>
  <conditionalFormatting sqref="B13:BS300">
    <cfRule type="expression" dxfId="0" priority="491">
      <formula>AND($B14="",$B13&lt;&gt;"")</formula>
    </cfRule>
  </conditionalFormatting>
  <dataValidations count="1">
    <dataValidation allowBlank="1" showInputMessage="1" promptTitle="Display Week" prompt="Enter the week number to display first in the Gantt Chart. The weeks are numbered starting from the week containing the Project Start Date." sqref="V6" xr:uid="{00000000-0002-0000-0300-000000000000}"/>
  </dataValidations>
  <pageMargins left="0.25" right="0.25" top="0.5" bottom="0.5" header="0.5" footer="0.25"/>
  <pageSetup scale="4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roll Bar 1">
              <controlPr defaultSize="0" print="0" autoPict="0">
                <anchor moveWithCells="1">
                  <from>
                    <xdr:col>15</xdr:col>
                    <xdr:colOff>0</xdr:colOff>
                    <xdr:row>6</xdr:row>
                    <xdr:rowOff>68580</xdr:rowOff>
                  </from>
                  <to>
                    <xdr:col>34</xdr:col>
                    <xdr:colOff>38100</xdr:colOff>
                    <xdr:row>7</xdr:row>
                    <xdr:rowOff>38100</xdr:rowOff>
                  </to>
                </anchor>
              </controlPr>
            </control>
          </mc:Choice>
        </mc:AlternateContent>
        <mc:AlternateContent xmlns:mc="http://schemas.openxmlformats.org/markup-compatibility/2006">
          <mc:Choice Requires="x14">
            <control shapeId="5123" r:id="rId5" name="Button 3">
              <controlPr defaultSize="0" print="0" autoFill="0" autoPict="0" macro="[0]!addNewSubItem">
                <anchor moveWithCells="1" sizeWithCells="1">
                  <from>
                    <xdr:col>2</xdr:col>
                    <xdr:colOff>769620</xdr:colOff>
                    <xdr:row>8</xdr:row>
                    <xdr:rowOff>228600</xdr:rowOff>
                  </from>
                  <to>
                    <xdr:col>2</xdr:col>
                    <xdr:colOff>1874520</xdr:colOff>
                    <xdr:row>9</xdr:row>
                    <xdr:rowOff>152400</xdr:rowOff>
                  </to>
                </anchor>
              </controlPr>
            </control>
          </mc:Choice>
        </mc:AlternateContent>
        <mc:AlternateContent xmlns:mc="http://schemas.openxmlformats.org/markup-compatibility/2006">
          <mc:Choice Requires="x14">
            <control shapeId="5124" r:id="rId6" name="Button 4">
              <controlPr defaultSize="0" print="0" autoFill="0" autoPict="0" macro="[0]!Button2_Click">
                <anchor moveWithCells="1" sizeWithCells="1">
                  <from>
                    <xdr:col>3</xdr:col>
                    <xdr:colOff>114300</xdr:colOff>
                    <xdr:row>8</xdr:row>
                    <xdr:rowOff>220980</xdr:rowOff>
                  </from>
                  <to>
                    <xdr:col>4</xdr:col>
                    <xdr:colOff>144780</xdr:colOff>
                    <xdr:row>9</xdr:row>
                    <xdr:rowOff>144780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A070A4B-628E-4DFB-8F5F-FF9174D796FE}">
            <x14:dataBar minLength="0" maxLength="100" border="1" negativeBarBorderColorSameAsPositive="0">
              <x14:cfvo type="num">
                <xm:f>0</xm:f>
              </x14:cfvo>
              <x14:cfvo type="num">
                <xm:f>1</xm:f>
              </x14:cfvo>
              <x14:borderColor rgb="FF638EC6"/>
              <x14:negativeFillColor rgb="FFFF0000"/>
              <x14:negativeBorderColor rgb="FFFF0000"/>
              <x14:axisColor rgb="FF000000"/>
            </x14:dataBar>
          </x14:cfRule>
          <xm:sqref>N13:N451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U569"/>
  <sheetViews>
    <sheetView workbookViewId="0">
      <selection activeCell="Q1" sqref="Q1:U1"/>
    </sheetView>
  </sheetViews>
  <sheetFormatPr defaultRowHeight="14.4" x14ac:dyDescent="0.3"/>
  <cols>
    <col min="1" max="1" width="7.44140625" customWidth="1"/>
    <col min="2" max="2" width="11.109375" customWidth="1"/>
    <col min="3" max="3" width="16.44140625" customWidth="1"/>
    <col min="8" max="8" width="16.33203125" customWidth="1"/>
    <col min="13" max="13" width="7.5546875" bestFit="1" customWidth="1"/>
    <col min="14" max="14" width="6.88671875" bestFit="1" customWidth="1"/>
    <col min="15" max="15" width="7.6640625" bestFit="1" customWidth="1"/>
    <col min="16" max="16" width="15.6640625" customWidth="1"/>
  </cols>
  <sheetData>
    <row r="1" spans="1:21" ht="43.2" x14ac:dyDescent="0.3">
      <c r="A1" s="212" t="s">
        <v>43</v>
      </c>
      <c r="B1" s="213" t="s">
        <v>371</v>
      </c>
      <c r="C1" s="214" t="s">
        <v>45</v>
      </c>
      <c r="D1" s="213" t="s">
        <v>46</v>
      </c>
      <c r="E1" s="213" t="s">
        <v>373</v>
      </c>
      <c r="F1" s="213" t="s">
        <v>374</v>
      </c>
      <c r="G1" s="215" t="s">
        <v>375</v>
      </c>
      <c r="H1" s="215" t="s">
        <v>376</v>
      </c>
      <c r="I1" s="215" t="s">
        <v>377</v>
      </c>
      <c r="J1" s="216" t="s">
        <v>378</v>
      </c>
      <c r="K1" s="216" t="s">
        <v>51</v>
      </c>
      <c r="L1" s="215" t="s">
        <v>6</v>
      </c>
      <c r="M1" s="215" t="s">
        <v>50</v>
      </c>
      <c r="N1" s="217" t="s">
        <v>250</v>
      </c>
      <c r="O1" s="218" t="s">
        <v>50</v>
      </c>
      <c r="P1" s="219" t="s">
        <v>51</v>
      </c>
      <c r="Q1" t="s">
        <v>251</v>
      </c>
      <c r="R1" t="s">
        <v>252</v>
      </c>
      <c r="S1" t="s">
        <v>253</v>
      </c>
      <c r="T1" t="s">
        <v>254</v>
      </c>
      <c r="U1" t="s">
        <v>255</v>
      </c>
    </row>
    <row r="2" spans="1:21" x14ac:dyDescent="0.3">
      <c r="A2">
        <f>IF(ISBLANK('Work Package'!B13),"",'Work Package'!B13)</f>
        <v>1</v>
      </c>
    </row>
    <row r="3" spans="1:21" x14ac:dyDescent="0.3">
      <c r="A3" t="str">
        <f>IF(ISBLANK('Work Package'!B76),"",'Work Package'!B76)</f>
        <v/>
      </c>
    </row>
    <row r="4" spans="1:21" x14ac:dyDescent="0.3">
      <c r="A4" t="str">
        <f>IF(ISBLANK('Work Package'!B85),"",'Work Package'!B85)</f>
        <v/>
      </c>
    </row>
    <row r="5" spans="1:21" x14ac:dyDescent="0.3">
      <c r="A5" t="str">
        <f>IF(ISBLANK('Work Package'!B151),"",'Work Package'!B151)</f>
        <v/>
      </c>
    </row>
    <row r="6" spans="1:21" x14ac:dyDescent="0.3">
      <c r="A6" t="str">
        <f>IF(ISBLANK('Work Package'!B152),"",'Work Package'!B152)</f>
        <v/>
      </c>
    </row>
    <row r="7" spans="1:21" x14ac:dyDescent="0.3">
      <c r="A7" t="str">
        <f>IF(ISBLANK('Work Package'!B162),"",'Work Package'!B162)</f>
        <v/>
      </c>
    </row>
    <row r="8" spans="1:21" x14ac:dyDescent="0.3">
      <c r="A8" t="str">
        <f>IF(ISBLANK('Work Package'!B168),"",'Work Package'!B168)</f>
        <v/>
      </c>
    </row>
    <row r="9" spans="1:21" x14ac:dyDescent="0.3">
      <c r="A9" t="str">
        <f>IF(ISBLANK('Work Package'!B170),"",'Work Package'!B170)</f>
        <v/>
      </c>
    </row>
    <row r="10" spans="1:21" x14ac:dyDescent="0.3">
      <c r="A10" t="str">
        <f>IF(ISBLANK('Work Package'!B171),"",'Work Package'!B171)</f>
        <v/>
      </c>
    </row>
    <row r="11" spans="1:21" x14ac:dyDescent="0.3">
      <c r="A11" t="str">
        <f>IF(ISBLANK('Work Package'!B172),"",'Work Package'!B172)</f>
        <v/>
      </c>
    </row>
    <row r="12" spans="1:21" x14ac:dyDescent="0.3">
      <c r="A12" t="str">
        <f>IF(ISBLANK('Work Package'!B174),"",'Work Package'!B174)</f>
        <v/>
      </c>
    </row>
    <row r="13" spans="1:21" x14ac:dyDescent="0.3">
      <c r="A13" t="str">
        <f>IF(ISBLANK('Work Package'!B175),"",'Work Package'!B175)</f>
        <v/>
      </c>
    </row>
    <row r="14" spans="1:21" x14ac:dyDescent="0.3">
      <c r="A14" t="str">
        <f>IF(ISBLANK('Work Package'!B176),"",'Work Package'!B176)</f>
        <v/>
      </c>
    </row>
    <row r="15" spans="1:21" x14ac:dyDescent="0.3">
      <c r="A15" t="str">
        <f>IF(ISBLANK('Work Package'!B177),"",'Work Package'!B177)</f>
        <v/>
      </c>
    </row>
    <row r="16" spans="1:21" x14ac:dyDescent="0.3">
      <c r="A16" t="str">
        <f>IF(ISBLANK('Work Package'!B178),"",'Work Package'!B178)</f>
        <v/>
      </c>
    </row>
    <row r="17" spans="1:1" x14ac:dyDescent="0.3">
      <c r="A17" t="str">
        <f>IF(ISBLANK('Work Package'!B179),"",'Work Package'!B179)</f>
        <v/>
      </c>
    </row>
    <row r="18" spans="1:1" x14ac:dyDescent="0.3">
      <c r="A18" t="str">
        <f>IF(ISBLANK('Work Package'!B180),"",'Work Package'!B180)</f>
        <v/>
      </c>
    </row>
    <row r="19" spans="1:1" x14ac:dyDescent="0.3">
      <c r="A19" t="str">
        <f>IF(ISBLANK('Work Package'!B181),"",'Work Package'!B181)</f>
        <v/>
      </c>
    </row>
    <row r="20" spans="1:1" x14ac:dyDescent="0.3">
      <c r="A20" t="str">
        <f>IF(ISBLANK('Work Package'!B182),"",'Work Package'!B182)</f>
        <v/>
      </c>
    </row>
    <row r="21" spans="1:1" x14ac:dyDescent="0.3">
      <c r="A21" t="str">
        <f>IF(ISBLANK('Work Package'!B183),"",'Work Package'!B183)</f>
        <v/>
      </c>
    </row>
    <row r="22" spans="1:1" x14ac:dyDescent="0.3">
      <c r="A22" t="str">
        <f>IF(ISBLANK('Work Package'!B184),"",'Work Package'!B184)</f>
        <v/>
      </c>
    </row>
    <row r="23" spans="1:1" x14ac:dyDescent="0.3">
      <c r="A23" t="str">
        <f>IF(ISBLANK('Work Package'!B185),"",'Work Package'!B185)</f>
        <v/>
      </c>
    </row>
    <row r="24" spans="1:1" x14ac:dyDescent="0.3">
      <c r="A24" t="str">
        <f>IF(ISBLANK('Work Package'!B186),"",'Work Package'!B186)</f>
        <v/>
      </c>
    </row>
    <row r="25" spans="1:1" x14ac:dyDescent="0.3">
      <c r="A25" t="str">
        <f>IF(ISBLANK('Work Package'!B187),"",'Work Package'!B187)</f>
        <v/>
      </c>
    </row>
    <row r="26" spans="1:1" x14ac:dyDescent="0.3">
      <c r="A26" t="str">
        <f>IF(ISBLANK('Work Package'!B188),"",'Work Package'!B188)</f>
        <v/>
      </c>
    </row>
    <row r="27" spans="1:1" x14ac:dyDescent="0.3">
      <c r="A27" t="str">
        <f>IF(ISBLANK('Work Package'!B189),"",'Work Package'!B189)</f>
        <v/>
      </c>
    </row>
    <row r="28" spans="1:1" x14ac:dyDescent="0.3">
      <c r="A28" t="str">
        <f>IF(ISBLANK('Work Package'!B190),"",'Work Package'!B190)</f>
        <v/>
      </c>
    </row>
    <row r="29" spans="1:1" x14ac:dyDescent="0.3">
      <c r="A29" t="str">
        <f>IF(ISBLANK('Work Package'!B191),"",'Work Package'!B191)</f>
        <v/>
      </c>
    </row>
    <row r="30" spans="1:1" x14ac:dyDescent="0.3">
      <c r="A30" t="str">
        <f>IF(ISBLANK('Work Package'!B192),"",'Work Package'!B192)</f>
        <v/>
      </c>
    </row>
    <row r="31" spans="1:1" x14ac:dyDescent="0.3">
      <c r="A31" t="str">
        <f>IF(ISBLANK('Work Package'!B193),"",'Work Package'!B193)</f>
        <v/>
      </c>
    </row>
    <row r="32" spans="1:1" x14ac:dyDescent="0.3">
      <c r="A32" t="str">
        <f>IF(ISBLANK('Work Package'!B194),"",'Work Package'!B194)</f>
        <v/>
      </c>
    </row>
    <row r="33" spans="1:1" x14ac:dyDescent="0.3">
      <c r="A33" t="str">
        <f>IF(ISBLANK('Work Package'!B195),"",'Work Package'!B195)</f>
        <v/>
      </c>
    </row>
    <row r="34" spans="1:1" x14ac:dyDescent="0.3">
      <c r="A34" t="str">
        <f>IF(ISBLANK('Work Package'!B196),"",'Work Package'!B196)</f>
        <v/>
      </c>
    </row>
    <row r="35" spans="1:1" x14ac:dyDescent="0.3">
      <c r="A35" t="str">
        <f>IF(ISBLANK('Work Package'!B197),"",'Work Package'!B197)</f>
        <v/>
      </c>
    </row>
    <row r="36" spans="1:1" x14ac:dyDescent="0.3">
      <c r="A36" t="str">
        <f>IF(ISBLANK('Work Package'!B198),"",'Work Package'!B198)</f>
        <v/>
      </c>
    </row>
    <row r="37" spans="1:1" x14ac:dyDescent="0.3">
      <c r="A37" t="str">
        <f>IF(ISBLANK('Work Package'!B199),"",'Work Package'!B199)</f>
        <v/>
      </c>
    </row>
    <row r="38" spans="1:1" x14ac:dyDescent="0.3">
      <c r="A38" t="str">
        <f>IF(ISBLANK('Work Package'!B200),"",'Work Package'!B200)</f>
        <v/>
      </c>
    </row>
    <row r="39" spans="1:1" x14ac:dyDescent="0.3">
      <c r="A39" t="str">
        <f>IF(ISBLANK('Work Package'!B201),"",'Work Package'!B201)</f>
        <v/>
      </c>
    </row>
    <row r="40" spans="1:1" x14ac:dyDescent="0.3">
      <c r="A40" t="str">
        <f>IF(ISBLANK('Work Package'!B202),"",'Work Package'!B202)</f>
        <v/>
      </c>
    </row>
    <row r="41" spans="1:1" x14ac:dyDescent="0.3">
      <c r="A41" t="str">
        <f>IF(ISBLANK('Work Package'!B203),"",'Work Package'!B203)</f>
        <v/>
      </c>
    </row>
    <row r="42" spans="1:1" x14ac:dyDescent="0.3">
      <c r="A42" t="str">
        <f>IF(ISBLANK('Work Package'!B204),"",'Work Package'!B204)</f>
        <v/>
      </c>
    </row>
    <row r="43" spans="1:1" x14ac:dyDescent="0.3">
      <c r="A43" t="str">
        <f>IF(ISBLANK('Work Package'!B205),"",'Work Package'!B205)</f>
        <v/>
      </c>
    </row>
    <row r="44" spans="1:1" x14ac:dyDescent="0.3">
      <c r="A44" t="str">
        <f>IF(ISBLANK('Work Package'!B206),"",'Work Package'!B206)</f>
        <v/>
      </c>
    </row>
    <row r="45" spans="1:1" x14ac:dyDescent="0.3">
      <c r="A45" t="str">
        <f>IF(ISBLANK('Work Package'!B207),"",'Work Package'!B207)</f>
        <v/>
      </c>
    </row>
    <row r="46" spans="1:1" x14ac:dyDescent="0.3">
      <c r="A46" t="str">
        <f>IF(ISBLANK('Work Package'!B208),"",'Work Package'!B208)</f>
        <v/>
      </c>
    </row>
    <row r="47" spans="1:1" x14ac:dyDescent="0.3">
      <c r="A47" t="str">
        <f>IF(ISBLANK('Work Package'!B209),"",'Work Package'!B209)</f>
        <v/>
      </c>
    </row>
    <row r="48" spans="1:1" x14ac:dyDescent="0.3">
      <c r="A48" t="str">
        <f>IF(ISBLANK('Work Package'!B210),"",'Work Package'!B210)</f>
        <v/>
      </c>
    </row>
    <row r="49" spans="1:1" x14ac:dyDescent="0.3">
      <c r="A49" t="str">
        <f>IF(ISBLANK('Work Package'!B211),"",'Work Package'!B211)</f>
        <v/>
      </c>
    </row>
    <row r="50" spans="1:1" x14ac:dyDescent="0.3">
      <c r="A50" t="str">
        <f>IF(ISBLANK('Work Package'!B212),"",'Work Package'!B212)</f>
        <v/>
      </c>
    </row>
    <row r="51" spans="1:1" x14ac:dyDescent="0.3">
      <c r="A51" t="str">
        <f>IF(ISBLANK('Work Package'!B213),"",'Work Package'!B213)</f>
        <v/>
      </c>
    </row>
    <row r="52" spans="1:1" x14ac:dyDescent="0.3">
      <c r="A52" t="str">
        <f>IF(ISBLANK('Work Package'!B214),"",'Work Package'!B214)</f>
        <v/>
      </c>
    </row>
    <row r="53" spans="1:1" x14ac:dyDescent="0.3">
      <c r="A53" t="str">
        <f>IF(ISBLANK('Work Package'!B215),"",'Work Package'!B215)</f>
        <v/>
      </c>
    </row>
    <row r="54" spans="1:1" x14ac:dyDescent="0.3">
      <c r="A54" t="str">
        <f>IF(ISBLANK('Work Package'!B216),"",'Work Package'!B216)</f>
        <v/>
      </c>
    </row>
    <row r="55" spans="1:1" x14ac:dyDescent="0.3">
      <c r="A55" t="str">
        <f>IF(ISBLANK('Work Package'!B217),"",'Work Package'!B217)</f>
        <v/>
      </c>
    </row>
    <row r="56" spans="1:1" x14ac:dyDescent="0.3">
      <c r="A56" t="str">
        <f>IF(ISBLANK('Work Package'!B218),"",'Work Package'!B218)</f>
        <v/>
      </c>
    </row>
    <row r="57" spans="1:1" x14ac:dyDescent="0.3">
      <c r="A57" t="str">
        <f>IF(ISBLANK('Work Package'!B219),"",'Work Package'!B219)</f>
        <v/>
      </c>
    </row>
    <row r="58" spans="1:1" x14ac:dyDescent="0.3">
      <c r="A58" t="str">
        <f>IF(ISBLANK('Work Package'!B220),"",'Work Package'!B220)</f>
        <v/>
      </c>
    </row>
    <row r="59" spans="1:1" x14ac:dyDescent="0.3">
      <c r="A59" t="str">
        <f>IF(ISBLANK('Work Package'!B221),"",'Work Package'!B221)</f>
        <v/>
      </c>
    </row>
    <row r="60" spans="1:1" x14ac:dyDescent="0.3">
      <c r="A60" t="str">
        <f>IF(ISBLANK('Work Package'!B222),"",'Work Package'!B222)</f>
        <v/>
      </c>
    </row>
    <row r="61" spans="1:1" x14ac:dyDescent="0.3">
      <c r="A61" t="str">
        <f>IF(ISBLANK('Work Package'!B223),"",'Work Package'!B223)</f>
        <v/>
      </c>
    </row>
    <row r="62" spans="1:1" x14ac:dyDescent="0.3">
      <c r="A62" t="str">
        <f>IF(ISBLANK('Work Package'!B224),"",'Work Package'!B224)</f>
        <v/>
      </c>
    </row>
    <row r="63" spans="1:1" x14ac:dyDescent="0.3">
      <c r="A63" t="str">
        <f>IF(ISBLANK('Work Package'!B225),"",'Work Package'!B225)</f>
        <v/>
      </c>
    </row>
    <row r="64" spans="1:1" x14ac:dyDescent="0.3">
      <c r="A64" t="str">
        <f>IF(ISBLANK('Work Package'!B226),"",'Work Package'!B226)</f>
        <v/>
      </c>
    </row>
    <row r="65" spans="1:1" x14ac:dyDescent="0.3">
      <c r="A65" t="str">
        <f>IF(ISBLANK('Work Package'!B227),"",'Work Package'!B227)</f>
        <v/>
      </c>
    </row>
    <row r="66" spans="1:1" x14ac:dyDescent="0.3">
      <c r="A66" t="str">
        <f>IF(ISBLANK('Work Package'!B228),"",'Work Package'!B228)</f>
        <v/>
      </c>
    </row>
    <row r="67" spans="1:1" x14ac:dyDescent="0.3">
      <c r="A67" t="str">
        <f>IF(ISBLANK('Work Package'!B229),"",'Work Package'!B229)</f>
        <v/>
      </c>
    </row>
    <row r="68" spans="1:1" x14ac:dyDescent="0.3">
      <c r="A68" t="str">
        <f>IF(ISBLANK('Work Package'!B230),"",'Work Package'!B230)</f>
        <v/>
      </c>
    </row>
    <row r="69" spans="1:1" x14ac:dyDescent="0.3">
      <c r="A69" t="str">
        <f>IF(ISBLANK('Work Package'!B231),"",'Work Package'!B231)</f>
        <v/>
      </c>
    </row>
    <row r="70" spans="1:1" x14ac:dyDescent="0.3">
      <c r="A70" t="str">
        <f>IF(ISBLANK('Work Package'!B232),"",'Work Package'!B232)</f>
        <v/>
      </c>
    </row>
    <row r="71" spans="1:1" x14ac:dyDescent="0.3">
      <c r="A71" t="str">
        <f>IF(ISBLANK('Work Package'!B233),"",'Work Package'!B233)</f>
        <v/>
      </c>
    </row>
    <row r="72" spans="1:1" x14ac:dyDescent="0.3">
      <c r="A72" t="str">
        <f>IF(ISBLANK('Work Package'!B234),"",'Work Package'!B234)</f>
        <v/>
      </c>
    </row>
    <row r="73" spans="1:1" x14ac:dyDescent="0.3">
      <c r="A73" t="str">
        <f>IF(ISBLANK('Work Package'!B235),"",'Work Package'!B235)</f>
        <v/>
      </c>
    </row>
    <row r="74" spans="1:1" x14ac:dyDescent="0.3">
      <c r="A74" t="str">
        <f>IF(ISBLANK('Work Package'!B236),"",'Work Package'!B236)</f>
        <v/>
      </c>
    </row>
    <row r="75" spans="1:1" x14ac:dyDescent="0.3">
      <c r="A75" t="str">
        <f>IF(ISBLANK('Work Package'!B237),"",'Work Package'!B237)</f>
        <v/>
      </c>
    </row>
    <row r="76" spans="1:1" x14ac:dyDescent="0.3">
      <c r="A76" t="str">
        <f>IF(ISBLANK('Work Package'!B238),"",'Work Package'!B238)</f>
        <v/>
      </c>
    </row>
    <row r="77" spans="1:1" x14ac:dyDescent="0.3">
      <c r="A77" t="str">
        <f>IF(ISBLANK('Work Package'!B239),"",'Work Package'!B239)</f>
        <v/>
      </c>
    </row>
    <row r="78" spans="1:1" x14ac:dyDescent="0.3">
      <c r="A78" t="str">
        <f>IF(ISBLANK('Work Package'!B240),"",'Work Package'!B240)</f>
        <v/>
      </c>
    </row>
    <row r="79" spans="1:1" x14ac:dyDescent="0.3">
      <c r="A79" t="str">
        <f>IF(ISBLANK('Work Package'!B241),"",'Work Package'!B241)</f>
        <v/>
      </c>
    </row>
    <row r="80" spans="1:1" x14ac:dyDescent="0.3">
      <c r="A80" t="str">
        <f>IF(ISBLANK('Work Package'!B242),"",'Work Package'!B242)</f>
        <v/>
      </c>
    </row>
    <row r="81" spans="1:1" x14ac:dyDescent="0.3">
      <c r="A81" t="str">
        <f>IF(ISBLANK('Work Package'!B243),"",'Work Package'!B243)</f>
        <v/>
      </c>
    </row>
    <row r="82" spans="1:1" x14ac:dyDescent="0.3">
      <c r="A82" t="str">
        <f>IF(ISBLANK('Work Package'!B244),"",'Work Package'!B244)</f>
        <v/>
      </c>
    </row>
    <row r="83" spans="1:1" x14ac:dyDescent="0.3">
      <c r="A83" t="str">
        <f>IF(ISBLANK('Work Package'!B245),"",'Work Package'!B245)</f>
        <v/>
      </c>
    </row>
    <row r="84" spans="1:1" x14ac:dyDescent="0.3">
      <c r="A84" t="str">
        <f>IF(ISBLANK('Work Package'!B246),"",'Work Package'!B246)</f>
        <v/>
      </c>
    </row>
    <row r="85" spans="1:1" x14ac:dyDescent="0.3">
      <c r="A85" t="str">
        <f>IF(ISBLANK('Work Package'!B247),"",'Work Package'!B247)</f>
        <v/>
      </c>
    </row>
    <row r="86" spans="1:1" x14ac:dyDescent="0.3">
      <c r="A86" t="str">
        <f>IF(ISBLANK('Work Package'!B248),"",'Work Package'!B248)</f>
        <v/>
      </c>
    </row>
    <row r="87" spans="1:1" x14ac:dyDescent="0.3">
      <c r="A87" t="str">
        <f>IF(ISBLANK('Work Package'!B249),"",'Work Package'!B249)</f>
        <v/>
      </c>
    </row>
    <row r="88" spans="1:1" x14ac:dyDescent="0.3">
      <c r="A88" t="str">
        <f>IF(ISBLANK('Work Package'!B250),"",'Work Package'!B250)</f>
        <v/>
      </c>
    </row>
    <row r="89" spans="1:1" x14ac:dyDescent="0.3">
      <c r="A89" t="str">
        <f>IF(ISBLANK('Work Package'!B251),"",'Work Package'!B251)</f>
        <v/>
      </c>
    </row>
    <row r="90" spans="1:1" x14ac:dyDescent="0.3">
      <c r="A90" t="str">
        <f>IF(ISBLANK('Work Package'!B252),"",'Work Package'!B252)</f>
        <v/>
      </c>
    </row>
    <row r="91" spans="1:1" x14ac:dyDescent="0.3">
      <c r="A91" t="str">
        <f>IF(ISBLANK('Work Package'!B253),"",'Work Package'!B253)</f>
        <v/>
      </c>
    </row>
    <row r="92" spans="1:1" x14ac:dyDescent="0.3">
      <c r="A92" t="str">
        <f>IF(ISBLANK('Work Package'!B254),"",'Work Package'!B254)</f>
        <v/>
      </c>
    </row>
    <row r="93" spans="1:1" x14ac:dyDescent="0.3">
      <c r="A93" t="str">
        <f>IF(ISBLANK('Work Package'!B255),"",'Work Package'!B255)</f>
        <v/>
      </c>
    </row>
    <row r="94" spans="1:1" x14ac:dyDescent="0.3">
      <c r="A94" t="str">
        <f>IF(ISBLANK('Work Package'!B256),"",'Work Package'!B256)</f>
        <v/>
      </c>
    </row>
    <row r="95" spans="1:1" x14ac:dyDescent="0.3">
      <c r="A95" t="str">
        <f>IF(ISBLANK('Work Package'!B257),"",'Work Package'!B257)</f>
        <v/>
      </c>
    </row>
    <row r="96" spans="1:1" x14ac:dyDescent="0.3">
      <c r="A96" t="str">
        <f>IF(ISBLANK('Work Package'!B258),"",'Work Package'!B258)</f>
        <v/>
      </c>
    </row>
    <row r="97" spans="1:1" x14ac:dyDescent="0.3">
      <c r="A97" t="str">
        <f>IF(ISBLANK('Work Package'!B259),"",'Work Package'!B259)</f>
        <v/>
      </c>
    </row>
    <row r="98" spans="1:1" x14ac:dyDescent="0.3">
      <c r="A98" t="str">
        <f>IF(ISBLANK('Work Package'!B260),"",'Work Package'!B260)</f>
        <v/>
      </c>
    </row>
    <row r="99" spans="1:1" x14ac:dyDescent="0.3">
      <c r="A99" t="str">
        <f>IF(ISBLANK('Work Package'!B261),"",'Work Package'!B261)</f>
        <v/>
      </c>
    </row>
    <row r="100" spans="1:1" x14ac:dyDescent="0.3">
      <c r="A100" t="str">
        <f>IF(ISBLANK('Work Package'!B262),"",'Work Package'!B262)</f>
        <v/>
      </c>
    </row>
    <row r="101" spans="1:1" x14ac:dyDescent="0.3">
      <c r="A101" t="str">
        <f>IF(ISBLANK('Work Package'!B263),"",'Work Package'!B263)</f>
        <v/>
      </c>
    </row>
    <row r="102" spans="1:1" x14ac:dyDescent="0.3">
      <c r="A102" t="str">
        <f>IF(ISBLANK('Work Package'!B264),"",'Work Package'!B264)</f>
        <v/>
      </c>
    </row>
    <row r="103" spans="1:1" x14ac:dyDescent="0.3">
      <c r="A103" t="str">
        <f>IF(ISBLANK('Work Package'!B265),"",'Work Package'!B265)</f>
        <v/>
      </c>
    </row>
    <row r="104" spans="1:1" x14ac:dyDescent="0.3">
      <c r="A104" t="str">
        <f>IF(ISBLANK('Work Package'!B266),"",'Work Package'!B266)</f>
        <v/>
      </c>
    </row>
    <row r="105" spans="1:1" x14ac:dyDescent="0.3">
      <c r="A105" t="str">
        <f>IF(ISBLANK('Work Package'!B267),"",'Work Package'!B267)</f>
        <v/>
      </c>
    </row>
    <row r="106" spans="1:1" x14ac:dyDescent="0.3">
      <c r="A106" t="str">
        <f>IF(ISBLANK('Work Package'!B268),"",'Work Package'!B268)</f>
        <v/>
      </c>
    </row>
    <row r="107" spans="1:1" x14ac:dyDescent="0.3">
      <c r="A107" t="str">
        <f>IF(ISBLANK('Work Package'!B269),"",'Work Package'!B269)</f>
        <v/>
      </c>
    </row>
    <row r="108" spans="1:1" x14ac:dyDescent="0.3">
      <c r="A108" t="str">
        <f>IF(ISBLANK('Work Package'!B270),"",'Work Package'!B270)</f>
        <v/>
      </c>
    </row>
    <row r="109" spans="1:1" x14ac:dyDescent="0.3">
      <c r="A109" t="str">
        <f>IF(ISBLANK('Work Package'!B271),"",'Work Package'!B271)</f>
        <v/>
      </c>
    </row>
    <row r="110" spans="1:1" x14ac:dyDescent="0.3">
      <c r="A110" t="str">
        <f>IF(ISBLANK('Work Package'!B272),"",'Work Package'!B272)</f>
        <v/>
      </c>
    </row>
    <row r="111" spans="1:1" x14ac:dyDescent="0.3">
      <c r="A111" t="str">
        <f>IF(ISBLANK('Work Package'!B273),"",'Work Package'!B273)</f>
        <v/>
      </c>
    </row>
    <row r="112" spans="1:1" x14ac:dyDescent="0.3">
      <c r="A112" t="str">
        <f>IF(ISBLANK('Work Package'!B274),"",'Work Package'!B274)</f>
        <v/>
      </c>
    </row>
    <row r="113" spans="1:1" x14ac:dyDescent="0.3">
      <c r="A113" t="str">
        <f>IF(ISBLANK('Work Package'!B275),"",'Work Package'!B275)</f>
        <v/>
      </c>
    </row>
    <row r="114" spans="1:1" x14ac:dyDescent="0.3">
      <c r="A114" t="str">
        <f>IF(ISBLANK('Work Package'!B276),"",'Work Package'!B276)</f>
        <v/>
      </c>
    </row>
    <row r="115" spans="1:1" x14ac:dyDescent="0.3">
      <c r="A115" t="str">
        <f>IF(ISBLANK('Work Package'!B277),"",'Work Package'!B277)</f>
        <v/>
      </c>
    </row>
    <row r="116" spans="1:1" x14ac:dyDescent="0.3">
      <c r="A116" t="str">
        <f>IF(ISBLANK('Work Package'!B278),"",'Work Package'!B278)</f>
        <v/>
      </c>
    </row>
    <row r="117" spans="1:1" x14ac:dyDescent="0.3">
      <c r="A117" t="str">
        <f>IF(ISBLANK('Work Package'!B279),"",'Work Package'!B279)</f>
        <v/>
      </c>
    </row>
    <row r="118" spans="1:1" x14ac:dyDescent="0.3">
      <c r="A118" t="str">
        <f>IF(ISBLANK('Work Package'!B280),"",'Work Package'!B280)</f>
        <v/>
      </c>
    </row>
    <row r="119" spans="1:1" x14ac:dyDescent="0.3">
      <c r="A119" t="str">
        <f>IF(ISBLANK('Work Package'!B281),"",'Work Package'!B281)</f>
        <v/>
      </c>
    </row>
    <row r="120" spans="1:1" x14ac:dyDescent="0.3">
      <c r="A120" t="str">
        <f>IF(ISBLANK('Work Package'!B282),"",'Work Package'!B282)</f>
        <v/>
      </c>
    </row>
    <row r="121" spans="1:1" x14ac:dyDescent="0.3">
      <c r="A121" t="str">
        <f>IF(ISBLANK('Work Package'!B283),"",'Work Package'!B283)</f>
        <v/>
      </c>
    </row>
    <row r="122" spans="1:1" x14ac:dyDescent="0.3">
      <c r="A122" t="str">
        <f>IF(ISBLANK('Work Package'!B284),"",'Work Package'!B284)</f>
        <v/>
      </c>
    </row>
    <row r="123" spans="1:1" x14ac:dyDescent="0.3">
      <c r="A123" t="str">
        <f>IF(ISBLANK('Work Package'!B285),"",'Work Package'!B285)</f>
        <v/>
      </c>
    </row>
    <row r="124" spans="1:1" x14ac:dyDescent="0.3">
      <c r="A124" t="str">
        <f>IF(ISBLANK('Work Package'!B286),"",'Work Package'!B286)</f>
        <v/>
      </c>
    </row>
    <row r="125" spans="1:1" x14ac:dyDescent="0.3">
      <c r="A125" t="str">
        <f>IF(ISBLANK('Work Package'!B287),"",'Work Package'!B287)</f>
        <v/>
      </c>
    </row>
    <row r="126" spans="1:1" x14ac:dyDescent="0.3">
      <c r="A126" t="str">
        <f>IF(ISBLANK('Work Package'!B288),"",'Work Package'!B288)</f>
        <v/>
      </c>
    </row>
    <row r="127" spans="1:1" x14ac:dyDescent="0.3">
      <c r="A127" t="str">
        <f>IF(ISBLANK('Work Package'!B289),"",'Work Package'!B289)</f>
        <v/>
      </c>
    </row>
    <row r="128" spans="1:1" x14ac:dyDescent="0.3">
      <c r="A128" t="str">
        <f>IF(ISBLANK('Work Package'!B290),"",'Work Package'!B290)</f>
        <v/>
      </c>
    </row>
    <row r="129" spans="1:1" x14ac:dyDescent="0.3">
      <c r="A129" t="str">
        <f>IF(ISBLANK('Work Package'!B291),"",'Work Package'!B291)</f>
        <v/>
      </c>
    </row>
    <row r="130" spans="1:1" x14ac:dyDescent="0.3">
      <c r="A130" t="str">
        <f>IF(ISBLANK('Work Package'!B292),"",'Work Package'!B292)</f>
        <v/>
      </c>
    </row>
    <row r="131" spans="1:1" x14ac:dyDescent="0.3">
      <c r="A131" t="str">
        <f>IF(ISBLANK('Work Package'!B293),"",'Work Package'!B293)</f>
        <v/>
      </c>
    </row>
    <row r="132" spans="1:1" x14ac:dyDescent="0.3">
      <c r="A132" t="str">
        <f>IF(ISBLANK('Work Package'!B294),"",'Work Package'!B294)</f>
        <v/>
      </c>
    </row>
    <row r="133" spans="1:1" x14ac:dyDescent="0.3">
      <c r="A133" t="str">
        <f>IF(ISBLANK('Work Package'!B295),"",'Work Package'!B295)</f>
        <v/>
      </c>
    </row>
    <row r="134" spans="1:1" x14ac:dyDescent="0.3">
      <c r="A134" t="str">
        <f>IF(ISBLANK('Work Package'!B296),"",'Work Package'!B296)</f>
        <v/>
      </c>
    </row>
    <row r="135" spans="1:1" x14ac:dyDescent="0.3">
      <c r="A135" t="str">
        <f>IF(ISBLANK('Work Package'!B297),"",'Work Package'!B297)</f>
        <v/>
      </c>
    </row>
    <row r="136" spans="1:1" x14ac:dyDescent="0.3">
      <c r="A136" t="str">
        <f>IF(ISBLANK('Work Package'!B298),"",'Work Package'!B298)</f>
        <v/>
      </c>
    </row>
    <row r="137" spans="1:1" x14ac:dyDescent="0.3">
      <c r="A137" t="str">
        <f>IF(ISBLANK('Work Package'!B299),"",'Work Package'!B299)</f>
        <v/>
      </c>
    </row>
    <row r="138" spans="1:1" x14ac:dyDescent="0.3">
      <c r="A138" t="str">
        <f>IF(ISBLANK('Work Package'!B300),"",'Work Package'!B300)</f>
        <v/>
      </c>
    </row>
    <row r="139" spans="1:1" x14ac:dyDescent="0.3">
      <c r="A139" t="str">
        <f>IF(ISBLANK('Work Package'!B301),"",'Work Package'!B301)</f>
        <v/>
      </c>
    </row>
    <row r="140" spans="1:1" x14ac:dyDescent="0.3">
      <c r="A140" t="str">
        <f>IF(ISBLANK('Work Package'!B302),"",'Work Package'!B302)</f>
        <v/>
      </c>
    </row>
    <row r="141" spans="1:1" x14ac:dyDescent="0.3">
      <c r="A141" t="str">
        <f>IF(ISBLANK('Work Package'!B303),"",'Work Package'!B303)</f>
        <v/>
      </c>
    </row>
    <row r="142" spans="1:1" x14ac:dyDescent="0.3">
      <c r="A142" t="str">
        <f>IF(ISBLANK('Work Package'!B304),"",'Work Package'!B304)</f>
        <v/>
      </c>
    </row>
    <row r="143" spans="1:1" x14ac:dyDescent="0.3">
      <c r="A143" t="str">
        <f>IF(ISBLANK('Work Package'!B305),"",'Work Package'!B305)</f>
        <v/>
      </c>
    </row>
    <row r="144" spans="1:1" x14ac:dyDescent="0.3">
      <c r="A144" t="str">
        <f>IF(ISBLANK('Work Package'!B306),"",'Work Package'!B306)</f>
        <v/>
      </c>
    </row>
    <row r="145" spans="1:1" x14ac:dyDescent="0.3">
      <c r="A145" t="str">
        <f>IF(ISBLANK('Work Package'!B307),"",'Work Package'!B307)</f>
        <v/>
      </c>
    </row>
    <row r="146" spans="1:1" x14ac:dyDescent="0.3">
      <c r="A146" t="str">
        <f>IF(ISBLANK('Work Package'!B308),"",'Work Package'!B308)</f>
        <v/>
      </c>
    </row>
    <row r="147" spans="1:1" x14ac:dyDescent="0.3">
      <c r="A147" t="str">
        <f>IF(ISBLANK('Work Package'!B309),"",'Work Package'!B309)</f>
        <v/>
      </c>
    </row>
    <row r="148" spans="1:1" x14ac:dyDescent="0.3">
      <c r="A148" t="str">
        <f>IF(ISBLANK('Work Package'!B310),"",'Work Package'!B310)</f>
        <v/>
      </c>
    </row>
    <row r="149" spans="1:1" x14ac:dyDescent="0.3">
      <c r="A149" t="str">
        <f>IF(ISBLANK('Work Package'!B311),"",'Work Package'!B311)</f>
        <v/>
      </c>
    </row>
    <row r="150" spans="1:1" x14ac:dyDescent="0.3">
      <c r="A150" t="str">
        <f>IF(ISBLANK('Work Package'!B312),"",'Work Package'!B312)</f>
        <v/>
      </c>
    </row>
    <row r="151" spans="1:1" x14ac:dyDescent="0.3">
      <c r="A151" t="str">
        <f>IF(ISBLANK('Work Package'!B313),"",'Work Package'!B313)</f>
        <v/>
      </c>
    </row>
    <row r="152" spans="1:1" x14ac:dyDescent="0.3">
      <c r="A152" t="str">
        <f>IF(ISBLANK('Work Package'!B314),"",'Work Package'!B314)</f>
        <v/>
      </c>
    </row>
    <row r="153" spans="1:1" x14ac:dyDescent="0.3">
      <c r="A153" t="str">
        <f>IF(ISBLANK('Work Package'!B315),"",'Work Package'!B315)</f>
        <v/>
      </c>
    </row>
    <row r="154" spans="1:1" x14ac:dyDescent="0.3">
      <c r="A154" t="str">
        <f>IF(ISBLANK('Work Package'!B316),"",'Work Package'!B316)</f>
        <v/>
      </c>
    </row>
    <row r="155" spans="1:1" x14ac:dyDescent="0.3">
      <c r="A155" t="str">
        <f>IF(ISBLANK('Work Package'!B317),"",'Work Package'!B317)</f>
        <v/>
      </c>
    </row>
    <row r="156" spans="1:1" x14ac:dyDescent="0.3">
      <c r="A156" t="str">
        <f>IF(ISBLANK('Work Package'!B318),"",'Work Package'!B318)</f>
        <v/>
      </c>
    </row>
    <row r="157" spans="1:1" x14ac:dyDescent="0.3">
      <c r="A157" t="str">
        <f>IF(ISBLANK('Work Package'!B319),"",'Work Package'!B319)</f>
        <v/>
      </c>
    </row>
    <row r="158" spans="1:1" x14ac:dyDescent="0.3">
      <c r="A158" t="str">
        <f>IF(ISBLANK('Work Package'!B320),"",'Work Package'!B320)</f>
        <v/>
      </c>
    </row>
    <row r="159" spans="1:1" x14ac:dyDescent="0.3">
      <c r="A159" t="str">
        <f>IF(ISBLANK('Work Package'!B321),"",'Work Package'!B321)</f>
        <v/>
      </c>
    </row>
    <row r="160" spans="1:1" x14ac:dyDescent="0.3">
      <c r="A160" t="str">
        <f>IF(ISBLANK('Work Package'!B322),"",'Work Package'!B322)</f>
        <v/>
      </c>
    </row>
    <row r="161" spans="1:1" x14ac:dyDescent="0.3">
      <c r="A161" t="str">
        <f>IF(ISBLANK('Work Package'!B323),"",'Work Package'!B323)</f>
        <v/>
      </c>
    </row>
    <row r="162" spans="1:1" x14ac:dyDescent="0.3">
      <c r="A162" t="str">
        <f>IF(ISBLANK('Work Package'!B324),"",'Work Package'!B324)</f>
        <v/>
      </c>
    </row>
    <row r="163" spans="1:1" x14ac:dyDescent="0.3">
      <c r="A163" t="str">
        <f>IF(ISBLANK('Work Package'!B325),"",'Work Package'!B325)</f>
        <v/>
      </c>
    </row>
    <row r="164" spans="1:1" x14ac:dyDescent="0.3">
      <c r="A164" t="str">
        <f>IF(ISBLANK('Work Package'!B326),"",'Work Package'!B326)</f>
        <v/>
      </c>
    </row>
    <row r="165" spans="1:1" x14ac:dyDescent="0.3">
      <c r="A165" t="str">
        <f>IF(ISBLANK('Work Package'!B327),"",'Work Package'!B327)</f>
        <v/>
      </c>
    </row>
    <row r="166" spans="1:1" x14ac:dyDescent="0.3">
      <c r="A166" t="str">
        <f>IF(ISBLANK('Work Package'!B328),"",'Work Package'!B328)</f>
        <v/>
      </c>
    </row>
    <row r="167" spans="1:1" x14ac:dyDescent="0.3">
      <c r="A167" t="str">
        <f>IF(ISBLANK('Work Package'!B329),"",'Work Package'!B329)</f>
        <v/>
      </c>
    </row>
    <row r="168" spans="1:1" x14ac:dyDescent="0.3">
      <c r="A168" t="str">
        <f>IF(ISBLANK('Work Package'!B330),"",'Work Package'!B330)</f>
        <v/>
      </c>
    </row>
    <row r="169" spans="1:1" x14ac:dyDescent="0.3">
      <c r="A169" t="str">
        <f>IF(ISBLANK('Work Package'!B331),"",'Work Package'!B331)</f>
        <v/>
      </c>
    </row>
    <row r="170" spans="1:1" x14ac:dyDescent="0.3">
      <c r="A170" t="str">
        <f>IF(ISBLANK('Work Package'!B332),"",'Work Package'!B332)</f>
        <v/>
      </c>
    </row>
    <row r="171" spans="1:1" x14ac:dyDescent="0.3">
      <c r="A171" t="str">
        <f>IF(ISBLANK('Work Package'!B333),"",'Work Package'!B333)</f>
        <v/>
      </c>
    </row>
    <row r="172" spans="1:1" x14ac:dyDescent="0.3">
      <c r="A172" t="str">
        <f>IF(ISBLANK('Work Package'!B334),"",'Work Package'!B334)</f>
        <v/>
      </c>
    </row>
    <row r="173" spans="1:1" x14ac:dyDescent="0.3">
      <c r="A173" t="str">
        <f>IF(ISBLANK('Work Package'!B335),"",'Work Package'!B335)</f>
        <v/>
      </c>
    </row>
    <row r="174" spans="1:1" x14ac:dyDescent="0.3">
      <c r="A174" t="str">
        <f>IF(ISBLANK('Work Package'!B336),"",'Work Package'!B336)</f>
        <v/>
      </c>
    </row>
    <row r="175" spans="1:1" x14ac:dyDescent="0.3">
      <c r="A175" t="str">
        <f>IF(ISBLANK('Work Package'!B337),"",'Work Package'!B337)</f>
        <v/>
      </c>
    </row>
    <row r="176" spans="1:1" x14ac:dyDescent="0.3">
      <c r="A176" t="str">
        <f>IF(ISBLANK('Work Package'!B338),"",'Work Package'!B338)</f>
        <v/>
      </c>
    </row>
    <row r="177" spans="1:1" x14ac:dyDescent="0.3">
      <c r="A177" t="str">
        <f>IF(ISBLANK('Work Package'!B339),"",'Work Package'!B339)</f>
        <v/>
      </c>
    </row>
    <row r="178" spans="1:1" x14ac:dyDescent="0.3">
      <c r="A178" t="str">
        <f>IF(ISBLANK('Work Package'!B340),"",'Work Package'!B340)</f>
        <v/>
      </c>
    </row>
    <row r="179" spans="1:1" x14ac:dyDescent="0.3">
      <c r="A179" t="str">
        <f>IF(ISBLANK('Work Package'!B341),"",'Work Package'!B341)</f>
        <v/>
      </c>
    </row>
    <row r="180" spans="1:1" x14ac:dyDescent="0.3">
      <c r="A180" t="str">
        <f>IF(ISBLANK('Work Package'!B342),"",'Work Package'!B342)</f>
        <v/>
      </c>
    </row>
    <row r="181" spans="1:1" x14ac:dyDescent="0.3">
      <c r="A181" t="str">
        <f>IF(ISBLANK('Work Package'!B343),"",'Work Package'!B343)</f>
        <v/>
      </c>
    </row>
    <row r="182" spans="1:1" x14ac:dyDescent="0.3">
      <c r="A182" t="str">
        <f>IF(ISBLANK('Work Package'!B344),"",'Work Package'!B344)</f>
        <v/>
      </c>
    </row>
    <row r="183" spans="1:1" x14ac:dyDescent="0.3">
      <c r="A183" t="str">
        <f>IF(ISBLANK('Work Package'!B345),"",'Work Package'!B345)</f>
        <v/>
      </c>
    </row>
    <row r="184" spans="1:1" x14ac:dyDescent="0.3">
      <c r="A184" t="str">
        <f>IF(ISBLANK('Work Package'!B346),"",'Work Package'!B346)</f>
        <v/>
      </c>
    </row>
    <row r="185" spans="1:1" x14ac:dyDescent="0.3">
      <c r="A185" t="str">
        <f>IF(ISBLANK('Work Package'!B347),"",'Work Package'!B347)</f>
        <v/>
      </c>
    </row>
    <row r="186" spans="1:1" x14ac:dyDescent="0.3">
      <c r="A186" t="str">
        <f>IF(ISBLANK('Work Package'!B348),"",'Work Package'!B348)</f>
        <v/>
      </c>
    </row>
    <row r="187" spans="1:1" x14ac:dyDescent="0.3">
      <c r="A187" t="str">
        <f>IF(ISBLANK('Work Package'!B349),"",'Work Package'!B349)</f>
        <v/>
      </c>
    </row>
    <row r="188" spans="1:1" x14ac:dyDescent="0.3">
      <c r="A188" t="str">
        <f>IF(ISBLANK('Work Package'!B350),"",'Work Package'!B350)</f>
        <v/>
      </c>
    </row>
    <row r="189" spans="1:1" x14ac:dyDescent="0.3">
      <c r="A189" t="str">
        <f>IF(ISBLANK('Work Package'!B351),"",'Work Package'!B351)</f>
        <v/>
      </c>
    </row>
    <row r="190" spans="1:1" x14ac:dyDescent="0.3">
      <c r="A190" t="str">
        <f>IF(ISBLANK('Work Package'!B352),"",'Work Package'!B352)</f>
        <v/>
      </c>
    </row>
    <row r="191" spans="1:1" x14ac:dyDescent="0.3">
      <c r="A191" t="str">
        <f>IF(ISBLANK('Work Package'!B353),"",'Work Package'!B353)</f>
        <v/>
      </c>
    </row>
    <row r="192" spans="1:1" x14ac:dyDescent="0.3">
      <c r="A192" t="str">
        <f>IF(ISBLANK('Work Package'!B354),"",'Work Package'!B354)</f>
        <v/>
      </c>
    </row>
    <row r="193" spans="1:1" x14ac:dyDescent="0.3">
      <c r="A193" t="str">
        <f>IF(ISBLANK('Work Package'!B355),"",'Work Package'!B355)</f>
        <v/>
      </c>
    </row>
    <row r="194" spans="1:1" x14ac:dyDescent="0.3">
      <c r="A194" t="str">
        <f>IF(ISBLANK('Work Package'!B356),"",'Work Package'!B356)</f>
        <v/>
      </c>
    </row>
    <row r="195" spans="1:1" x14ac:dyDescent="0.3">
      <c r="A195" t="str">
        <f>IF(ISBLANK('Work Package'!B357),"",'Work Package'!B357)</f>
        <v/>
      </c>
    </row>
    <row r="196" spans="1:1" x14ac:dyDescent="0.3">
      <c r="A196" t="str">
        <f>IF(ISBLANK('Work Package'!B358),"",'Work Package'!B358)</f>
        <v/>
      </c>
    </row>
    <row r="197" spans="1:1" x14ac:dyDescent="0.3">
      <c r="A197" t="str">
        <f>IF(ISBLANK('Work Package'!B359),"",'Work Package'!B359)</f>
        <v/>
      </c>
    </row>
    <row r="198" spans="1:1" x14ac:dyDescent="0.3">
      <c r="A198" t="str">
        <f>IF(ISBLANK('Work Package'!B360),"",'Work Package'!B360)</f>
        <v/>
      </c>
    </row>
    <row r="199" spans="1:1" x14ac:dyDescent="0.3">
      <c r="A199" t="str">
        <f>IF(ISBLANK('Work Package'!B361),"",'Work Package'!B361)</f>
        <v/>
      </c>
    </row>
    <row r="200" spans="1:1" x14ac:dyDescent="0.3">
      <c r="A200" t="str">
        <f>IF(ISBLANK('Work Package'!B362),"",'Work Package'!B362)</f>
        <v/>
      </c>
    </row>
    <row r="201" spans="1:1" x14ac:dyDescent="0.3">
      <c r="A201" t="str">
        <f>IF(ISBLANK('Work Package'!B363),"",'Work Package'!B363)</f>
        <v/>
      </c>
    </row>
    <row r="202" spans="1:1" x14ac:dyDescent="0.3">
      <c r="A202" t="str">
        <f>IF(ISBLANK('Work Package'!B364),"",'Work Package'!B364)</f>
        <v/>
      </c>
    </row>
    <row r="203" spans="1:1" x14ac:dyDescent="0.3">
      <c r="A203" t="str">
        <f>IF(ISBLANK('Work Package'!B365),"",'Work Package'!B365)</f>
        <v/>
      </c>
    </row>
    <row r="204" spans="1:1" x14ac:dyDescent="0.3">
      <c r="A204" t="str">
        <f>IF(ISBLANK('Work Package'!B366),"",'Work Package'!B366)</f>
        <v/>
      </c>
    </row>
    <row r="205" spans="1:1" x14ac:dyDescent="0.3">
      <c r="A205" t="str">
        <f>IF(ISBLANK('Work Package'!B367),"",'Work Package'!B367)</f>
        <v/>
      </c>
    </row>
    <row r="206" spans="1:1" x14ac:dyDescent="0.3">
      <c r="A206" t="str">
        <f>IF(ISBLANK('Work Package'!B368),"",'Work Package'!B368)</f>
        <v/>
      </c>
    </row>
    <row r="207" spans="1:1" x14ac:dyDescent="0.3">
      <c r="A207" t="str">
        <f>IF(ISBLANK('Work Package'!B369),"",'Work Package'!B369)</f>
        <v/>
      </c>
    </row>
    <row r="208" spans="1:1" x14ac:dyDescent="0.3">
      <c r="A208" t="str">
        <f>IF(ISBLANK('Work Package'!B370),"",'Work Package'!B370)</f>
        <v/>
      </c>
    </row>
    <row r="209" spans="1:1" x14ac:dyDescent="0.3">
      <c r="A209" t="str">
        <f>IF(ISBLANK('Work Package'!B371),"",'Work Package'!B371)</f>
        <v/>
      </c>
    </row>
    <row r="210" spans="1:1" x14ac:dyDescent="0.3">
      <c r="A210" t="str">
        <f>IF(ISBLANK('Work Package'!B372),"",'Work Package'!B372)</f>
        <v/>
      </c>
    </row>
    <row r="211" spans="1:1" x14ac:dyDescent="0.3">
      <c r="A211" t="str">
        <f>IF(ISBLANK('Work Package'!B373),"",'Work Package'!B373)</f>
        <v/>
      </c>
    </row>
    <row r="212" spans="1:1" x14ac:dyDescent="0.3">
      <c r="A212" t="str">
        <f>IF(ISBLANK('Work Package'!B374),"",'Work Package'!B374)</f>
        <v/>
      </c>
    </row>
    <row r="213" spans="1:1" x14ac:dyDescent="0.3">
      <c r="A213" t="str">
        <f>IF(ISBLANK('Work Package'!B375),"",'Work Package'!B375)</f>
        <v/>
      </c>
    </row>
    <row r="214" spans="1:1" x14ac:dyDescent="0.3">
      <c r="A214" t="str">
        <f>IF(ISBLANK('Work Package'!B376),"",'Work Package'!B376)</f>
        <v/>
      </c>
    </row>
    <row r="215" spans="1:1" x14ac:dyDescent="0.3">
      <c r="A215" t="str">
        <f>IF(ISBLANK('Work Package'!B377),"",'Work Package'!B377)</f>
        <v/>
      </c>
    </row>
    <row r="216" spans="1:1" x14ac:dyDescent="0.3">
      <c r="A216" t="str">
        <f>IF(ISBLANK('Work Package'!B378),"",'Work Package'!B378)</f>
        <v/>
      </c>
    </row>
    <row r="217" spans="1:1" x14ac:dyDescent="0.3">
      <c r="A217" t="str">
        <f>IF(ISBLANK('Work Package'!B379),"",'Work Package'!B379)</f>
        <v/>
      </c>
    </row>
    <row r="218" spans="1:1" x14ac:dyDescent="0.3">
      <c r="A218" t="str">
        <f>IF(ISBLANK('Work Package'!B380),"",'Work Package'!B380)</f>
        <v/>
      </c>
    </row>
    <row r="219" spans="1:1" x14ac:dyDescent="0.3">
      <c r="A219" t="str">
        <f>IF(ISBLANK('Work Package'!B381),"",'Work Package'!B381)</f>
        <v/>
      </c>
    </row>
    <row r="220" spans="1:1" x14ac:dyDescent="0.3">
      <c r="A220" t="str">
        <f>IF(ISBLANK('Work Package'!B382),"",'Work Package'!B382)</f>
        <v/>
      </c>
    </row>
    <row r="221" spans="1:1" x14ac:dyDescent="0.3">
      <c r="A221" t="str">
        <f>IF(ISBLANK('Work Package'!B383),"",'Work Package'!B383)</f>
        <v/>
      </c>
    </row>
    <row r="222" spans="1:1" x14ac:dyDescent="0.3">
      <c r="A222" t="str">
        <f>IF(ISBLANK('Work Package'!B384),"",'Work Package'!B384)</f>
        <v/>
      </c>
    </row>
    <row r="223" spans="1:1" x14ac:dyDescent="0.3">
      <c r="A223" t="str">
        <f>IF(ISBLANK('Work Package'!B385),"",'Work Package'!B385)</f>
        <v/>
      </c>
    </row>
    <row r="224" spans="1:1" x14ac:dyDescent="0.3">
      <c r="A224" t="str">
        <f>IF(ISBLANK('Work Package'!B386),"",'Work Package'!B386)</f>
        <v/>
      </c>
    </row>
    <row r="225" spans="1:1" x14ac:dyDescent="0.3">
      <c r="A225" t="str">
        <f>IF(ISBLANK('Work Package'!B387),"",'Work Package'!B387)</f>
        <v/>
      </c>
    </row>
    <row r="226" spans="1:1" x14ac:dyDescent="0.3">
      <c r="A226" t="str">
        <f>IF(ISBLANK('Work Package'!B388),"",'Work Package'!B388)</f>
        <v/>
      </c>
    </row>
    <row r="227" spans="1:1" x14ac:dyDescent="0.3">
      <c r="A227" t="str">
        <f>IF(ISBLANK('Work Package'!B389),"",'Work Package'!B389)</f>
        <v/>
      </c>
    </row>
    <row r="228" spans="1:1" x14ac:dyDescent="0.3">
      <c r="A228" t="str">
        <f>IF(ISBLANK('Work Package'!B390),"",'Work Package'!B390)</f>
        <v/>
      </c>
    </row>
    <row r="229" spans="1:1" x14ac:dyDescent="0.3">
      <c r="A229" t="str">
        <f>IF(ISBLANK('Work Package'!B391),"",'Work Package'!B391)</f>
        <v/>
      </c>
    </row>
    <row r="230" spans="1:1" x14ac:dyDescent="0.3">
      <c r="A230" t="str">
        <f>IF(ISBLANK('Work Package'!B392),"",'Work Package'!B392)</f>
        <v/>
      </c>
    </row>
    <row r="231" spans="1:1" x14ac:dyDescent="0.3">
      <c r="A231" t="str">
        <f>IF(ISBLANK('Work Package'!B393),"",'Work Package'!B393)</f>
        <v/>
      </c>
    </row>
    <row r="232" spans="1:1" x14ac:dyDescent="0.3">
      <c r="A232" t="str">
        <f>IF(ISBLANK('Work Package'!B394),"",'Work Package'!B394)</f>
        <v/>
      </c>
    </row>
    <row r="233" spans="1:1" x14ac:dyDescent="0.3">
      <c r="A233" t="str">
        <f>IF(ISBLANK('Work Package'!B395),"",'Work Package'!B395)</f>
        <v/>
      </c>
    </row>
    <row r="234" spans="1:1" x14ac:dyDescent="0.3">
      <c r="A234" t="str">
        <f>IF(ISBLANK('Work Package'!B396),"",'Work Package'!B396)</f>
        <v/>
      </c>
    </row>
    <row r="235" spans="1:1" x14ac:dyDescent="0.3">
      <c r="A235" t="str">
        <f>IF(ISBLANK('Work Package'!B397),"",'Work Package'!B397)</f>
        <v/>
      </c>
    </row>
    <row r="236" spans="1:1" x14ac:dyDescent="0.3">
      <c r="A236" t="str">
        <f>IF(ISBLANK('Work Package'!B398),"",'Work Package'!B398)</f>
        <v/>
      </c>
    </row>
    <row r="237" spans="1:1" x14ac:dyDescent="0.3">
      <c r="A237" t="str">
        <f>IF(ISBLANK('Work Package'!B399),"",'Work Package'!B399)</f>
        <v/>
      </c>
    </row>
    <row r="238" spans="1:1" x14ac:dyDescent="0.3">
      <c r="A238" t="str">
        <f>IF(ISBLANK('Work Package'!B400),"",'Work Package'!B400)</f>
        <v/>
      </c>
    </row>
    <row r="239" spans="1:1" x14ac:dyDescent="0.3">
      <c r="A239" t="str">
        <f>IF(ISBLANK('Work Package'!B401),"",'Work Package'!B401)</f>
        <v/>
      </c>
    </row>
    <row r="240" spans="1:1" x14ac:dyDescent="0.3">
      <c r="A240" t="str">
        <f>IF(ISBLANK('Work Package'!B402),"",'Work Package'!B402)</f>
        <v/>
      </c>
    </row>
    <row r="241" spans="1:1" x14ac:dyDescent="0.3">
      <c r="A241" t="str">
        <f>IF(ISBLANK('Work Package'!B403),"",'Work Package'!B403)</f>
        <v/>
      </c>
    </row>
    <row r="242" spans="1:1" x14ac:dyDescent="0.3">
      <c r="A242" t="str">
        <f>IF(ISBLANK('Work Package'!B404),"",'Work Package'!B404)</f>
        <v/>
      </c>
    </row>
    <row r="243" spans="1:1" x14ac:dyDescent="0.3">
      <c r="A243" t="str">
        <f>IF(ISBLANK('Work Package'!B405),"",'Work Package'!B405)</f>
        <v/>
      </c>
    </row>
    <row r="244" spans="1:1" x14ac:dyDescent="0.3">
      <c r="A244" t="str">
        <f>IF(ISBLANK('Work Package'!B406),"",'Work Package'!B406)</f>
        <v/>
      </c>
    </row>
    <row r="245" spans="1:1" x14ac:dyDescent="0.3">
      <c r="A245" t="str">
        <f>IF(ISBLANK('Work Package'!B407),"",'Work Package'!B407)</f>
        <v/>
      </c>
    </row>
    <row r="246" spans="1:1" x14ac:dyDescent="0.3">
      <c r="A246" t="str">
        <f>IF(ISBLANK('Work Package'!B408),"",'Work Package'!B408)</f>
        <v/>
      </c>
    </row>
    <row r="247" spans="1:1" x14ac:dyDescent="0.3">
      <c r="A247" t="str">
        <f>IF(ISBLANK('Work Package'!B409),"",'Work Package'!B409)</f>
        <v/>
      </c>
    </row>
    <row r="248" spans="1:1" x14ac:dyDescent="0.3">
      <c r="A248" t="str">
        <f>IF(ISBLANK('Work Package'!B410),"",'Work Package'!B410)</f>
        <v/>
      </c>
    </row>
    <row r="249" spans="1:1" x14ac:dyDescent="0.3">
      <c r="A249" t="str">
        <f>IF(ISBLANK('Work Package'!B411),"",'Work Package'!B411)</f>
        <v/>
      </c>
    </row>
    <row r="250" spans="1:1" x14ac:dyDescent="0.3">
      <c r="A250" t="str">
        <f>IF(ISBLANK('Work Package'!B412),"",'Work Package'!B412)</f>
        <v/>
      </c>
    </row>
    <row r="251" spans="1:1" x14ac:dyDescent="0.3">
      <c r="A251" t="str">
        <f>IF(ISBLANK('Work Package'!B413),"",'Work Package'!B413)</f>
        <v/>
      </c>
    </row>
    <row r="252" spans="1:1" x14ac:dyDescent="0.3">
      <c r="A252" t="str">
        <f>IF(ISBLANK('Work Package'!B414),"",'Work Package'!B414)</f>
        <v/>
      </c>
    </row>
    <row r="253" spans="1:1" x14ac:dyDescent="0.3">
      <c r="A253" t="str">
        <f>IF(ISBLANK('Work Package'!B415),"",'Work Package'!B415)</f>
        <v/>
      </c>
    </row>
    <row r="254" spans="1:1" x14ac:dyDescent="0.3">
      <c r="A254" t="str">
        <f>IF(ISBLANK('Work Package'!B416),"",'Work Package'!B416)</f>
        <v/>
      </c>
    </row>
    <row r="255" spans="1:1" x14ac:dyDescent="0.3">
      <c r="A255" t="str">
        <f>IF(ISBLANK('Work Package'!B417),"",'Work Package'!B417)</f>
        <v/>
      </c>
    </row>
    <row r="256" spans="1:1" x14ac:dyDescent="0.3">
      <c r="A256" t="str">
        <f>IF(ISBLANK('Work Package'!B418),"",'Work Package'!B418)</f>
        <v/>
      </c>
    </row>
    <row r="257" spans="1:1" x14ac:dyDescent="0.3">
      <c r="A257" t="str">
        <f>IF(ISBLANK('Work Package'!B419),"",'Work Package'!B419)</f>
        <v/>
      </c>
    </row>
    <row r="258" spans="1:1" x14ac:dyDescent="0.3">
      <c r="A258" t="str">
        <f>IF(ISBLANK('Work Package'!B420),"",'Work Package'!B420)</f>
        <v/>
      </c>
    </row>
    <row r="259" spans="1:1" x14ac:dyDescent="0.3">
      <c r="A259" t="str">
        <f>IF(ISBLANK('Work Package'!B421),"",'Work Package'!B421)</f>
        <v/>
      </c>
    </row>
    <row r="260" spans="1:1" x14ac:dyDescent="0.3">
      <c r="A260" t="str">
        <f>IF(ISBLANK('Work Package'!B422),"",'Work Package'!B422)</f>
        <v/>
      </c>
    </row>
    <row r="261" spans="1:1" x14ac:dyDescent="0.3">
      <c r="A261" t="str">
        <f>IF(ISBLANK('Work Package'!B423),"",'Work Package'!B423)</f>
        <v/>
      </c>
    </row>
    <row r="262" spans="1:1" x14ac:dyDescent="0.3">
      <c r="A262" t="str">
        <f>IF(ISBLANK('Work Package'!B424),"",'Work Package'!B424)</f>
        <v/>
      </c>
    </row>
    <row r="263" spans="1:1" x14ac:dyDescent="0.3">
      <c r="A263" t="str">
        <f>IF(ISBLANK('Work Package'!B425),"",'Work Package'!B425)</f>
        <v/>
      </c>
    </row>
    <row r="264" spans="1:1" x14ac:dyDescent="0.3">
      <c r="A264" t="str">
        <f>IF(ISBLANK('Work Package'!B426),"",'Work Package'!B426)</f>
        <v/>
      </c>
    </row>
    <row r="265" spans="1:1" x14ac:dyDescent="0.3">
      <c r="A265" t="str">
        <f>IF(ISBLANK('Work Package'!B427),"",'Work Package'!B427)</f>
        <v/>
      </c>
    </row>
    <row r="266" spans="1:1" x14ac:dyDescent="0.3">
      <c r="A266" t="str">
        <f>IF(ISBLANK('Work Package'!B428),"",'Work Package'!B428)</f>
        <v/>
      </c>
    </row>
    <row r="267" spans="1:1" x14ac:dyDescent="0.3">
      <c r="A267" t="str">
        <f>IF(ISBLANK('Work Package'!B429),"",'Work Package'!B429)</f>
        <v/>
      </c>
    </row>
    <row r="268" spans="1:1" x14ac:dyDescent="0.3">
      <c r="A268" t="str">
        <f>IF(ISBLANK('Work Package'!B430),"",'Work Package'!B430)</f>
        <v/>
      </c>
    </row>
    <row r="269" spans="1:1" x14ac:dyDescent="0.3">
      <c r="A269" t="str">
        <f>IF(ISBLANK('Work Package'!B431),"",'Work Package'!B431)</f>
        <v/>
      </c>
    </row>
    <row r="270" spans="1:1" x14ac:dyDescent="0.3">
      <c r="A270" t="str">
        <f>IF(ISBLANK('Work Package'!B432),"",'Work Package'!B432)</f>
        <v/>
      </c>
    </row>
    <row r="271" spans="1:1" x14ac:dyDescent="0.3">
      <c r="A271" t="str">
        <f>IF(ISBLANK('Work Package'!B433),"",'Work Package'!B433)</f>
        <v/>
      </c>
    </row>
    <row r="272" spans="1:1" x14ac:dyDescent="0.3">
      <c r="A272" t="str">
        <f>IF(ISBLANK('Work Package'!B434),"",'Work Package'!B434)</f>
        <v/>
      </c>
    </row>
    <row r="273" spans="1:1" x14ac:dyDescent="0.3">
      <c r="A273" t="str">
        <f>IF(ISBLANK('Work Package'!B435),"",'Work Package'!B435)</f>
        <v/>
      </c>
    </row>
    <row r="274" spans="1:1" x14ac:dyDescent="0.3">
      <c r="A274" t="str">
        <f>IF(ISBLANK('Work Package'!B436),"",'Work Package'!B436)</f>
        <v/>
      </c>
    </row>
    <row r="275" spans="1:1" x14ac:dyDescent="0.3">
      <c r="A275" t="str">
        <f>IF(ISBLANK('Work Package'!B437),"",'Work Package'!B437)</f>
        <v/>
      </c>
    </row>
    <row r="276" spans="1:1" x14ac:dyDescent="0.3">
      <c r="A276" t="str">
        <f>IF(ISBLANK('Work Package'!B438),"",'Work Package'!B438)</f>
        <v/>
      </c>
    </row>
    <row r="277" spans="1:1" x14ac:dyDescent="0.3">
      <c r="A277" t="str">
        <f>IF(ISBLANK('Work Package'!B439),"",'Work Package'!B439)</f>
        <v/>
      </c>
    </row>
    <row r="278" spans="1:1" x14ac:dyDescent="0.3">
      <c r="A278" t="str">
        <f>IF(ISBLANK('Work Package'!B440),"",'Work Package'!B440)</f>
        <v/>
      </c>
    </row>
    <row r="279" spans="1:1" x14ac:dyDescent="0.3">
      <c r="A279" t="str">
        <f>IF(ISBLANK('Work Package'!B441),"",'Work Package'!B441)</f>
        <v/>
      </c>
    </row>
    <row r="280" spans="1:1" x14ac:dyDescent="0.3">
      <c r="A280" t="str">
        <f>IF(ISBLANK('Work Package'!B442),"",'Work Package'!B442)</f>
        <v/>
      </c>
    </row>
    <row r="281" spans="1:1" x14ac:dyDescent="0.3">
      <c r="A281" t="str">
        <f>IF(ISBLANK('Work Package'!B443),"",'Work Package'!B443)</f>
        <v/>
      </c>
    </row>
    <row r="282" spans="1:1" x14ac:dyDescent="0.3">
      <c r="A282" t="str">
        <f>IF(ISBLANK('Work Package'!B444),"",'Work Package'!B444)</f>
        <v/>
      </c>
    </row>
    <row r="283" spans="1:1" x14ac:dyDescent="0.3">
      <c r="A283" t="str">
        <f>IF(ISBLANK('Work Package'!B445),"",'Work Package'!B445)</f>
        <v/>
      </c>
    </row>
    <row r="284" spans="1:1" x14ac:dyDescent="0.3">
      <c r="A284" t="str">
        <f>IF(ISBLANK('Work Package'!B446),"",'Work Package'!B446)</f>
        <v/>
      </c>
    </row>
    <row r="285" spans="1:1" x14ac:dyDescent="0.3">
      <c r="A285" t="str">
        <f>IF(ISBLANK('Work Package'!B447),"",'Work Package'!B447)</f>
        <v/>
      </c>
    </row>
    <row r="286" spans="1:1" x14ac:dyDescent="0.3">
      <c r="A286" t="str">
        <f>IF(ISBLANK('Work Package'!B448),"",'Work Package'!B448)</f>
        <v/>
      </c>
    </row>
    <row r="287" spans="1:1" x14ac:dyDescent="0.3">
      <c r="A287" t="str">
        <f>IF(ISBLANK('Work Package'!B449),"",'Work Package'!B449)</f>
        <v/>
      </c>
    </row>
    <row r="288" spans="1:1" x14ac:dyDescent="0.3">
      <c r="A288" t="str">
        <f>IF(ISBLANK('Work Package'!B450),"",'Work Package'!B450)</f>
        <v/>
      </c>
    </row>
    <row r="289" spans="1:1" x14ac:dyDescent="0.3">
      <c r="A289" t="str">
        <f>IF(ISBLANK('Work Package'!B451),"",'Work Package'!B451)</f>
        <v/>
      </c>
    </row>
    <row r="290" spans="1:1" x14ac:dyDescent="0.3">
      <c r="A290" t="str">
        <f>IF(ISBLANK('Work Package'!B452),"",'Work Package'!B452)</f>
        <v/>
      </c>
    </row>
    <row r="291" spans="1:1" x14ac:dyDescent="0.3">
      <c r="A291" t="str">
        <f>IF(ISBLANK('Work Package'!B453),"",'Work Package'!B453)</f>
        <v/>
      </c>
    </row>
    <row r="292" spans="1:1" x14ac:dyDescent="0.3">
      <c r="A292" t="str">
        <f>IF(ISBLANK('Work Package'!B454),"",'Work Package'!B454)</f>
        <v/>
      </c>
    </row>
    <row r="293" spans="1:1" x14ac:dyDescent="0.3">
      <c r="A293" t="str">
        <f>IF(ISBLANK('Work Package'!B455),"",'Work Package'!B455)</f>
        <v/>
      </c>
    </row>
    <row r="294" spans="1:1" x14ac:dyDescent="0.3">
      <c r="A294" t="str">
        <f>IF(ISBLANK('Work Package'!B456),"",'Work Package'!B456)</f>
        <v/>
      </c>
    </row>
    <row r="295" spans="1:1" x14ac:dyDescent="0.3">
      <c r="A295" t="str">
        <f>IF(ISBLANK('Work Package'!B457),"",'Work Package'!B457)</f>
        <v/>
      </c>
    </row>
    <row r="296" spans="1:1" x14ac:dyDescent="0.3">
      <c r="A296" t="str">
        <f>IF(ISBLANK('Work Package'!B458),"",'Work Package'!B458)</f>
        <v/>
      </c>
    </row>
    <row r="297" spans="1:1" x14ac:dyDescent="0.3">
      <c r="A297" t="str">
        <f>IF(ISBLANK('Work Package'!B459),"",'Work Package'!B459)</f>
        <v/>
      </c>
    </row>
    <row r="298" spans="1:1" x14ac:dyDescent="0.3">
      <c r="A298" t="str">
        <f>IF(ISBLANK('Work Package'!B460),"",'Work Package'!B460)</f>
        <v/>
      </c>
    </row>
    <row r="299" spans="1:1" x14ac:dyDescent="0.3">
      <c r="A299" t="str">
        <f>IF(ISBLANK('Work Package'!B461),"",'Work Package'!B461)</f>
        <v/>
      </c>
    </row>
    <row r="300" spans="1:1" x14ac:dyDescent="0.3">
      <c r="A300" t="str">
        <f>IF(ISBLANK('Work Package'!B462),"",'Work Package'!B462)</f>
        <v/>
      </c>
    </row>
    <row r="301" spans="1:1" x14ac:dyDescent="0.3">
      <c r="A301" t="str">
        <f>IF(ISBLANK('Work Package'!B463),"",'Work Package'!B463)</f>
        <v/>
      </c>
    </row>
    <row r="302" spans="1:1" x14ac:dyDescent="0.3">
      <c r="A302" t="str">
        <f>IF(ISBLANK('Work Package'!B464),"",'Work Package'!B464)</f>
        <v/>
      </c>
    </row>
    <row r="303" spans="1:1" x14ac:dyDescent="0.3">
      <c r="A303" t="str">
        <f>IF(ISBLANK('Work Package'!B465),"",'Work Package'!B465)</f>
        <v/>
      </c>
    </row>
    <row r="304" spans="1:1" x14ac:dyDescent="0.3">
      <c r="A304" t="str">
        <f>IF(ISBLANK('Work Package'!B466),"",'Work Package'!B466)</f>
        <v/>
      </c>
    </row>
    <row r="305" spans="1:1" x14ac:dyDescent="0.3">
      <c r="A305" t="str">
        <f>IF(ISBLANK('Work Package'!B467),"",'Work Package'!B467)</f>
        <v/>
      </c>
    </row>
    <row r="306" spans="1:1" x14ac:dyDescent="0.3">
      <c r="A306" t="str">
        <f>IF(ISBLANK('Work Package'!B468),"",'Work Package'!B468)</f>
        <v/>
      </c>
    </row>
    <row r="307" spans="1:1" x14ac:dyDescent="0.3">
      <c r="A307" t="str">
        <f>IF(ISBLANK('Work Package'!B469),"",'Work Package'!B469)</f>
        <v/>
      </c>
    </row>
    <row r="308" spans="1:1" x14ac:dyDescent="0.3">
      <c r="A308" t="str">
        <f>IF(ISBLANK('Work Package'!B470),"",'Work Package'!B470)</f>
        <v/>
      </c>
    </row>
    <row r="309" spans="1:1" x14ac:dyDescent="0.3">
      <c r="A309" t="str">
        <f>IF(ISBLANK('Work Package'!B471),"",'Work Package'!B471)</f>
        <v/>
      </c>
    </row>
    <row r="310" spans="1:1" x14ac:dyDescent="0.3">
      <c r="A310" t="str">
        <f>IF(ISBLANK('Work Package'!B472),"",'Work Package'!B472)</f>
        <v/>
      </c>
    </row>
    <row r="311" spans="1:1" x14ac:dyDescent="0.3">
      <c r="A311" t="str">
        <f>IF(ISBLANK('Work Package'!B473),"",'Work Package'!B473)</f>
        <v/>
      </c>
    </row>
    <row r="312" spans="1:1" x14ac:dyDescent="0.3">
      <c r="A312" t="str">
        <f>IF(ISBLANK('Work Package'!B474),"",'Work Package'!B474)</f>
        <v/>
      </c>
    </row>
    <row r="313" spans="1:1" x14ac:dyDescent="0.3">
      <c r="A313" t="str">
        <f>IF(ISBLANK('Work Package'!B475),"",'Work Package'!B475)</f>
        <v/>
      </c>
    </row>
    <row r="314" spans="1:1" x14ac:dyDescent="0.3">
      <c r="A314" t="str">
        <f>IF(ISBLANK('Work Package'!B476),"",'Work Package'!B476)</f>
        <v/>
      </c>
    </row>
    <row r="315" spans="1:1" x14ac:dyDescent="0.3">
      <c r="A315" t="str">
        <f>IF(ISBLANK('Work Package'!B477),"",'Work Package'!B477)</f>
        <v/>
      </c>
    </row>
    <row r="316" spans="1:1" x14ac:dyDescent="0.3">
      <c r="A316" t="str">
        <f>IF(ISBLANK('Work Package'!B478),"",'Work Package'!B478)</f>
        <v/>
      </c>
    </row>
    <row r="317" spans="1:1" x14ac:dyDescent="0.3">
      <c r="A317" t="str">
        <f>IF(ISBLANK('Work Package'!B479),"",'Work Package'!B479)</f>
        <v/>
      </c>
    </row>
    <row r="318" spans="1:1" x14ac:dyDescent="0.3">
      <c r="A318" t="str">
        <f>IF(ISBLANK('Work Package'!B480),"",'Work Package'!B480)</f>
        <v/>
      </c>
    </row>
    <row r="319" spans="1:1" x14ac:dyDescent="0.3">
      <c r="A319" t="str">
        <f>IF(ISBLANK('Work Package'!B481),"",'Work Package'!B481)</f>
        <v/>
      </c>
    </row>
    <row r="320" spans="1:1" x14ac:dyDescent="0.3">
      <c r="A320" t="str">
        <f>IF(ISBLANK('Work Package'!B482),"",'Work Package'!B482)</f>
        <v/>
      </c>
    </row>
    <row r="321" spans="1:1" x14ac:dyDescent="0.3">
      <c r="A321" t="str">
        <f>IF(ISBLANK('Work Package'!B483),"",'Work Package'!B483)</f>
        <v/>
      </c>
    </row>
    <row r="322" spans="1:1" x14ac:dyDescent="0.3">
      <c r="A322" t="str">
        <f>IF(ISBLANK('Work Package'!B484),"",'Work Package'!B484)</f>
        <v/>
      </c>
    </row>
    <row r="323" spans="1:1" x14ac:dyDescent="0.3">
      <c r="A323" t="str">
        <f>IF(ISBLANK('Work Package'!B485),"",'Work Package'!B485)</f>
        <v/>
      </c>
    </row>
    <row r="324" spans="1:1" x14ac:dyDescent="0.3">
      <c r="A324" t="str">
        <f>IF(ISBLANK('Work Package'!B486),"",'Work Package'!B486)</f>
        <v/>
      </c>
    </row>
    <row r="325" spans="1:1" x14ac:dyDescent="0.3">
      <c r="A325" t="str">
        <f>IF(ISBLANK('Work Package'!B487),"",'Work Package'!B487)</f>
        <v/>
      </c>
    </row>
    <row r="326" spans="1:1" x14ac:dyDescent="0.3">
      <c r="A326" t="str">
        <f>IF(ISBLANK('Work Package'!B488),"",'Work Package'!B488)</f>
        <v/>
      </c>
    </row>
    <row r="327" spans="1:1" x14ac:dyDescent="0.3">
      <c r="A327" t="str">
        <f>IF(ISBLANK('Work Package'!B489),"",'Work Package'!B489)</f>
        <v/>
      </c>
    </row>
    <row r="328" spans="1:1" x14ac:dyDescent="0.3">
      <c r="A328" t="str">
        <f>IF(ISBLANK('Work Package'!B490),"",'Work Package'!B490)</f>
        <v/>
      </c>
    </row>
    <row r="329" spans="1:1" x14ac:dyDescent="0.3">
      <c r="A329" t="str">
        <f>IF(ISBLANK('Work Package'!B491),"",'Work Package'!B491)</f>
        <v/>
      </c>
    </row>
    <row r="330" spans="1:1" x14ac:dyDescent="0.3">
      <c r="A330" t="str">
        <f>IF(ISBLANK('Work Package'!B492),"",'Work Package'!B492)</f>
        <v/>
      </c>
    </row>
    <row r="331" spans="1:1" x14ac:dyDescent="0.3">
      <c r="A331" t="str">
        <f>IF(ISBLANK('Work Package'!B493),"",'Work Package'!B493)</f>
        <v/>
      </c>
    </row>
    <row r="332" spans="1:1" x14ac:dyDescent="0.3">
      <c r="A332" t="str">
        <f>IF(ISBLANK('Work Package'!B494),"",'Work Package'!B494)</f>
        <v/>
      </c>
    </row>
    <row r="333" spans="1:1" x14ac:dyDescent="0.3">
      <c r="A333" t="str">
        <f>IF(ISBLANK('Work Package'!B495),"",'Work Package'!B495)</f>
        <v/>
      </c>
    </row>
    <row r="334" spans="1:1" x14ac:dyDescent="0.3">
      <c r="A334" t="str">
        <f>IF(ISBLANK('Work Package'!B496),"",'Work Package'!B496)</f>
        <v/>
      </c>
    </row>
    <row r="335" spans="1:1" x14ac:dyDescent="0.3">
      <c r="A335" t="str">
        <f>IF(ISBLANK('Work Package'!B497),"",'Work Package'!B497)</f>
        <v/>
      </c>
    </row>
    <row r="336" spans="1:1" x14ac:dyDescent="0.3">
      <c r="A336" t="str">
        <f>IF(ISBLANK('Work Package'!B498),"",'Work Package'!B498)</f>
        <v/>
      </c>
    </row>
    <row r="337" spans="1:1" x14ac:dyDescent="0.3">
      <c r="A337" t="str">
        <f>IF(ISBLANK('Work Package'!B499),"",'Work Package'!B499)</f>
        <v/>
      </c>
    </row>
    <row r="338" spans="1:1" x14ac:dyDescent="0.3">
      <c r="A338" t="str">
        <f>IF(ISBLANK('Work Package'!B500),"",'Work Package'!B500)</f>
        <v/>
      </c>
    </row>
    <row r="339" spans="1:1" x14ac:dyDescent="0.3">
      <c r="A339" t="str">
        <f>IF(ISBLANK('Work Package'!B501),"",'Work Package'!B501)</f>
        <v/>
      </c>
    </row>
    <row r="340" spans="1:1" x14ac:dyDescent="0.3">
      <c r="A340" t="str">
        <f>IF(ISBLANK('Work Package'!B502),"",'Work Package'!B502)</f>
        <v/>
      </c>
    </row>
    <row r="341" spans="1:1" x14ac:dyDescent="0.3">
      <c r="A341" t="str">
        <f>IF(ISBLANK('Work Package'!B503),"",'Work Package'!B503)</f>
        <v/>
      </c>
    </row>
    <row r="342" spans="1:1" x14ac:dyDescent="0.3">
      <c r="A342" t="str">
        <f>IF(ISBLANK('Work Package'!B504),"",'Work Package'!B504)</f>
        <v/>
      </c>
    </row>
    <row r="343" spans="1:1" x14ac:dyDescent="0.3">
      <c r="A343" t="str">
        <f>IF(ISBLANK('Work Package'!B505),"",'Work Package'!B505)</f>
        <v/>
      </c>
    </row>
    <row r="344" spans="1:1" x14ac:dyDescent="0.3">
      <c r="A344" t="str">
        <f>IF(ISBLANK('Work Package'!B506),"",'Work Package'!B506)</f>
        <v/>
      </c>
    </row>
    <row r="345" spans="1:1" x14ac:dyDescent="0.3">
      <c r="A345" t="str">
        <f>IF(ISBLANK('Work Package'!B507),"",'Work Package'!B507)</f>
        <v/>
      </c>
    </row>
    <row r="346" spans="1:1" x14ac:dyDescent="0.3">
      <c r="A346" t="str">
        <f>IF(ISBLANK('Work Package'!B508),"",'Work Package'!B508)</f>
        <v/>
      </c>
    </row>
    <row r="347" spans="1:1" x14ac:dyDescent="0.3">
      <c r="A347" t="str">
        <f>IF(ISBLANK('Work Package'!B509),"",'Work Package'!B509)</f>
        <v/>
      </c>
    </row>
    <row r="348" spans="1:1" x14ac:dyDescent="0.3">
      <c r="A348" t="str">
        <f>IF(ISBLANK('Work Package'!B510),"",'Work Package'!B510)</f>
        <v/>
      </c>
    </row>
    <row r="349" spans="1:1" x14ac:dyDescent="0.3">
      <c r="A349" t="str">
        <f>IF(ISBLANK('Work Package'!B511),"",'Work Package'!B511)</f>
        <v/>
      </c>
    </row>
    <row r="350" spans="1:1" x14ac:dyDescent="0.3">
      <c r="A350" t="str">
        <f>IF(ISBLANK('Work Package'!B512),"",'Work Package'!B512)</f>
        <v/>
      </c>
    </row>
    <row r="351" spans="1:1" x14ac:dyDescent="0.3">
      <c r="A351" t="str">
        <f>IF(ISBLANK('Work Package'!B513),"",'Work Package'!B513)</f>
        <v/>
      </c>
    </row>
    <row r="352" spans="1:1" x14ac:dyDescent="0.3">
      <c r="A352" t="str">
        <f>IF(ISBLANK('Work Package'!B514),"",'Work Package'!B514)</f>
        <v/>
      </c>
    </row>
    <row r="353" spans="1:1" x14ac:dyDescent="0.3">
      <c r="A353" t="str">
        <f>IF(ISBLANK('Work Package'!B515),"",'Work Package'!B515)</f>
        <v/>
      </c>
    </row>
    <row r="354" spans="1:1" x14ac:dyDescent="0.3">
      <c r="A354" t="str">
        <f>IF(ISBLANK('Work Package'!B516),"",'Work Package'!B516)</f>
        <v/>
      </c>
    </row>
    <row r="355" spans="1:1" x14ac:dyDescent="0.3">
      <c r="A355" t="str">
        <f>IF(ISBLANK('Work Package'!B517),"",'Work Package'!B517)</f>
        <v/>
      </c>
    </row>
    <row r="356" spans="1:1" x14ac:dyDescent="0.3">
      <c r="A356" t="str">
        <f>IF(ISBLANK('Work Package'!B518),"",'Work Package'!B518)</f>
        <v/>
      </c>
    </row>
    <row r="357" spans="1:1" x14ac:dyDescent="0.3">
      <c r="A357" t="str">
        <f>IF(ISBLANK('Work Package'!B519),"",'Work Package'!B519)</f>
        <v/>
      </c>
    </row>
    <row r="358" spans="1:1" x14ac:dyDescent="0.3">
      <c r="A358" t="str">
        <f>IF(ISBLANK('Work Package'!B520),"",'Work Package'!B520)</f>
        <v/>
      </c>
    </row>
    <row r="359" spans="1:1" x14ac:dyDescent="0.3">
      <c r="A359" t="str">
        <f>IF(ISBLANK('Work Package'!B521),"",'Work Package'!B521)</f>
        <v/>
      </c>
    </row>
    <row r="360" spans="1:1" x14ac:dyDescent="0.3">
      <c r="A360" t="str">
        <f>IF(ISBLANK('Work Package'!B522),"",'Work Package'!B522)</f>
        <v/>
      </c>
    </row>
    <row r="361" spans="1:1" x14ac:dyDescent="0.3">
      <c r="A361" t="str">
        <f>IF(ISBLANK('Work Package'!B523),"",'Work Package'!B523)</f>
        <v/>
      </c>
    </row>
    <row r="362" spans="1:1" x14ac:dyDescent="0.3">
      <c r="A362" t="str">
        <f>IF(ISBLANK('Work Package'!B524),"",'Work Package'!B524)</f>
        <v/>
      </c>
    </row>
    <row r="363" spans="1:1" x14ac:dyDescent="0.3">
      <c r="A363" t="str">
        <f>IF(ISBLANK('Work Package'!B525),"",'Work Package'!B525)</f>
        <v/>
      </c>
    </row>
    <row r="364" spans="1:1" x14ac:dyDescent="0.3">
      <c r="A364" t="str">
        <f>IF(ISBLANK('Work Package'!B526),"",'Work Package'!B526)</f>
        <v/>
      </c>
    </row>
    <row r="365" spans="1:1" x14ac:dyDescent="0.3">
      <c r="A365" t="str">
        <f>IF(ISBLANK('Work Package'!B527),"",'Work Package'!B527)</f>
        <v/>
      </c>
    </row>
    <row r="366" spans="1:1" x14ac:dyDescent="0.3">
      <c r="A366" t="str">
        <f>IF(ISBLANK('Work Package'!B528),"",'Work Package'!B528)</f>
        <v/>
      </c>
    </row>
    <row r="367" spans="1:1" x14ac:dyDescent="0.3">
      <c r="A367" t="str">
        <f>IF(ISBLANK('Work Package'!B529),"",'Work Package'!B529)</f>
        <v/>
      </c>
    </row>
    <row r="368" spans="1:1" x14ac:dyDescent="0.3">
      <c r="A368" t="str">
        <f>IF(ISBLANK('Work Package'!B530),"",'Work Package'!B530)</f>
        <v/>
      </c>
    </row>
    <row r="369" spans="1:1" x14ac:dyDescent="0.3">
      <c r="A369" t="str">
        <f>IF(ISBLANK('Work Package'!B531),"",'Work Package'!B531)</f>
        <v/>
      </c>
    </row>
    <row r="370" spans="1:1" x14ac:dyDescent="0.3">
      <c r="A370" t="str">
        <f>IF(ISBLANK('Work Package'!B532),"",'Work Package'!B532)</f>
        <v/>
      </c>
    </row>
    <row r="371" spans="1:1" x14ac:dyDescent="0.3">
      <c r="A371" t="str">
        <f>IF(ISBLANK('Work Package'!B533),"",'Work Package'!B533)</f>
        <v/>
      </c>
    </row>
    <row r="372" spans="1:1" x14ac:dyDescent="0.3">
      <c r="A372" t="str">
        <f>IF(ISBLANK('Work Package'!B534),"",'Work Package'!B534)</f>
        <v/>
      </c>
    </row>
    <row r="373" spans="1:1" x14ac:dyDescent="0.3">
      <c r="A373" t="str">
        <f>IF(ISBLANK('Work Package'!B535),"",'Work Package'!B535)</f>
        <v/>
      </c>
    </row>
    <row r="374" spans="1:1" x14ac:dyDescent="0.3">
      <c r="A374" t="str">
        <f>IF(ISBLANK('Work Package'!B536),"",'Work Package'!B536)</f>
        <v/>
      </c>
    </row>
    <row r="375" spans="1:1" x14ac:dyDescent="0.3">
      <c r="A375" t="str">
        <f>IF(ISBLANK('Work Package'!B537),"",'Work Package'!B537)</f>
        <v/>
      </c>
    </row>
    <row r="376" spans="1:1" x14ac:dyDescent="0.3">
      <c r="A376" t="str">
        <f>IF(ISBLANK('Work Package'!B538),"",'Work Package'!B538)</f>
        <v/>
      </c>
    </row>
    <row r="377" spans="1:1" x14ac:dyDescent="0.3">
      <c r="A377" t="str">
        <f>IF(ISBLANK('Work Package'!B539),"",'Work Package'!B539)</f>
        <v/>
      </c>
    </row>
    <row r="378" spans="1:1" x14ac:dyDescent="0.3">
      <c r="A378" t="str">
        <f>IF(ISBLANK('Work Package'!B540),"",'Work Package'!B540)</f>
        <v/>
      </c>
    </row>
    <row r="379" spans="1:1" x14ac:dyDescent="0.3">
      <c r="A379" t="str">
        <f>IF(ISBLANK('Work Package'!B541),"",'Work Package'!B541)</f>
        <v/>
      </c>
    </row>
    <row r="380" spans="1:1" x14ac:dyDescent="0.3">
      <c r="A380" t="str">
        <f>IF(ISBLANK('Work Package'!B542),"",'Work Package'!B542)</f>
        <v/>
      </c>
    </row>
    <row r="381" spans="1:1" x14ac:dyDescent="0.3">
      <c r="A381" t="str">
        <f>IF(ISBLANK('Work Package'!B543),"",'Work Package'!B543)</f>
        <v/>
      </c>
    </row>
    <row r="382" spans="1:1" x14ac:dyDescent="0.3">
      <c r="A382" t="str">
        <f>IF(ISBLANK('Work Package'!B544),"",'Work Package'!B544)</f>
        <v/>
      </c>
    </row>
    <row r="383" spans="1:1" x14ac:dyDescent="0.3">
      <c r="A383" t="str">
        <f>IF(ISBLANK('Work Package'!B545),"",'Work Package'!B545)</f>
        <v/>
      </c>
    </row>
    <row r="384" spans="1:1" x14ac:dyDescent="0.3">
      <c r="A384" t="str">
        <f>IF(ISBLANK('Work Package'!B546),"",'Work Package'!B546)</f>
        <v/>
      </c>
    </row>
    <row r="385" spans="1:1" x14ac:dyDescent="0.3">
      <c r="A385" t="str">
        <f>IF(ISBLANK('Work Package'!B547),"",'Work Package'!B547)</f>
        <v/>
      </c>
    </row>
    <row r="386" spans="1:1" x14ac:dyDescent="0.3">
      <c r="A386" t="str">
        <f>IF(ISBLANK('Work Package'!B548),"",'Work Package'!B548)</f>
        <v/>
      </c>
    </row>
    <row r="387" spans="1:1" x14ac:dyDescent="0.3">
      <c r="A387" t="str">
        <f>IF(ISBLANK('Work Package'!B549),"",'Work Package'!B549)</f>
        <v/>
      </c>
    </row>
    <row r="388" spans="1:1" x14ac:dyDescent="0.3">
      <c r="A388" t="str">
        <f>IF(ISBLANK('Work Package'!B550),"",'Work Package'!B550)</f>
        <v/>
      </c>
    </row>
    <row r="389" spans="1:1" x14ac:dyDescent="0.3">
      <c r="A389" t="str">
        <f>IF(ISBLANK('Work Package'!B551),"",'Work Package'!B551)</f>
        <v/>
      </c>
    </row>
    <row r="390" spans="1:1" x14ac:dyDescent="0.3">
      <c r="A390" t="str">
        <f>IF(ISBLANK('Work Package'!B552),"",'Work Package'!B552)</f>
        <v/>
      </c>
    </row>
    <row r="391" spans="1:1" x14ac:dyDescent="0.3">
      <c r="A391" t="str">
        <f>IF(ISBLANK('Work Package'!B553),"",'Work Package'!B553)</f>
        <v/>
      </c>
    </row>
    <row r="392" spans="1:1" x14ac:dyDescent="0.3">
      <c r="A392" t="str">
        <f>IF(ISBLANK('Work Package'!B554),"",'Work Package'!B554)</f>
        <v/>
      </c>
    </row>
    <row r="393" spans="1:1" x14ac:dyDescent="0.3">
      <c r="A393" t="str">
        <f>IF(ISBLANK('Work Package'!B555),"",'Work Package'!B555)</f>
        <v/>
      </c>
    </row>
    <row r="394" spans="1:1" x14ac:dyDescent="0.3">
      <c r="A394" t="str">
        <f>IF(ISBLANK('Work Package'!B556),"",'Work Package'!B556)</f>
        <v/>
      </c>
    </row>
    <row r="395" spans="1:1" x14ac:dyDescent="0.3">
      <c r="A395" t="str">
        <f>IF(ISBLANK('Work Package'!B557),"",'Work Package'!B557)</f>
        <v/>
      </c>
    </row>
    <row r="396" spans="1:1" x14ac:dyDescent="0.3">
      <c r="A396" t="str">
        <f>IF(ISBLANK('Work Package'!B558),"",'Work Package'!B558)</f>
        <v/>
      </c>
    </row>
    <row r="397" spans="1:1" x14ac:dyDescent="0.3">
      <c r="A397" t="str">
        <f>IF(ISBLANK('Work Package'!B559),"",'Work Package'!B559)</f>
        <v/>
      </c>
    </row>
    <row r="398" spans="1:1" x14ac:dyDescent="0.3">
      <c r="A398" t="str">
        <f>IF(ISBLANK('Work Package'!B560),"",'Work Package'!B560)</f>
        <v/>
      </c>
    </row>
    <row r="399" spans="1:1" x14ac:dyDescent="0.3">
      <c r="A399" t="str">
        <f>IF(ISBLANK('Work Package'!B561),"",'Work Package'!B561)</f>
        <v/>
      </c>
    </row>
    <row r="400" spans="1:1" x14ac:dyDescent="0.3">
      <c r="A400" t="str">
        <f>IF(ISBLANK('Work Package'!B562),"",'Work Package'!B562)</f>
        <v/>
      </c>
    </row>
    <row r="401" spans="1:1" x14ac:dyDescent="0.3">
      <c r="A401" t="str">
        <f>IF(ISBLANK('Work Package'!B563),"",'Work Package'!B563)</f>
        <v/>
      </c>
    </row>
    <row r="402" spans="1:1" x14ac:dyDescent="0.3">
      <c r="A402" t="str">
        <f>IF(ISBLANK('Work Package'!B564),"",'Work Package'!B564)</f>
        <v/>
      </c>
    </row>
    <row r="403" spans="1:1" x14ac:dyDescent="0.3">
      <c r="A403" t="str">
        <f>IF(ISBLANK('Work Package'!B565),"",'Work Package'!B565)</f>
        <v/>
      </c>
    </row>
    <row r="404" spans="1:1" x14ac:dyDescent="0.3">
      <c r="A404" t="str">
        <f>IF(ISBLANK('Work Package'!B566),"",'Work Package'!B566)</f>
        <v/>
      </c>
    </row>
    <row r="405" spans="1:1" x14ac:dyDescent="0.3">
      <c r="A405" t="str">
        <f>IF(ISBLANK('Work Package'!B567),"",'Work Package'!B567)</f>
        <v/>
      </c>
    </row>
    <row r="406" spans="1:1" x14ac:dyDescent="0.3">
      <c r="A406" t="str">
        <f>IF(ISBLANK('Work Package'!B568),"",'Work Package'!B568)</f>
        <v/>
      </c>
    </row>
    <row r="407" spans="1:1" x14ac:dyDescent="0.3">
      <c r="A407" t="str">
        <f>IF(ISBLANK('Work Package'!B569),"",'Work Package'!B569)</f>
        <v/>
      </c>
    </row>
    <row r="408" spans="1:1" x14ac:dyDescent="0.3">
      <c r="A408" t="str">
        <f>IF(ISBLANK('Work Package'!B570),"",'Work Package'!B570)</f>
        <v/>
      </c>
    </row>
    <row r="409" spans="1:1" x14ac:dyDescent="0.3">
      <c r="A409" t="str">
        <f>IF(ISBLANK('Work Package'!B571),"",'Work Package'!B571)</f>
        <v/>
      </c>
    </row>
    <row r="410" spans="1:1" x14ac:dyDescent="0.3">
      <c r="A410" t="str">
        <f>IF(ISBLANK('Work Package'!B572),"",'Work Package'!B572)</f>
        <v/>
      </c>
    </row>
    <row r="411" spans="1:1" x14ac:dyDescent="0.3">
      <c r="A411" t="str">
        <f>IF(ISBLANK('Work Package'!B573),"",'Work Package'!B573)</f>
        <v/>
      </c>
    </row>
    <row r="412" spans="1:1" x14ac:dyDescent="0.3">
      <c r="A412" t="str">
        <f>IF(ISBLANK('Work Package'!B574),"",'Work Package'!B574)</f>
        <v/>
      </c>
    </row>
    <row r="413" spans="1:1" x14ac:dyDescent="0.3">
      <c r="A413" t="str">
        <f>IF(ISBLANK('Work Package'!B575),"",'Work Package'!B575)</f>
        <v/>
      </c>
    </row>
    <row r="414" spans="1:1" x14ac:dyDescent="0.3">
      <c r="A414" t="str">
        <f>IF(ISBLANK('Work Package'!B576),"",'Work Package'!B576)</f>
        <v/>
      </c>
    </row>
    <row r="415" spans="1:1" x14ac:dyDescent="0.3">
      <c r="A415" t="str">
        <f>IF(ISBLANK('Work Package'!B577),"",'Work Package'!B577)</f>
        <v/>
      </c>
    </row>
    <row r="416" spans="1:1" x14ac:dyDescent="0.3">
      <c r="A416" t="str">
        <f>IF(ISBLANK('Work Package'!B578),"",'Work Package'!B578)</f>
        <v/>
      </c>
    </row>
    <row r="417" spans="1:1" x14ac:dyDescent="0.3">
      <c r="A417" t="str">
        <f>IF(ISBLANK('Work Package'!B579),"",'Work Package'!B579)</f>
        <v/>
      </c>
    </row>
    <row r="418" spans="1:1" x14ac:dyDescent="0.3">
      <c r="A418" t="str">
        <f>IF(ISBLANK('Work Package'!B580),"",'Work Package'!B580)</f>
        <v/>
      </c>
    </row>
    <row r="419" spans="1:1" x14ac:dyDescent="0.3">
      <c r="A419" t="str">
        <f>IF(ISBLANK('Work Package'!B581),"",'Work Package'!B581)</f>
        <v/>
      </c>
    </row>
    <row r="420" spans="1:1" x14ac:dyDescent="0.3">
      <c r="A420" t="str">
        <f>IF(ISBLANK('Work Package'!B582),"",'Work Package'!B582)</f>
        <v/>
      </c>
    </row>
    <row r="421" spans="1:1" x14ac:dyDescent="0.3">
      <c r="A421" t="str">
        <f>IF(ISBLANK('Work Package'!B583),"",'Work Package'!B583)</f>
        <v/>
      </c>
    </row>
    <row r="422" spans="1:1" x14ac:dyDescent="0.3">
      <c r="A422" t="str">
        <f>IF(ISBLANK('Work Package'!B584),"",'Work Package'!B584)</f>
        <v/>
      </c>
    </row>
    <row r="423" spans="1:1" x14ac:dyDescent="0.3">
      <c r="A423" t="str">
        <f>IF(ISBLANK('Work Package'!B585),"",'Work Package'!B585)</f>
        <v/>
      </c>
    </row>
    <row r="424" spans="1:1" x14ac:dyDescent="0.3">
      <c r="A424" t="str">
        <f>IF(ISBLANK('Work Package'!B586),"",'Work Package'!B586)</f>
        <v/>
      </c>
    </row>
    <row r="425" spans="1:1" x14ac:dyDescent="0.3">
      <c r="A425" t="str">
        <f>IF(ISBLANK('Work Package'!B587),"",'Work Package'!B587)</f>
        <v/>
      </c>
    </row>
    <row r="426" spans="1:1" x14ac:dyDescent="0.3">
      <c r="A426" t="str">
        <f>IF(ISBLANK('Work Package'!B588),"",'Work Package'!B588)</f>
        <v/>
      </c>
    </row>
    <row r="427" spans="1:1" x14ac:dyDescent="0.3">
      <c r="A427" t="str">
        <f>IF(ISBLANK('Work Package'!B589),"",'Work Package'!B589)</f>
        <v/>
      </c>
    </row>
    <row r="428" spans="1:1" x14ac:dyDescent="0.3">
      <c r="A428" t="str">
        <f>IF(ISBLANK('Work Package'!B590),"",'Work Package'!B590)</f>
        <v/>
      </c>
    </row>
    <row r="429" spans="1:1" x14ac:dyDescent="0.3">
      <c r="A429" t="str">
        <f>IF(ISBLANK('Work Package'!B591),"",'Work Package'!B591)</f>
        <v/>
      </c>
    </row>
    <row r="430" spans="1:1" x14ac:dyDescent="0.3">
      <c r="A430" t="str">
        <f>IF(ISBLANK('Work Package'!B592),"",'Work Package'!B592)</f>
        <v/>
      </c>
    </row>
    <row r="431" spans="1:1" x14ac:dyDescent="0.3">
      <c r="A431" t="str">
        <f>IF(ISBLANK('Work Package'!B593),"",'Work Package'!B593)</f>
        <v/>
      </c>
    </row>
    <row r="432" spans="1:1" x14ac:dyDescent="0.3">
      <c r="A432" t="str">
        <f>IF(ISBLANK('Work Package'!B594),"",'Work Package'!B594)</f>
        <v/>
      </c>
    </row>
    <row r="433" spans="1:1" x14ac:dyDescent="0.3">
      <c r="A433" t="str">
        <f>IF(ISBLANK('Work Package'!B595),"",'Work Package'!B595)</f>
        <v/>
      </c>
    </row>
    <row r="434" spans="1:1" x14ac:dyDescent="0.3">
      <c r="A434" t="str">
        <f>IF(ISBLANK('Work Package'!B596),"",'Work Package'!B596)</f>
        <v/>
      </c>
    </row>
    <row r="435" spans="1:1" x14ac:dyDescent="0.3">
      <c r="A435" t="str">
        <f>IF(ISBLANK('Work Package'!B597),"",'Work Package'!B597)</f>
        <v/>
      </c>
    </row>
    <row r="436" spans="1:1" x14ac:dyDescent="0.3">
      <c r="A436" t="str">
        <f>IF(ISBLANK('Work Package'!B598),"",'Work Package'!B598)</f>
        <v/>
      </c>
    </row>
    <row r="437" spans="1:1" x14ac:dyDescent="0.3">
      <c r="A437" t="str">
        <f>IF(ISBLANK('Work Package'!B599),"",'Work Package'!B599)</f>
        <v/>
      </c>
    </row>
    <row r="438" spans="1:1" x14ac:dyDescent="0.3">
      <c r="A438" t="str">
        <f>IF(ISBLANK('Work Package'!B600),"",'Work Package'!B600)</f>
        <v/>
      </c>
    </row>
    <row r="439" spans="1:1" x14ac:dyDescent="0.3">
      <c r="A439" t="str">
        <f>IF(ISBLANK('Work Package'!B601),"",'Work Package'!B601)</f>
        <v/>
      </c>
    </row>
    <row r="440" spans="1:1" x14ac:dyDescent="0.3">
      <c r="A440" t="str">
        <f>IF(ISBLANK('Work Package'!B602),"",'Work Package'!B602)</f>
        <v/>
      </c>
    </row>
    <row r="441" spans="1:1" x14ac:dyDescent="0.3">
      <c r="A441" t="str">
        <f>IF(ISBLANK('Work Package'!B603),"",'Work Package'!B603)</f>
        <v/>
      </c>
    </row>
    <row r="442" spans="1:1" x14ac:dyDescent="0.3">
      <c r="A442" t="str">
        <f>IF(ISBLANK('Work Package'!B604),"",'Work Package'!B604)</f>
        <v/>
      </c>
    </row>
    <row r="443" spans="1:1" x14ac:dyDescent="0.3">
      <c r="A443" t="str">
        <f>IF(ISBLANK('Work Package'!B605),"",'Work Package'!B605)</f>
        <v/>
      </c>
    </row>
    <row r="444" spans="1:1" x14ac:dyDescent="0.3">
      <c r="A444" t="str">
        <f>IF(ISBLANK('Work Package'!B606),"",'Work Package'!B606)</f>
        <v/>
      </c>
    </row>
    <row r="445" spans="1:1" x14ac:dyDescent="0.3">
      <c r="A445" t="str">
        <f>IF(ISBLANK('Work Package'!B607),"",'Work Package'!B607)</f>
        <v/>
      </c>
    </row>
    <row r="446" spans="1:1" x14ac:dyDescent="0.3">
      <c r="A446" t="str">
        <f>IF(ISBLANK('Work Package'!B608),"",'Work Package'!B608)</f>
        <v/>
      </c>
    </row>
    <row r="447" spans="1:1" x14ac:dyDescent="0.3">
      <c r="A447" t="str">
        <f>IF(ISBLANK('Work Package'!B609),"",'Work Package'!B609)</f>
        <v/>
      </c>
    </row>
    <row r="448" spans="1:1" x14ac:dyDescent="0.3">
      <c r="A448" t="str">
        <f>IF(ISBLANK('Work Package'!B610),"",'Work Package'!B610)</f>
        <v/>
      </c>
    </row>
    <row r="449" spans="1:1" x14ac:dyDescent="0.3">
      <c r="A449" t="str">
        <f>IF(ISBLANK('Work Package'!B611),"",'Work Package'!B611)</f>
        <v/>
      </c>
    </row>
    <row r="450" spans="1:1" x14ac:dyDescent="0.3">
      <c r="A450" t="str">
        <f>IF(ISBLANK('Work Package'!B612),"",'Work Package'!B612)</f>
        <v/>
      </c>
    </row>
    <row r="451" spans="1:1" x14ac:dyDescent="0.3">
      <c r="A451" t="str">
        <f>IF(ISBLANK('Work Package'!B613),"",'Work Package'!B613)</f>
        <v/>
      </c>
    </row>
    <row r="452" spans="1:1" x14ac:dyDescent="0.3">
      <c r="A452" t="str">
        <f>IF(ISBLANK('Work Package'!B614),"",'Work Package'!B614)</f>
        <v/>
      </c>
    </row>
    <row r="453" spans="1:1" x14ac:dyDescent="0.3">
      <c r="A453" t="str">
        <f>IF(ISBLANK('Work Package'!B615),"",'Work Package'!B615)</f>
        <v/>
      </c>
    </row>
    <row r="454" spans="1:1" x14ac:dyDescent="0.3">
      <c r="A454" t="str">
        <f>IF(ISBLANK('Work Package'!B616),"",'Work Package'!B616)</f>
        <v/>
      </c>
    </row>
    <row r="455" spans="1:1" x14ac:dyDescent="0.3">
      <c r="A455" t="str">
        <f>IF(ISBLANK('Work Package'!B617),"",'Work Package'!B617)</f>
        <v/>
      </c>
    </row>
    <row r="456" spans="1:1" x14ac:dyDescent="0.3">
      <c r="A456" t="str">
        <f>IF(ISBLANK('Work Package'!B618),"",'Work Package'!B618)</f>
        <v/>
      </c>
    </row>
    <row r="457" spans="1:1" x14ac:dyDescent="0.3">
      <c r="A457" t="str">
        <f>IF(ISBLANK('Work Package'!B619),"",'Work Package'!B619)</f>
        <v/>
      </c>
    </row>
    <row r="458" spans="1:1" x14ac:dyDescent="0.3">
      <c r="A458" t="str">
        <f>IF(ISBLANK('Work Package'!B620),"",'Work Package'!B620)</f>
        <v/>
      </c>
    </row>
    <row r="459" spans="1:1" x14ac:dyDescent="0.3">
      <c r="A459" t="str">
        <f>IF(ISBLANK('Work Package'!B621),"",'Work Package'!B621)</f>
        <v/>
      </c>
    </row>
    <row r="460" spans="1:1" x14ac:dyDescent="0.3">
      <c r="A460" t="str">
        <f>IF(ISBLANK('Work Package'!B622),"",'Work Package'!B622)</f>
        <v/>
      </c>
    </row>
    <row r="461" spans="1:1" x14ac:dyDescent="0.3">
      <c r="A461" t="str">
        <f>IF(ISBLANK('Work Package'!B623),"",'Work Package'!B623)</f>
        <v/>
      </c>
    </row>
    <row r="462" spans="1:1" x14ac:dyDescent="0.3">
      <c r="A462" t="str">
        <f>IF(ISBLANK('Work Package'!B624),"",'Work Package'!B624)</f>
        <v/>
      </c>
    </row>
    <row r="463" spans="1:1" x14ac:dyDescent="0.3">
      <c r="A463" t="str">
        <f>IF(ISBLANK('Work Package'!B625),"",'Work Package'!B625)</f>
        <v/>
      </c>
    </row>
    <row r="464" spans="1:1" x14ac:dyDescent="0.3">
      <c r="A464" t="str">
        <f>IF(ISBLANK('Work Package'!B626),"",'Work Package'!B626)</f>
        <v/>
      </c>
    </row>
    <row r="465" spans="1:1" x14ac:dyDescent="0.3">
      <c r="A465" t="str">
        <f>IF(ISBLANK('Work Package'!B627),"",'Work Package'!B627)</f>
        <v/>
      </c>
    </row>
    <row r="466" spans="1:1" x14ac:dyDescent="0.3">
      <c r="A466" t="str">
        <f>IF(ISBLANK('Work Package'!B628),"",'Work Package'!B628)</f>
        <v/>
      </c>
    </row>
    <row r="467" spans="1:1" x14ac:dyDescent="0.3">
      <c r="A467" t="str">
        <f>IF(ISBLANK('Work Package'!B629),"",'Work Package'!B629)</f>
        <v/>
      </c>
    </row>
    <row r="468" spans="1:1" x14ac:dyDescent="0.3">
      <c r="A468" t="str">
        <f>IF(ISBLANK('Work Package'!B630),"",'Work Package'!B630)</f>
        <v/>
      </c>
    </row>
    <row r="469" spans="1:1" x14ac:dyDescent="0.3">
      <c r="A469" t="str">
        <f>IF(ISBLANK('Work Package'!B631),"",'Work Package'!B631)</f>
        <v/>
      </c>
    </row>
    <row r="470" spans="1:1" x14ac:dyDescent="0.3">
      <c r="A470" t="str">
        <f>IF(ISBLANK('Work Package'!B632),"",'Work Package'!B632)</f>
        <v/>
      </c>
    </row>
    <row r="471" spans="1:1" x14ac:dyDescent="0.3">
      <c r="A471" t="str">
        <f>IF(ISBLANK('Work Package'!B633),"",'Work Package'!B633)</f>
        <v/>
      </c>
    </row>
    <row r="472" spans="1:1" x14ac:dyDescent="0.3">
      <c r="A472" t="str">
        <f>IF(ISBLANK('Work Package'!B634),"",'Work Package'!B634)</f>
        <v/>
      </c>
    </row>
    <row r="473" spans="1:1" x14ac:dyDescent="0.3">
      <c r="A473" t="str">
        <f>IF(ISBLANK('Work Package'!B635),"",'Work Package'!B635)</f>
        <v/>
      </c>
    </row>
    <row r="474" spans="1:1" x14ac:dyDescent="0.3">
      <c r="A474" t="str">
        <f>IF(ISBLANK('Work Package'!B636),"",'Work Package'!B636)</f>
        <v/>
      </c>
    </row>
    <row r="475" spans="1:1" x14ac:dyDescent="0.3">
      <c r="A475" t="str">
        <f>IF(ISBLANK('Work Package'!B637),"",'Work Package'!B637)</f>
        <v/>
      </c>
    </row>
    <row r="476" spans="1:1" x14ac:dyDescent="0.3">
      <c r="A476" t="str">
        <f>IF(ISBLANK('Work Package'!B638),"",'Work Package'!B638)</f>
        <v/>
      </c>
    </row>
    <row r="477" spans="1:1" x14ac:dyDescent="0.3">
      <c r="A477" t="str">
        <f>IF(ISBLANK('Work Package'!B639),"",'Work Package'!B639)</f>
        <v/>
      </c>
    </row>
    <row r="478" spans="1:1" x14ac:dyDescent="0.3">
      <c r="A478" t="str">
        <f>IF(ISBLANK('Work Package'!B640),"",'Work Package'!B640)</f>
        <v/>
      </c>
    </row>
    <row r="479" spans="1:1" x14ac:dyDescent="0.3">
      <c r="A479" t="str">
        <f>IF(ISBLANK('Work Package'!B641),"",'Work Package'!B641)</f>
        <v/>
      </c>
    </row>
    <row r="480" spans="1:1" x14ac:dyDescent="0.3">
      <c r="A480" t="str">
        <f>IF(ISBLANK('Work Package'!B642),"",'Work Package'!B642)</f>
        <v/>
      </c>
    </row>
    <row r="481" spans="1:1" x14ac:dyDescent="0.3">
      <c r="A481" t="str">
        <f>IF(ISBLANK('Work Package'!B643),"",'Work Package'!B643)</f>
        <v/>
      </c>
    </row>
    <row r="482" spans="1:1" x14ac:dyDescent="0.3">
      <c r="A482" t="str">
        <f>IF(ISBLANK('Work Package'!B644),"",'Work Package'!B644)</f>
        <v/>
      </c>
    </row>
    <row r="483" spans="1:1" x14ac:dyDescent="0.3">
      <c r="A483" t="str">
        <f>IF(ISBLANK('Work Package'!B645),"",'Work Package'!B645)</f>
        <v/>
      </c>
    </row>
    <row r="484" spans="1:1" x14ac:dyDescent="0.3">
      <c r="A484" t="str">
        <f>IF(ISBLANK('Work Package'!B646),"",'Work Package'!B646)</f>
        <v/>
      </c>
    </row>
    <row r="485" spans="1:1" x14ac:dyDescent="0.3">
      <c r="A485" t="str">
        <f>IF(ISBLANK('Work Package'!B647),"",'Work Package'!B647)</f>
        <v/>
      </c>
    </row>
    <row r="486" spans="1:1" x14ac:dyDescent="0.3">
      <c r="A486" t="str">
        <f>IF(ISBLANK('Work Package'!B648),"",'Work Package'!B648)</f>
        <v/>
      </c>
    </row>
    <row r="487" spans="1:1" x14ac:dyDescent="0.3">
      <c r="A487" t="str">
        <f>IF(ISBLANK('Work Package'!B649),"",'Work Package'!B649)</f>
        <v/>
      </c>
    </row>
    <row r="488" spans="1:1" x14ac:dyDescent="0.3">
      <c r="A488" t="str">
        <f>IF(ISBLANK('Work Package'!B650),"",'Work Package'!B650)</f>
        <v/>
      </c>
    </row>
    <row r="489" spans="1:1" x14ac:dyDescent="0.3">
      <c r="A489" t="str">
        <f>IF(ISBLANK('Work Package'!B651),"",'Work Package'!B651)</f>
        <v/>
      </c>
    </row>
    <row r="490" spans="1:1" x14ac:dyDescent="0.3">
      <c r="A490" t="str">
        <f>IF(ISBLANK('Work Package'!B652),"",'Work Package'!B652)</f>
        <v/>
      </c>
    </row>
    <row r="491" spans="1:1" x14ac:dyDescent="0.3">
      <c r="A491" t="str">
        <f>IF(ISBLANK('Work Package'!B653),"",'Work Package'!B653)</f>
        <v/>
      </c>
    </row>
    <row r="492" spans="1:1" x14ac:dyDescent="0.3">
      <c r="A492" t="str">
        <f>IF(ISBLANK('Work Package'!B654),"",'Work Package'!B654)</f>
        <v/>
      </c>
    </row>
    <row r="493" spans="1:1" x14ac:dyDescent="0.3">
      <c r="A493" t="str">
        <f>IF(ISBLANK('Work Package'!B655),"",'Work Package'!B655)</f>
        <v/>
      </c>
    </row>
    <row r="494" spans="1:1" x14ac:dyDescent="0.3">
      <c r="A494" t="str">
        <f>IF(ISBLANK('Work Package'!B656),"",'Work Package'!B656)</f>
        <v/>
      </c>
    </row>
    <row r="495" spans="1:1" x14ac:dyDescent="0.3">
      <c r="A495" t="str">
        <f>IF(ISBLANK('Work Package'!B657),"",'Work Package'!B657)</f>
        <v/>
      </c>
    </row>
    <row r="496" spans="1:1" x14ac:dyDescent="0.3">
      <c r="A496" t="str">
        <f>IF(ISBLANK('Work Package'!B658),"",'Work Package'!B658)</f>
        <v/>
      </c>
    </row>
    <row r="497" spans="1:1" x14ac:dyDescent="0.3">
      <c r="A497" t="str">
        <f>IF(ISBLANK('Work Package'!B659),"",'Work Package'!B659)</f>
        <v/>
      </c>
    </row>
    <row r="498" spans="1:1" x14ac:dyDescent="0.3">
      <c r="A498" t="str">
        <f>IF(ISBLANK('Work Package'!B660),"",'Work Package'!B660)</f>
        <v/>
      </c>
    </row>
    <row r="499" spans="1:1" x14ac:dyDescent="0.3">
      <c r="A499" t="str">
        <f>IF(ISBLANK('Work Package'!B661),"",'Work Package'!B661)</f>
        <v/>
      </c>
    </row>
    <row r="500" spans="1:1" x14ac:dyDescent="0.3">
      <c r="A500" t="str">
        <f>IF(ISBLANK('Work Package'!B662),"",'Work Package'!B662)</f>
        <v/>
      </c>
    </row>
    <row r="501" spans="1:1" x14ac:dyDescent="0.3">
      <c r="A501" t="str">
        <f>IF(ISBLANK('Work Package'!B663),"",'Work Package'!B663)</f>
        <v/>
      </c>
    </row>
    <row r="502" spans="1:1" x14ac:dyDescent="0.3">
      <c r="A502" t="str">
        <f>IF(ISBLANK('Work Package'!B664),"",'Work Package'!B664)</f>
        <v/>
      </c>
    </row>
    <row r="503" spans="1:1" x14ac:dyDescent="0.3">
      <c r="A503" t="str">
        <f>IF(ISBLANK('Work Package'!B665),"",'Work Package'!B665)</f>
        <v/>
      </c>
    </row>
    <row r="504" spans="1:1" x14ac:dyDescent="0.3">
      <c r="A504" t="str">
        <f>IF(ISBLANK('Work Package'!B666),"",'Work Package'!B666)</f>
        <v/>
      </c>
    </row>
    <row r="505" spans="1:1" x14ac:dyDescent="0.3">
      <c r="A505" t="str">
        <f>IF(ISBLANK('Work Package'!B667),"",'Work Package'!B667)</f>
        <v/>
      </c>
    </row>
    <row r="506" spans="1:1" x14ac:dyDescent="0.3">
      <c r="A506" t="str">
        <f>IF(ISBLANK('Work Package'!B668),"",'Work Package'!B668)</f>
        <v/>
      </c>
    </row>
    <row r="507" spans="1:1" x14ac:dyDescent="0.3">
      <c r="A507" t="str">
        <f>IF(ISBLANK('Work Package'!B669),"",'Work Package'!B669)</f>
        <v/>
      </c>
    </row>
    <row r="508" spans="1:1" x14ac:dyDescent="0.3">
      <c r="A508" t="str">
        <f>IF(ISBLANK('Work Package'!B670),"",'Work Package'!B670)</f>
        <v/>
      </c>
    </row>
    <row r="509" spans="1:1" x14ac:dyDescent="0.3">
      <c r="A509" t="str">
        <f>IF(ISBLANK('Work Package'!B671),"",'Work Package'!B671)</f>
        <v/>
      </c>
    </row>
    <row r="510" spans="1:1" x14ac:dyDescent="0.3">
      <c r="A510" t="str">
        <f>IF(ISBLANK('Work Package'!B672),"",'Work Package'!B672)</f>
        <v/>
      </c>
    </row>
    <row r="511" spans="1:1" x14ac:dyDescent="0.3">
      <c r="A511" t="str">
        <f>IF(ISBLANK('Work Package'!B673),"",'Work Package'!B673)</f>
        <v/>
      </c>
    </row>
    <row r="512" spans="1:1" x14ac:dyDescent="0.3">
      <c r="A512" t="str">
        <f>IF(ISBLANK('Work Package'!B674),"",'Work Package'!B674)</f>
        <v/>
      </c>
    </row>
    <row r="513" spans="1:1" x14ac:dyDescent="0.3">
      <c r="A513" t="str">
        <f>IF(ISBLANK('Work Package'!B675),"",'Work Package'!B675)</f>
        <v/>
      </c>
    </row>
    <row r="514" spans="1:1" x14ac:dyDescent="0.3">
      <c r="A514" t="str">
        <f>IF(ISBLANK('Work Package'!B676),"",'Work Package'!B676)</f>
        <v/>
      </c>
    </row>
    <row r="515" spans="1:1" x14ac:dyDescent="0.3">
      <c r="A515" t="str">
        <f>IF(ISBLANK('Work Package'!B677),"",'Work Package'!B677)</f>
        <v/>
      </c>
    </row>
    <row r="516" spans="1:1" x14ac:dyDescent="0.3">
      <c r="A516" t="str">
        <f>IF(ISBLANK('Work Package'!B678),"",'Work Package'!B678)</f>
        <v/>
      </c>
    </row>
    <row r="517" spans="1:1" x14ac:dyDescent="0.3">
      <c r="A517" t="str">
        <f>IF(ISBLANK('Work Package'!B679),"",'Work Package'!B679)</f>
        <v/>
      </c>
    </row>
    <row r="518" spans="1:1" x14ac:dyDescent="0.3">
      <c r="A518" t="str">
        <f>IF(ISBLANK('Work Package'!B680),"",'Work Package'!B680)</f>
        <v/>
      </c>
    </row>
    <row r="519" spans="1:1" x14ac:dyDescent="0.3">
      <c r="A519" t="str">
        <f>IF(ISBLANK('Work Package'!B681),"",'Work Package'!B681)</f>
        <v/>
      </c>
    </row>
    <row r="520" spans="1:1" x14ac:dyDescent="0.3">
      <c r="A520" t="str">
        <f>IF(ISBLANK('Work Package'!B682),"",'Work Package'!B682)</f>
        <v/>
      </c>
    </row>
    <row r="521" spans="1:1" x14ac:dyDescent="0.3">
      <c r="A521" t="str">
        <f>IF(ISBLANK('Work Package'!B683),"",'Work Package'!B683)</f>
        <v/>
      </c>
    </row>
    <row r="522" spans="1:1" x14ac:dyDescent="0.3">
      <c r="A522" t="str">
        <f>IF(ISBLANK('Work Package'!B684),"",'Work Package'!B684)</f>
        <v/>
      </c>
    </row>
    <row r="523" spans="1:1" x14ac:dyDescent="0.3">
      <c r="A523" t="str">
        <f>IF(ISBLANK('Work Package'!B685),"",'Work Package'!B685)</f>
        <v/>
      </c>
    </row>
    <row r="524" spans="1:1" x14ac:dyDescent="0.3">
      <c r="A524" t="str">
        <f>IF(ISBLANK('Work Package'!B686),"",'Work Package'!B686)</f>
        <v/>
      </c>
    </row>
    <row r="525" spans="1:1" x14ac:dyDescent="0.3">
      <c r="A525" t="str">
        <f>IF(ISBLANK('Work Package'!B687),"",'Work Package'!B687)</f>
        <v/>
      </c>
    </row>
    <row r="526" spans="1:1" x14ac:dyDescent="0.3">
      <c r="A526" t="str">
        <f>IF(ISBLANK('Work Package'!B688),"",'Work Package'!B688)</f>
        <v/>
      </c>
    </row>
    <row r="527" spans="1:1" x14ac:dyDescent="0.3">
      <c r="A527" t="str">
        <f>IF(ISBLANK('Work Package'!B689),"",'Work Package'!B689)</f>
        <v/>
      </c>
    </row>
    <row r="528" spans="1:1" x14ac:dyDescent="0.3">
      <c r="A528" t="str">
        <f>IF(ISBLANK('Work Package'!B690),"",'Work Package'!B690)</f>
        <v/>
      </c>
    </row>
    <row r="529" spans="1:1" x14ac:dyDescent="0.3">
      <c r="A529" t="str">
        <f>IF(ISBLANK('Work Package'!B691),"",'Work Package'!B691)</f>
        <v/>
      </c>
    </row>
    <row r="530" spans="1:1" x14ac:dyDescent="0.3">
      <c r="A530" t="str">
        <f>IF(ISBLANK('Work Package'!B692),"",'Work Package'!B692)</f>
        <v/>
      </c>
    </row>
    <row r="531" spans="1:1" x14ac:dyDescent="0.3">
      <c r="A531" t="str">
        <f>IF(ISBLANK('Work Package'!B693),"",'Work Package'!B693)</f>
        <v/>
      </c>
    </row>
    <row r="532" spans="1:1" x14ac:dyDescent="0.3">
      <c r="A532" t="str">
        <f>IF(ISBLANK('Work Package'!B694),"",'Work Package'!B694)</f>
        <v/>
      </c>
    </row>
    <row r="533" spans="1:1" x14ac:dyDescent="0.3">
      <c r="A533" t="str">
        <f>IF(ISBLANK('Work Package'!B695),"",'Work Package'!B695)</f>
        <v/>
      </c>
    </row>
    <row r="534" spans="1:1" x14ac:dyDescent="0.3">
      <c r="A534" t="str">
        <f>IF(ISBLANK('Work Package'!B696),"",'Work Package'!B696)</f>
        <v/>
      </c>
    </row>
    <row r="535" spans="1:1" x14ac:dyDescent="0.3">
      <c r="A535" t="str">
        <f>IF(ISBLANK('Work Package'!B697),"",'Work Package'!B697)</f>
        <v/>
      </c>
    </row>
    <row r="536" spans="1:1" x14ac:dyDescent="0.3">
      <c r="A536" t="str">
        <f>IF(ISBLANK('Work Package'!B698),"",'Work Package'!B698)</f>
        <v/>
      </c>
    </row>
    <row r="537" spans="1:1" x14ac:dyDescent="0.3">
      <c r="A537" t="str">
        <f>IF(ISBLANK('Work Package'!B699),"",'Work Package'!B699)</f>
        <v/>
      </c>
    </row>
    <row r="538" spans="1:1" x14ac:dyDescent="0.3">
      <c r="A538" t="str">
        <f>IF(ISBLANK('Work Package'!B700),"",'Work Package'!B700)</f>
        <v/>
      </c>
    </row>
    <row r="539" spans="1:1" x14ac:dyDescent="0.3">
      <c r="A539" t="str">
        <f>IF(ISBLANK('Work Package'!B701),"",'Work Package'!B701)</f>
        <v/>
      </c>
    </row>
    <row r="540" spans="1:1" x14ac:dyDescent="0.3">
      <c r="A540" t="str">
        <f>IF(ISBLANK('Work Package'!B702),"",'Work Package'!B702)</f>
        <v/>
      </c>
    </row>
    <row r="541" spans="1:1" x14ac:dyDescent="0.3">
      <c r="A541" t="str">
        <f>IF(ISBLANK('Work Package'!B703),"",'Work Package'!B703)</f>
        <v/>
      </c>
    </row>
    <row r="542" spans="1:1" x14ac:dyDescent="0.3">
      <c r="A542" t="str">
        <f>IF(ISBLANK('Work Package'!B704),"",'Work Package'!B704)</f>
        <v/>
      </c>
    </row>
    <row r="543" spans="1:1" x14ac:dyDescent="0.3">
      <c r="A543" t="str">
        <f>IF(ISBLANK('Work Package'!B705),"",'Work Package'!B705)</f>
        <v/>
      </c>
    </row>
    <row r="544" spans="1:1" x14ac:dyDescent="0.3">
      <c r="A544" t="str">
        <f>IF(ISBLANK('Work Package'!B706),"",'Work Package'!B706)</f>
        <v/>
      </c>
    </row>
    <row r="545" spans="1:1" x14ac:dyDescent="0.3">
      <c r="A545" t="str">
        <f>IF(ISBLANK('Work Package'!B707),"",'Work Package'!B707)</f>
        <v/>
      </c>
    </row>
    <row r="546" spans="1:1" x14ac:dyDescent="0.3">
      <c r="A546" t="str">
        <f>IF(ISBLANK('Work Package'!B708),"",'Work Package'!B708)</f>
        <v/>
      </c>
    </row>
    <row r="547" spans="1:1" x14ac:dyDescent="0.3">
      <c r="A547" t="str">
        <f>IF(ISBLANK('Work Package'!B709),"",'Work Package'!B709)</f>
        <v/>
      </c>
    </row>
    <row r="548" spans="1:1" x14ac:dyDescent="0.3">
      <c r="A548" t="str">
        <f>IF(ISBLANK('Work Package'!B710),"",'Work Package'!B710)</f>
        <v/>
      </c>
    </row>
    <row r="549" spans="1:1" x14ac:dyDescent="0.3">
      <c r="A549" t="str">
        <f>IF(ISBLANK('Work Package'!B711),"",'Work Package'!B711)</f>
        <v/>
      </c>
    </row>
    <row r="550" spans="1:1" x14ac:dyDescent="0.3">
      <c r="A550" t="str">
        <f>IF(ISBLANK('Work Package'!B712),"",'Work Package'!B712)</f>
        <v/>
      </c>
    </row>
    <row r="551" spans="1:1" x14ac:dyDescent="0.3">
      <c r="A551" t="str">
        <f>IF(ISBLANK('Work Package'!B713),"",'Work Package'!B713)</f>
        <v/>
      </c>
    </row>
    <row r="552" spans="1:1" x14ac:dyDescent="0.3">
      <c r="A552" t="str">
        <f>IF(ISBLANK('Work Package'!B714),"",'Work Package'!B714)</f>
        <v/>
      </c>
    </row>
    <row r="553" spans="1:1" x14ac:dyDescent="0.3">
      <c r="A553" t="str">
        <f>IF(ISBLANK('Work Package'!B715),"",'Work Package'!B715)</f>
        <v/>
      </c>
    </row>
    <row r="554" spans="1:1" x14ac:dyDescent="0.3">
      <c r="A554" t="str">
        <f>IF(ISBLANK('Work Package'!B716),"",'Work Package'!B716)</f>
        <v/>
      </c>
    </row>
    <row r="555" spans="1:1" x14ac:dyDescent="0.3">
      <c r="A555" t="str">
        <f>IF(ISBLANK('Work Package'!B717),"",'Work Package'!B717)</f>
        <v/>
      </c>
    </row>
    <row r="556" spans="1:1" x14ac:dyDescent="0.3">
      <c r="A556" t="str">
        <f>IF(ISBLANK('Work Package'!B718),"",'Work Package'!B718)</f>
        <v/>
      </c>
    </row>
    <row r="557" spans="1:1" x14ac:dyDescent="0.3">
      <c r="A557" t="str">
        <f>IF(ISBLANK('Work Package'!B719),"",'Work Package'!B719)</f>
        <v/>
      </c>
    </row>
    <row r="558" spans="1:1" x14ac:dyDescent="0.3">
      <c r="A558" t="str">
        <f>IF(ISBLANK('Work Package'!B720),"",'Work Package'!B720)</f>
        <v/>
      </c>
    </row>
    <row r="559" spans="1:1" x14ac:dyDescent="0.3">
      <c r="A559" t="str">
        <f>IF(ISBLANK('Work Package'!B721),"",'Work Package'!B721)</f>
        <v/>
      </c>
    </row>
    <row r="560" spans="1:1" x14ac:dyDescent="0.3">
      <c r="A560" t="str">
        <f>IF(ISBLANK('Work Package'!B722),"",'Work Package'!B722)</f>
        <v/>
      </c>
    </row>
    <row r="561" spans="1:1" x14ac:dyDescent="0.3">
      <c r="A561" t="str">
        <f>IF(ISBLANK('Work Package'!B723),"",'Work Package'!B723)</f>
        <v/>
      </c>
    </row>
    <row r="562" spans="1:1" x14ac:dyDescent="0.3">
      <c r="A562" t="str">
        <f>IF(ISBLANK('Work Package'!B724),"",'Work Package'!B724)</f>
        <v/>
      </c>
    </row>
    <row r="563" spans="1:1" x14ac:dyDescent="0.3">
      <c r="A563" t="str">
        <f>IF(ISBLANK('Work Package'!B725),"",'Work Package'!B725)</f>
        <v/>
      </c>
    </row>
    <row r="564" spans="1:1" x14ac:dyDescent="0.3">
      <c r="A564" t="str">
        <f>IF(ISBLANK('Work Package'!B726),"",'Work Package'!B726)</f>
        <v/>
      </c>
    </row>
    <row r="565" spans="1:1" x14ac:dyDescent="0.3">
      <c r="A565" t="str">
        <f>IF(ISBLANK('Work Package'!B727),"",'Work Package'!B727)</f>
        <v/>
      </c>
    </row>
    <row r="566" spans="1:1" x14ac:dyDescent="0.3">
      <c r="A566" t="str">
        <f>IF(ISBLANK('Work Package'!B728),"",'Work Package'!B728)</f>
        <v/>
      </c>
    </row>
    <row r="567" spans="1:1" x14ac:dyDescent="0.3">
      <c r="A567" t="str">
        <f>IF(ISBLANK('Work Package'!B729),"",'Work Package'!B729)</f>
        <v/>
      </c>
    </row>
    <row r="568" spans="1:1" x14ac:dyDescent="0.3">
      <c r="A568" t="str">
        <f>IF(ISBLANK('Work Package'!B730),"",'Work Package'!B730)</f>
        <v/>
      </c>
    </row>
    <row r="569" spans="1:1" x14ac:dyDescent="0.3">
      <c r="A569" t="str">
        <f>IF(ISBLANK('Work Package'!B731),"",'Work Package'!B731)</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B103"/>
  <sheetViews>
    <sheetView topLeftCell="V1" zoomScale="70" zoomScaleNormal="70" workbookViewId="0">
      <selection activeCell="AL2" sqref="AL2:AL3"/>
    </sheetView>
  </sheetViews>
  <sheetFormatPr defaultRowHeight="14.4" x14ac:dyDescent="0.3"/>
  <cols>
    <col min="1" max="1" width="22" customWidth="1"/>
    <col min="2" max="2" width="40.88671875" customWidth="1"/>
    <col min="3" max="3" width="0.88671875" style="28" customWidth="1"/>
    <col min="4" max="4" width="7.88671875" style="24" customWidth="1"/>
    <col min="5" max="5" width="32.33203125" style="26" customWidth="1"/>
    <col min="6" max="6" width="23.33203125" style="59" customWidth="1"/>
    <col min="7" max="7" width="19.6640625" style="20" customWidth="1"/>
    <col min="8" max="8" width="16.109375" style="20" customWidth="1"/>
    <col min="9" max="10" width="16.6640625" style="22" customWidth="1"/>
    <col min="11" max="12" width="16.6640625" style="20" customWidth="1"/>
    <col min="13" max="13" width="6.6640625" style="59" customWidth="1"/>
    <col min="14" max="14" width="16.6640625" style="20" customWidth="1"/>
    <col min="15" max="15" width="18.44140625" style="20" customWidth="1"/>
    <col min="16" max="16" width="9.33203125" customWidth="1"/>
    <col min="17" max="17" width="22.88671875" customWidth="1"/>
    <col min="18" max="18" width="6.44140625" customWidth="1"/>
    <col min="19" max="19" width="13.6640625" style="30" customWidth="1"/>
    <col min="20" max="20" width="8.6640625" customWidth="1"/>
    <col min="21" max="21" width="1.5546875" customWidth="1"/>
    <col min="22" max="22" width="15" customWidth="1"/>
    <col min="23" max="23" width="15.6640625" customWidth="1"/>
    <col min="24" max="24" width="13.6640625" customWidth="1"/>
    <col min="25" max="25" width="1.88671875" customWidth="1"/>
    <col min="26" max="26" width="12.109375" customWidth="1"/>
    <col min="27" max="27" width="14.6640625" customWidth="1"/>
    <col min="28" max="28" width="13" customWidth="1"/>
    <col min="29" max="29" width="1.6640625" customWidth="1"/>
    <col min="30" max="30" width="10.6640625" customWidth="1"/>
    <col min="31" max="34" width="8.88671875" customWidth="1"/>
    <col min="35" max="35" width="3.88671875" customWidth="1"/>
    <col min="36" max="36" width="14" customWidth="1"/>
    <col min="37" max="37" width="1.6640625" customWidth="1"/>
    <col min="38" max="38" width="33.33203125" customWidth="1"/>
    <col min="39" max="39" width="17.6640625" customWidth="1"/>
    <col min="40" max="40" width="20" customWidth="1"/>
    <col min="41" max="41" width="29.5546875" customWidth="1"/>
    <col min="43" max="43" width="14.33203125" customWidth="1"/>
    <col min="44" max="44" width="1.88671875" customWidth="1"/>
    <col min="45" max="45" width="27.109375" customWidth="1"/>
    <col min="46" max="46" width="20.33203125" style="20" customWidth="1"/>
    <col min="47" max="47" width="14.109375" style="20" customWidth="1"/>
    <col min="48" max="48" width="17.6640625" style="20" customWidth="1"/>
    <col min="49" max="49" width="16" style="20" customWidth="1"/>
    <col min="50" max="50" width="9.33203125" customWidth="1"/>
    <col min="51" max="51" width="17.44140625" customWidth="1"/>
    <col min="52" max="52" width="18.6640625" customWidth="1"/>
    <col min="53" max="53" width="18.33203125" customWidth="1"/>
    <col min="54" max="54" width="19.5546875" customWidth="1"/>
  </cols>
  <sheetData>
    <row r="1" spans="1:54" ht="14.4" customHeight="1" x14ac:dyDescent="0.3">
      <c r="A1" s="1" t="s">
        <v>4</v>
      </c>
      <c r="D1" s="21" t="s">
        <v>43</v>
      </c>
      <c r="E1" s="27" t="s">
        <v>44</v>
      </c>
      <c r="F1" s="61" t="s">
        <v>251</v>
      </c>
      <c r="G1" s="27" t="s">
        <v>252</v>
      </c>
      <c r="H1" s="27" t="s">
        <v>253</v>
      </c>
      <c r="I1" s="27" t="s">
        <v>254</v>
      </c>
      <c r="J1" s="27" t="s">
        <v>255</v>
      </c>
      <c r="K1" s="21" t="s">
        <v>45</v>
      </c>
      <c r="L1" s="21" t="s">
        <v>46</v>
      </c>
      <c r="M1" s="21" t="s">
        <v>232</v>
      </c>
      <c r="N1" s="23" t="s">
        <v>47</v>
      </c>
      <c r="O1" s="23" t="s">
        <v>48</v>
      </c>
      <c r="P1" s="21" t="s">
        <v>49</v>
      </c>
      <c r="Q1" s="21" t="s">
        <v>6</v>
      </c>
      <c r="R1" s="60" t="s">
        <v>250</v>
      </c>
      <c r="S1" s="67" t="s">
        <v>50</v>
      </c>
      <c r="T1" s="21" t="s">
        <v>51</v>
      </c>
      <c r="V1" s="243" t="s">
        <v>5</v>
      </c>
      <c r="W1" s="244"/>
      <c r="X1" s="245"/>
      <c r="Y1" s="63"/>
      <c r="Z1" s="246" t="s">
        <v>14</v>
      </c>
      <c r="AA1" s="247"/>
      <c r="AB1" s="247"/>
      <c r="AC1" s="63"/>
      <c r="AD1" s="248" t="s">
        <v>18</v>
      </c>
      <c r="AE1" s="249"/>
      <c r="AF1" s="249"/>
      <c r="AG1" s="249"/>
      <c r="AH1" s="249"/>
      <c r="AJ1" s="65" t="s">
        <v>30</v>
      </c>
      <c r="AM1" s="65"/>
      <c r="AN1" s="65"/>
      <c r="AO1" s="65"/>
      <c r="AP1" s="65"/>
      <c r="AR1" s="65"/>
      <c r="AS1" s="121" t="s">
        <v>44</v>
      </c>
      <c r="AT1" s="127" t="s">
        <v>47</v>
      </c>
      <c r="AU1" s="26" t="s">
        <v>303</v>
      </c>
      <c r="AV1" s="20" t="s">
        <v>304</v>
      </c>
      <c r="AW1" s="20" t="s">
        <v>305</v>
      </c>
      <c r="AX1" s="20" t="s">
        <v>306</v>
      </c>
      <c r="AY1" s="20" t="s">
        <v>48</v>
      </c>
      <c r="AZ1" s="26" t="s">
        <v>300</v>
      </c>
      <c r="BA1" s="20" t="s">
        <v>231</v>
      </c>
      <c r="BB1" s="26" t="s">
        <v>302</v>
      </c>
    </row>
    <row r="2" spans="1:54" ht="43.2" customHeight="1" x14ac:dyDescent="0.3">
      <c r="A2" t="s">
        <v>0</v>
      </c>
      <c r="B2" t="s">
        <v>0</v>
      </c>
      <c r="D2" s="24">
        <v>1</v>
      </c>
      <c r="E2" s="26" t="s">
        <v>52</v>
      </c>
      <c r="F2" s="62" t="str">
        <f ca="1">IF(TaskTable[[#This Row],[WBS Level]]=2,TaskTable[[#This Row],[PHASE]],OFFSET(TaskTable[[#This Row],[MAIN PHASE]],-1,0))</f>
        <v>Project Kick-off</v>
      </c>
      <c r="G2" s="26" t="str">
        <f ca="1">IF(TaskTable[[#This Row],[WBS Level]]=3,TaskTable[[#This Row],[PHASE]],IF(TaskTable[[#This Row],[WBS Level]]&lt;3,"NONE",OFFSET(TaskTable[[#This Row],[SP-1]],-1,0)))</f>
        <v>NONE</v>
      </c>
      <c r="H2" s="26" t="str">
        <f ca="1">IF(TaskTable[[#This Row],[WBS Level]]=4,TaskTable[[#This Row],[PHASE]],IF(TaskTable[[#This Row],[WBS Level]]&lt;4,"NONE",OFFSET(TaskTable[[#This Row],[SP-2]],-1,0)))</f>
        <v>NONE</v>
      </c>
      <c r="I2" s="26" t="str">
        <f ca="1">IF(TaskTable[[#This Row],[WBS Level]]=5,TaskTable[[#This Row],[PHASE]],IF(TaskTable[[#This Row],[WBS Level]]&lt;5,"NONE",OFFSET(TaskTable[[#This Row],[SP-3]],-1,0)))</f>
        <v>NONE</v>
      </c>
      <c r="J2" s="26" t="str">
        <f ca="1">IF(TaskTable[[#This Row],[WBS Level]]=6,TaskTable[[#This Row],[PHASE]],IF(TaskTable[[#This Row],[WBS Level]]&lt;6,"NONE",OFFSET(TaskTable[[#This Row],[SP-4]],-1,0)))</f>
        <v>NONE</v>
      </c>
      <c r="K2" s="20" t="s">
        <v>53</v>
      </c>
      <c r="M2" s="20">
        <f>LEN(TaskTable[WBS])-LEN(SUBSTITUTE(TaskTable[WBS],".",""))+2</f>
        <v>2</v>
      </c>
      <c r="N2" s="22">
        <v>44645</v>
      </c>
      <c r="O2" s="22">
        <v>44649</v>
      </c>
      <c r="P2" s="20">
        <v>5</v>
      </c>
      <c r="Q2" s="20" t="s">
        <v>10</v>
      </c>
      <c r="R2" s="59" t="str">
        <f>IF(TaskTable[[#This Row],[STATUS]]="COMPLETE",1,"")</f>
        <v/>
      </c>
      <c r="S2" s="66">
        <v>1</v>
      </c>
      <c r="T2" s="20">
        <v>3</v>
      </c>
      <c r="V2" s="2" t="s">
        <v>6</v>
      </c>
      <c r="W2" s="3" t="s">
        <v>7</v>
      </c>
      <c r="X2" s="3" t="s">
        <v>8</v>
      </c>
      <c r="Z2" s="12" t="s">
        <v>15</v>
      </c>
      <c r="AA2" s="13" t="s">
        <v>16</v>
      </c>
      <c r="AB2" s="13" t="s">
        <v>17</v>
      </c>
      <c r="AD2" s="132" t="s">
        <v>19</v>
      </c>
      <c r="AE2" s="133" t="s">
        <v>23</v>
      </c>
      <c r="AF2" s="134" t="s">
        <v>24</v>
      </c>
      <c r="AG2" s="134" t="s">
        <v>25</v>
      </c>
      <c r="AH2" s="1" t="s">
        <v>298</v>
      </c>
      <c r="AI2" s="129"/>
      <c r="AJ2" s="64" t="s">
        <v>3</v>
      </c>
      <c r="AL2" s="250" t="s">
        <v>37</v>
      </c>
      <c r="AM2" s="250" t="s">
        <v>41</v>
      </c>
      <c r="AN2" s="250" t="s">
        <v>40</v>
      </c>
      <c r="AO2" s="251" t="s">
        <v>42</v>
      </c>
      <c r="AP2" s="250" t="s">
        <v>299</v>
      </c>
      <c r="AQ2" s="50" t="s">
        <v>232</v>
      </c>
      <c r="AR2" s="50"/>
      <c r="AS2" s="20" t="s">
        <v>231</v>
      </c>
      <c r="AT2" s="127">
        <v>43941</v>
      </c>
      <c r="AX2" s="20">
        <v>140</v>
      </c>
      <c r="AY2" s="20"/>
      <c r="AZ2" s="20"/>
      <c r="BA2" s="20"/>
      <c r="BB2" s="20"/>
    </row>
    <row r="3" spans="1:54" ht="23.4" customHeight="1" x14ac:dyDescent="0.3">
      <c r="A3" t="s">
        <v>1</v>
      </c>
      <c r="B3" t="s">
        <v>261</v>
      </c>
      <c r="D3" s="24">
        <v>2</v>
      </c>
      <c r="E3" s="26" t="s">
        <v>54</v>
      </c>
      <c r="F3" s="62" t="str">
        <f ca="1">IF(TaskTable[[#This Row],[WBS Level]]=2,TaskTable[[#This Row],[PHASE]],OFFSET(TaskTable[[#This Row],[MAIN PHASE]],-1,0))</f>
        <v>Data Sanitation and training content creation</v>
      </c>
      <c r="G3" s="26" t="str">
        <f ca="1">IF(TaskTable[[#This Row],[WBS Level]]=3,TaskTable[[#This Row],[PHASE]],IF(TaskTable[[#This Row],[WBS Level]]&lt;3,"NONE",OFFSET(TaskTable[[#This Row],[SP-1]],-1,0)))</f>
        <v>NONE</v>
      </c>
      <c r="H3" s="26" t="str">
        <f ca="1">IF(TaskTable[[#This Row],[WBS Level]]=4,TaskTable[[#This Row],[PHASE]],IF(TaskTable[[#This Row],[WBS Level]]&lt;4,"NONE",OFFSET(TaskTable[[#This Row],[SP-2]],-1,0)))</f>
        <v>NONE</v>
      </c>
      <c r="I3" s="26" t="str">
        <f ca="1">IF(TaskTable[[#This Row],[WBS Level]]=5,TaskTable[[#This Row],[PHASE]],IF(TaskTable[[#This Row],[WBS Level]]&lt;5,"NONE",OFFSET(TaskTable[[#This Row],[SP-3]],-1,0)))</f>
        <v>NONE</v>
      </c>
      <c r="J3" s="26" t="str">
        <f ca="1">IF(TaskTable[[#This Row],[WBS Level]]=6,TaskTable[[#This Row],[PHASE]],IF(TaskTable[[#This Row],[WBS Level]]&lt;6,"NONE",OFFSET(TaskTable[[#This Row],[SP-4]],-1,0)))</f>
        <v>NONE</v>
      </c>
      <c r="K3" s="20" t="s">
        <v>55</v>
      </c>
      <c r="M3" s="20">
        <f>LEN(TaskTable[WBS])-LEN(SUBSTITUTE(TaskTable[WBS],".",""))+2</f>
        <v>2</v>
      </c>
      <c r="N3" s="22">
        <v>44664</v>
      </c>
      <c r="O3" s="22">
        <v>44693</v>
      </c>
      <c r="P3" s="20">
        <v>22</v>
      </c>
      <c r="Q3" s="20" t="s">
        <v>12</v>
      </c>
      <c r="R3" s="59">
        <f>IF(TaskTable[[#This Row],[STATUS]]="COMPLETE",1,"")</f>
        <v>1</v>
      </c>
      <c r="S3" s="66">
        <v>0.5</v>
      </c>
      <c r="T3" s="20">
        <v>22</v>
      </c>
      <c r="V3" s="4" t="s">
        <v>9</v>
      </c>
      <c r="W3" s="32">
        <v>4</v>
      </c>
      <c r="X3" s="5">
        <f>notStarted_Cnt/totalTasks_Cnt</f>
        <v>9.5238095238095233E-2</v>
      </c>
      <c r="Z3" s="125">
        <v>5000</v>
      </c>
      <c r="AA3" s="126">
        <v>1000</v>
      </c>
      <c r="AB3" s="126">
        <f>(Z3-AA3)</f>
        <v>4000</v>
      </c>
      <c r="AD3" s="18" t="s">
        <v>20</v>
      </c>
      <c r="AE3" s="14">
        <v>2</v>
      </c>
      <c r="AF3" s="14">
        <v>5</v>
      </c>
      <c r="AG3" s="14">
        <v>8</v>
      </c>
      <c r="AH3">
        <f>SUM(AE3:AG3)</f>
        <v>15</v>
      </c>
      <c r="AI3" s="130"/>
      <c r="AJ3" s="15" t="s">
        <v>9</v>
      </c>
      <c r="AL3" s="250"/>
      <c r="AM3" s="250"/>
      <c r="AN3" s="250"/>
      <c r="AO3" s="251"/>
      <c r="AP3" s="250"/>
      <c r="AQ3" s="50">
        <v>2</v>
      </c>
      <c r="AR3" s="50"/>
      <c r="AS3" s="20" t="s">
        <v>231</v>
      </c>
      <c r="AT3" s="127">
        <v>43941</v>
      </c>
      <c r="AX3" s="20">
        <v>-140</v>
      </c>
      <c r="AY3" s="20"/>
      <c r="AZ3" s="20"/>
      <c r="BA3" s="20"/>
      <c r="BB3" s="20"/>
    </row>
    <row r="4" spans="1:54" ht="28.95" customHeight="1" x14ac:dyDescent="0.3">
      <c r="A4" t="s">
        <v>2</v>
      </c>
      <c r="B4" t="s">
        <v>262</v>
      </c>
      <c r="D4" s="25">
        <v>2.1</v>
      </c>
      <c r="E4" s="26" t="s">
        <v>56</v>
      </c>
      <c r="F4" s="62" t="str">
        <f ca="1">IF(TaskTable[[#This Row],[WBS Level]]=2,TaskTable[[#This Row],[PHASE]],OFFSET(TaskTable[[#This Row],[MAIN PHASE]],-1,0))</f>
        <v>Data Sanitation and training content creation</v>
      </c>
      <c r="G4" s="26" t="str">
        <f ca="1">IF(TaskTable[[#This Row],[WBS Level]]=3,TaskTable[[#This Row],[PHASE]],IF(TaskTable[[#This Row],[WBS Level]]&lt;3,"NONE",OFFSET(TaskTable[[#This Row],[SP-1]],-1,0)))</f>
        <v>Data Extraction</v>
      </c>
      <c r="H4" s="26" t="str">
        <f ca="1">IF(TaskTable[[#This Row],[WBS Level]]=4,TaskTable[[#This Row],[PHASE]],IF(TaskTable[[#This Row],[WBS Level]]&lt;4,"NONE",OFFSET(TaskTable[[#This Row],[SP-2]],-1,0)))</f>
        <v>NONE</v>
      </c>
      <c r="I4" s="26" t="str">
        <f ca="1">IF(TaskTable[[#This Row],[WBS Level]]=5,TaskTable[[#This Row],[PHASE]],IF(TaskTable[[#This Row],[WBS Level]]&lt;5,"NONE",OFFSET(TaskTable[[#This Row],[SP-3]],-1,0)))</f>
        <v>NONE</v>
      </c>
      <c r="J4" s="26" t="str">
        <f ca="1">IF(TaskTable[[#This Row],[WBS Level]]=6,TaskTable[[#This Row],[PHASE]],IF(TaskTable[[#This Row],[WBS Level]]&lt;6,"NONE",OFFSET(TaskTable[[#This Row],[SP-4]],-1,0)))</f>
        <v>NONE</v>
      </c>
      <c r="K4" s="20" t="s">
        <v>57</v>
      </c>
      <c r="M4" s="20">
        <f>LEN(TaskTable[WBS])-LEN(SUBSTITUTE(TaskTable[WBS],".",""))+2</f>
        <v>3</v>
      </c>
      <c r="N4" s="22">
        <v>44664</v>
      </c>
      <c r="O4" s="22">
        <v>43938</v>
      </c>
      <c r="P4" s="20">
        <v>5</v>
      </c>
      <c r="Q4" s="20" t="s">
        <v>12</v>
      </c>
      <c r="R4" s="59">
        <f>IF(TaskTable[[#This Row],[STATUS]]="COMPLETE",1,"")</f>
        <v>1</v>
      </c>
      <c r="S4" s="66">
        <v>1</v>
      </c>
      <c r="T4" s="20">
        <v>5</v>
      </c>
      <c r="V4" s="6" t="s">
        <v>10</v>
      </c>
      <c r="W4" s="32">
        <v>8</v>
      </c>
      <c r="X4" s="5">
        <f>inProgress_Cnt/totalTasks_Cnt</f>
        <v>0.19047619047619047</v>
      </c>
      <c r="AA4" s="30">
        <f>AA3/Z3</f>
        <v>0.2</v>
      </c>
      <c r="AB4" s="30">
        <f>AB3/Z3</f>
        <v>0.8</v>
      </c>
      <c r="AD4" s="19" t="s">
        <v>21</v>
      </c>
      <c r="AE4" s="14">
        <v>150</v>
      </c>
      <c r="AF4" s="14">
        <v>62</v>
      </c>
      <c r="AG4" s="14">
        <v>22</v>
      </c>
      <c r="AH4">
        <f>SUM(AE4:AG4)</f>
        <v>234</v>
      </c>
      <c r="AI4" s="130"/>
      <c r="AJ4" s="8" t="s">
        <v>27</v>
      </c>
      <c r="AL4" t="s">
        <v>31</v>
      </c>
      <c r="AM4" t="s">
        <v>23</v>
      </c>
      <c r="AN4" t="s">
        <v>38</v>
      </c>
      <c r="AP4" t="s">
        <v>231</v>
      </c>
      <c r="AQ4" s="107">
        <v>43931</v>
      </c>
      <c r="AS4" s="26" t="s">
        <v>52</v>
      </c>
      <c r="AT4" s="127">
        <v>43915</v>
      </c>
      <c r="AU4" s="20">
        <f t="shared" ref="AU4:AU16" si="0">AY4-AT4</f>
        <v>4</v>
      </c>
      <c r="AV4" s="20">
        <v>40</v>
      </c>
      <c r="AW4" s="20">
        <f>(AV4/100)*AU4</f>
        <v>1.6</v>
      </c>
      <c r="AX4" s="20">
        <v>120</v>
      </c>
      <c r="AY4" s="22">
        <v>43919</v>
      </c>
      <c r="AZ4" s="20">
        <f t="shared" ref="AZ4:AZ16" si="1">AT4-$B$6</f>
        <v>-696</v>
      </c>
      <c r="BA4" s="127">
        <f t="shared" ref="BA4:BA16" si="2">$AQ$4</f>
        <v>43931</v>
      </c>
      <c r="BB4" s="20">
        <f t="shared" ref="BB4:BB16" si="3">BA4-AT4</f>
        <v>16</v>
      </c>
    </row>
    <row r="5" spans="1:54" ht="28.8" x14ac:dyDescent="0.3">
      <c r="A5" t="s">
        <v>229</v>
      </c>
      <c r="D5" s="24" t="s">
        <v>154</v>
      </c>
      <c r="E5" s="26" t="s">
        <v>58</v>
      </c>
      <c r="F5" s="62" t="str">
        <f ca="1">IF(TaskTable[[#This Row],[WBS Level]]=2,TaskTable[[#This Row],[PHASE]],OFFSET(TaskTable[[#This Row],[MAIN PHASE]],-1,0))</f>
        <v>Data Sanitation and training content creation</v>
      </c>
      <c r="G5" s="26" t="str">
        <f ca="1">IF(TaskTable[[#This Row],[WBS Level]]=3,TaskTable[[#This Row],[PHASE]],IF(TaskTable[[#This Row],[WBS Level]]&lt;3,"NONE",OFFSET(TaskTable[[#This Row],[SP-1]],-1,0)))</f>
        <v>Data Extraction</v>
      </c>
      <c r="H5" s="26" t="str">
        <f ca="1">IF(TaskTable[[#This Row],[WBS Level]]=4,TaskTable[[#This Row],[PHASE]],IF(TaskTable[[#This Row],[WBS Level]]&lt;4,"NONE",OFFSET(TaskTable[[#This Row],[SP-2]],-1,0)))</f>
        <v>Data Clean-up</v>
      </c>
      <c r="I5" s="26" t="str">
        <f ca="1">IF(TaskTable[[#This Row],[WBS Level]]=5,TaskTable[[#This Row],[PHASE]],IF(TaskTable[[#This Row],[WBS Level]]&lt;5,"NONE",OFFSET(TaskTable[[#This Row],[SP-3]],-1,0)))</f>
        <v>NONE</v>
      </c>
      <c r="J5" s="26" t="str">
        <f ca="1">IF(TaskTable[[#This Row],[WBS Level]]=6,TaskTable[[#This Row],[PHASE]],IF(TaskTable[[#This Row],[WBS Level]]&lt;6,"NONE",OFFSET(TaskTable[[#This Row],[SP-4]],-1,0)))</f>
        <v>NONE</v>
      </c>
      <c r="K5" s="20" t="s">
        <v>59</v>
      </c>
      <c r="M5" s="20">
        <f>LEN(TaskTable[WBS])-LEN(SUBSTITUTE(TaskTable[WBS],".",""))+2</f>
        <v>4</v>
      </c>
      <c r="N5" s="22">
        <v>43938</v>
      </c>
      <c r="O5" s="22">
        <v>43958</v>
      </c>
      <c r="P5" s="20">
        <v>21</v>
      </c>
      <c r="Q5" s="20" t="s">
        <v>12</v>
      </c>
      <c r="R5" s="59">
        <f>IF(TaskTable[[#This Row],[STATUS]]="COMPLETE",1,"")</f>
        <v>1</v>
      </c>
      <c r="S5" s="66">
        <v>1</v>
      </c>
      <c r="T5" s="20">
        <v>15</v>
      </c>
      <c r="V5" s="7" t="s">
        <v>11</v>
      </c>
      <c r="W5" s="32">
        <v>10</v>
      </c>
      <c r="X5" s="5">
        <f>overdue_Cnt/totalTasks_Cnt</f>
        <v>0.23809523809523808</v>
      </c>
      <c r="AD5" s="19" t="s">
        <v>22</v>
      </c>
      <c r="AE5" s="14">
        <v>8</v>
      </c>
      <c r="AF5" s="14">
        <v>9</v>
      </c>
      <c r="AG5" s="14">
        <v>238</v>
      </c>
      <c r="AH5">
        <f>SUM(AE5:AG5)</f>
        <v>255</v>
      </c>
      <c r="AI5" s="131"/>
      <c r="AJ5" s="16" t="s">
        <v>28</v>
      </c>
      <c r="AL5" t="s">
        <v>32</v>
      </c>
      <c r="AM5" t="s">
        <v>24</v>
      </c>
      <c r="AN5" t="s">
        <v>39</v>
      </c>
      <c r="AP5" t="s">
        <v>47</v>
      </c>
      <c r="AQ5" s="107">
        <f>AT4</f>
        <v>43915</v>
      </c>
      <c r="AS5" s="26" t="s">
        <v>54</v>
      </c>
      <c r="AT5" s="127">
        <v>43934</v>
      </c>
      <c r="AU5" s="20">
        <f t="shared" si="0"/>
        <v>29</v>
      </c>
      <c r="AV5" s="20">
        <f>VLOOKUP(AS5,E3:S102,15,0)*100</f>
        <v>50</v>
      </c>
      <c r="AW5" s="20">
        <f t="shared" ref="AW5:AW16" si="4">(AV5/100)*AU5</f>
        <v>14.5</v>
      </c>
      <c r="AX5" s="20">
        <v>100</v>
      </c>
      <c r="AY5" s="22">
        <v>43963</v>
      </c>
      <c r="AZ5" s="20">
        <f t="shared" si="1"/>
        <v>-677</v>
      </c>
      <c r="BA5" s="127">
        <f t="shared" si="2"/>
        <v>43931</v>
      </c>
      <c r="BB5" s="20">
        <f t="shared" si="3"/>
        <v>-3</v>
      </c>
    </row>
    <row r="6" spans="1:54" ht="28.8" x14ac:dyDescent="0.3">
      <c r="A6" t="s">
        <v>228</v>
      </c>
      <c r="B6" s="107">
        <f>projectStart</f>
        <v>44611</v>
      </c>
      <c r="D6" s="24" t="s">
        <v>155</v>
      </c>
      <c r="E6" s="26" t="s">
        <v>60</v>
      </c>
      <c r="F6" s="62" t="str">
        <f ca="1">IF(TaskTable[[#This Row],[WBS Level]]=2,TaskTable[[#This Row],[PHASE]],OFFSET(TaskTable[[#This Row],[MAIN PHASE]],-1,0))</f>
        <v>Data Sanitation and training content creation</v>
      </c>
      <c r="G6" s="26" t="str">
        <f ca="1">IF(TaskTable[[#This Row],[WBS Level]]=3,TaskTable[[#This Row],[PHASE]],IF(TaskTable[[#This Row],[WBS Level]]&lt;3,"NONE",OFFSET(TaskTable[[#This Row],[SP-1]],-1,0)))</f>
        <v>Data Extraction</v>
      </c>
      <c r="H6" s="26" t="str">
        <f ca="1">IF(TaskTable[[#This Row],[WBS Level]]=4,TaskTable[[#This Row],[PHASE]],IF(TaskTable[[#This Row],[WBS Level]]&lt;4,"NONE",OFFSET(TaskTable[[#This Row],[SP-2]],-1,0)))</f>
        <v>Product Update in JDA and My Suki</v>
      </c>
      <c r="I6" s="26" t="str">
        <f ca="1">IF(TaskTable[[#This Row],[WBS Level]]=5,TaskTable[[#This Row],[PHASE]],IF(TaskTable[[#This Row],[WBS Level]]&lt;5,"NONE",OFFSET(TaskTable[[#This Row],[SP-3]],-1,0)))</f>
        <v>NONE</v>
      </c>
      <c r="J6" s="26" t="str">
        <f ca="1">IF(TaskTable[[#This Row],[WBS Level]]=6,TaskTable[[#This Row],[PHASE]],IF(TaskTable[[#This Row],[WBS Level]]&lt;6,"NONE",OFFSET(TaskTable[[#This Row],[SP-4]],-1,0)))</f>
        <v>NONE</v>
      </c>
      <c r="K6" s="20" t="s">
        <v>59</v>
      </c>
      <c r="M6" s="20">
        <f>LEN(TaskTable[WBS])-LEN(SUBSTITUTE(TaskTable[WBS],".",""))+2</f>
        <v>4</v>
      </c>
      <c r="N6" s="22">
        <v>43938</v>
      </c>
      <c r="O6" s="22">
        <v>43941</v>
      </c>
      <c r="P6" s="20">
        <v>4</v>
      </c>
      <c r="Q6" s="20" t="s">
        <v>12</v>
      </c>
      <c r="R6" s="59">
        <f>IF(TaskTable[[#This Row],[STATUS]]="COMPLETE",1,"")</f>
        <v>1</v>
      </c>
      <c r="S6" s="66">
        <v>0.9</v>
      </c>
      <c r="T6" s="20">
        <v>2</v>
      </c>
      <c r="V6" s="8" t="s">
        <v>12</v>
      </c>
      <c r="W6" s="32">
        <v>20</v>
      </c>
      <c r="X6" s="5">
        <f>complete_Cnt/totalTasks_Cnt</f>
        <v>0.47619047619047616</v>
      </c>
      <c r="AD6" t="s">
        <v>298</v>
      </c>
      <c r="AE6">
        <f>SUM(AE3:AE5)</f>
        <v>160</v>
      </c>
      <c r="AF6">
        <f>SUM(AF3:AF5)</f>
        <v>76</v>
      </c>
      <c r="AG6">
        <f>SUM(AG3:AG5)</f>
        <v>268</v>
      </c>
      <c r="AJ6" s="7" t="s">
        <v>29</v>
      </c>
      <c r="AL6" t="s">
        <v>33</v>
      </c>
      <c r="AM6" t="s">
        <v>25</v>
      </c>
      <c r="AN6" t="s">
        <v>26</v>
      </c>
      <c r="AS6" s="26" t="s">
        <v>65</v>
      </c>
      <c r="AT6" s="127">
        <v>43929</v>
      </c>
      <c r="AU6" s="20">
        <f t="shared" si="0"/>
        <v>30</v>
      </c>
      <c r="AV6" s="20">
        <v>80</v>
      </c>
      <c r="AW6" s="20">
        <f t="shared" si="4"/>
        <v>24</v>
      </c>
      <c r="AX6" s="20">
        <v>80</v>
      </c>
      <c r="AY6" s="22">
        <v>43959</v>
      </c>
      <c r="AZ6" s="20">
        <f t="shared" si="1"/>
        <v>-682</v>
      </c>
      <c r="BA6" s="127">
        <f t="shared" si="2"/>
        <v>43931</v>
      </c>
      <c r="BB6" s="20">
        <f t="shared" si="3"/>
        <v>2</v>
      </c>
    </row>
    <row r="7" spans="1:54" ht="14.4" customHeight="1" x14ac:dyDescent="0.3">
      <c r="A7" t="s">
        <v>229</v>
      </c>
      <c r="B7" s="107">
        <v>44605</v>
      </c>
      <c r="D7" s="24" t="s">
        <v>156</v>
      </c>
      <c r="E7" s="26" t="s">
        <v>61</v>
      </c>
      <c r="F7" s="62" t="str">
        <f ca="1">IF(TaskTable[[#This Row],[WBS Level]]=2,TaskTable[[#This Row],[PHASE]],OFFSET(TaskTable[[#This Row],[MAIN PHASE]],-1,0))</f>
        <v>Data Sanitation and training content creation</v>
      </c>
      <c r="G7" s="26" t="str">
        <f ca="1">IF(TaskTable[[#This Row],[WBS Level]]=3,TaskTable[[#This Row],[PHASE]],IF(TaskTable[[#This Row],[WBS Level]]&lt;3,"NONE",OFFSET(TaskTable[[#This Row],[SP-1]],-1,0)))</f>
        <v>Data Extraction</v>
      </c>
      <c r="H7" s="26" t="str">
        <f ca="1">IF(TaskTable[[#This Row],[WBS Level]]=4,TaskTable[[#This Row],[PHASE]],IF(TaskTable[[#This Row],[WBS Level]]&lt;4,"NONE",OFFSET(TaskTable[[#This Row],[SP-2]],-1,0)))</f>
        <v>Data Clean-up Sign-off</v>
      </c>
      <c r="I7" s="26" t="str">
        <f ca="1">IF(TaskTable[[#This Row],[WBS Level]]=5,TaskTable[[#This Row],[PHASE]],IF(TaskTable[[#This Row],[WBS Level]]&lt;5,"NONE",OFFSET(TaskTable[[#This Row],[SP-3]],-1,0)))</f>
        <v>NONE</v>
      </c>
      <c r="J7" s="26" t="str">
        <f ca="1">IF(TaskTable[[#This Row],[WBS Level]]=6,TaskTable[[#This Row],[PHASE]],IF(TaskTable[[#This Row],[WBS Level]]&lt;6,"NONE",OFFSET(TaskTable[[#This Row],[SP-4]],-1,0)))</f>
        <v>NONE</v>
      </c>
      <c r="M7" s="20">
        <f>LEN(TaskTable[WBS])-LEN(SUBSTITUTE(TaskTable[WBS],".",""))+2</f>
        <v>4</v>
      </c>
      <c r="N7" s="22">
        <v>43958</v>
      </c>
      <c r="O7" s="22">
        <v>43958</v>
      </c>
      <c r="P7" s="20">
        <v>1</v>
      </c>
      <c r="Q7" s="20"/>
      <c r="R7" s="59" t="str">
        <f>IF(TaskTable[[#This Row],[STATUS]]="COMPLETE",1,"")</f>
        <v/>
      </c>
      <c r="S7" s="66">
        <v>0</v>
      </c>
      <c r="T7" s="20">
        <v>1</v>
      </c>
      <c r="V7" s="9" t="s">
        <v>13</v>
      </c>
      <c r="W7" s="10">
        <f>SUM(W3:W6)</f>
        <v>42</v>
      </c>
      <c r="X7" s="11">
        <f>SUM(X3:X6)</f>
        <v>0.99999999999999989</v>
      </c>
      <c r="AH7" s="17"/>
      <c r="AI7" s="17"/>
      <c r="AL7" t="s">
        <v>34</v>
      </c>
      <c r="AS7" s="26" t="s">
        <v>76</v>
      </c>
      <c r="AT7" s="127">
        <v>43952</v>
      </c>
      <c r="AU7" s="20">
        <f t="shared" si="0"/>
        <v>10</v>
      </c>
      <c r="AV7" s="20">
        <v>90</v>
      </c>
      <c r="AW7" s="20">
        <f t="shared" si="4"/>
        <v>9</v>
      </c>
      <c r="AX7" s="20">
        <v>60</v>
      </c>
      <c r="AY7" s="22">
        <v>43962</v>
      </c>
      <c r="AZ7" s="20">
        <f t="shared" si="1"/>
        <v>-659</v>
      </c>
      <c r="BA7" s="127">
        <f t="shared" si="2"/>
        <v>43931</v>
      </c>
      <c r="BB7" s="20">
        <f t="shared" si="3"/>
        <v>-21</v>
      </c>
    </row>
    <row r="8" spans="1:54" ht="43.2" x14ac:dyDescent="0.3">
      <c r="A8" t="s">
        <v>230</v>
      </c>
      <c r="D8" s="24" t="s">
        <v>157</v>
      </c>
      <c r="E8" s="26" t="s">
        <v>62</v>
      </c>
      <c r="F8" s="62" t="str">
        <f ca="1">IF(TaskTable[[#This Row],[WBS Level]]=2,TaskTable[[#This Row],[PHASE]],OFFSET(TaskTable[[#This Row],[MAIN PHASE]],-1,0))</f>
        <v>Data Sanitation and training content creation</v>
      </c>
      <c r="G8" s="26" t="str">
        <f ca="1">IF(TaskTable[[#This Row],[WBS Level]]=3,TaskTable[[#This Row],[PHASE]],IF(TaskTable[[#This Row],[WBS Level]]&lt;3,"NONE",OFFSET(TaskTable[[#This Row],[SP-1]],-1,0)))</f>
        <v>Data Extraction</v>
      </c>
      <c r="H8" s="26" t="str">
        <f ca="1">IF(TaskTable[[#This Row],[WBS Level]]=4,TaskTable[[#This Row],[PHASE]],IF(TaskTable[[#This Row],[WBS Level]]&lt;4,"NONE",OFFSET(TaskTable[[#This Row],[SP-2]],-1,0)))</f>
        <v>Training Content Creation - Store Operation</v>
      </c>
      <c r="I8" s="26" t="str">
        <f ca="1">IF(TaskTable[[#This Row],[WBS Level]]=5,TaskTable[[#This Row],[PHASE]],IF(TaskTable[[#This Row],[WBS Level]]&lt;5,"NONE",OFFSET(TaskTable[[#This Row],[SP-3]],-1,0)))</f>
        <v>NONE</v>
      </c>
      <c r="J8" s="26" t="str">
        <f ca="1">IF(TaskTable[[#This Row],[WBS Level]]=6,TaskTable[[#This Row],[PHASE]],IF(TaskTable[[#This Row],[WBS Level]]&lt;6,"NONE",OFFSET(TaskTable[[#This Row],[SP-4]],-1,0)))</f>
        <v>NONE</v>
      </c>
      <c r="K8" s="20" t="s">
        <v>57</v>
      </c>
      <c r="M8" s="20">
        <f>LEN(TaskTable[WBS])-LEN(SUBSTITUTE(TaskTable[WBS],".",""))+2</f>
        <v>4</v>
      </c>
      <c r="N8" s="22">
        <v>43941</v>
      </c>
      <c r="O8" s="22">
        <v>43963</v>
      </c>
      <c r="P8" s="20">
        <v>23</v>
      </c>
      <c r="Q8" s="20" t="s">
        <v>12</v>
      </c>
      <c r="R8" s="59">
        <f>IF(TaskTable[[#This Row],[STATUS]]="COMPLETE",1,"")</f>
        <v>1</v>
      </c>
      <c r="S8" s="66">
        <v>1</v>
      </c>
      <c r="T8" s="20">
        <v>17</v>
      </c>
      <c r="W8" t="s">
        <v>310</v>
      </c>
      <c r="X8" s="31">
        <f>1-X6</f>
        <v>0.52380952380952384</v>
      </c>
      <c r="AL8" t="s">
        <v>35</v>
      </c>
      <c r="AS8" s="26" t="s">
        <v>81</v>
      </c>
      <c r="AT8" s="127">
        <v>43958</v>
      </c>
      <c r="AU8" s="20">
        <f t="shared" si="0"/>
        <v>5</v>
      </c>
      <c r="AV8" s="20">
        <f t="shared" ref="AV8:AV13" si="5">VLOOKUP(AS8,E6:S105,15,0)*100</f>
        <v>100</v>
      </c>
      <c r="AW8" s="20">
        <f t="shared" si="4"/>
        <v>5</v>
      </c>
      <c r="AX8" s="20">
        <v>40</v>
      </c>
      <c r="AY8" s="22">
        <v>43963</v>
      </c>
      <c r="AZ8" s="20">
        <f t="shared" si="1"/>
        <v>-653</v>
      </c>
      <c r="BA8" s="127">
        <f t="shared" si="2"/>
        <v>43931</v>
      </c>
      <c r="BB8" s="20">
        <f t="shared" si="3"/>
        <v>-27</v>
      </c>
    </row>
    <row r="9" spans="1:54" ht="43.2" x14ac:dyDescent="0.3">
      <c r="A9" t="s">
        <v>231</v>
      </c>
      <c r="B9" s="29">
        <f ca="1">TODAY()</f>
        <v>44618</v>
      </c>
      <c r="D9" s="24" t="s">
        <v>158</v>
      </c>
      <c r="E9" s="26" t="s">
        <v>63</v>
      </c>
      <c r="F9" s="62" t="str">
        <f ca="1">IF(TaskTable[[#This Row],[WBS Level]]=2,TaskTable[[#This Row],[PHASE]],OFFSET(TaskTable[[#This Row],[MAIN PHASE]],-1,0))</f>
        <v>Data Sanitation and training content creation</v>
      </c>
      <c r="G9" s="26" t="str">
        <f ca="1">IF(TaskTable[[#This Row],[WBS Level]]=3,TaskTable[[#This Row],[PHASE]],IF(TaskTable[[#This Row],[WBS Level]]&lt;3,"NONE",OFFSET(TaskTable[[#This Row],[SP-1]],-1,0)))</f>
        <v>Data Extraction</v>
      </c>
      <c r="H9" s="26" t="str">
        <f ca="1">IF(TaskTable[[#This Row],[WBS Level]]=4,TaskTable[[#This Row],[PHASE]],IF(TaskTable[[#This Row],[WBS Level]]&lt;4,"NONE",OFFSET(TaskTable[[#This Row],[SP-2]],-1,0)))</f>
        <v>Training Content Creation - For Customer</v>
      </c>
      <c r="I9" s="26" t="str">
        <f ca="1">IF(TaskTable[[#This Row],[WBS Level]]=5,TaskTable[[#This Row],[PHASE]],IF(TaskTable[[#This Row],[WBS Level]]&lt;5,"NONE",OFFSET(TaskTable[[#This Row],[SP-3]],-1,0)))</f>
        <v>NONE</v>
      </c>
      <c r="J9" s="26" t="str">
        <f ca="1">IF(TaskTable[[#This Row],[WBS Level]]=6,TaskTable[[#This Row],[PHASE]],IF(TaskTable[[#This Row],[WBS Level]]&lt;6,"NONE",OFFSET(TaskTable[[#This Row],[SP-4]],-1,0)))</f>
        <v>NONE</v>
      </c>
      <c r="K9" s="20" t="s">
        <v>57</v>
      </c>
      <c r="M9" s="20">
        <f>LEN(TaskTable[WBS])-LEN(SUBSTITUTE(TaskTable[WBS],".",""))+2</f>
        <v>4</v>
      </c>
      <c r="N9" s="22">
        <v>43941</v>
      </c>
      <c r="O9" s="22">
        <v>43963</v>
      </c>
      <c r="P9" s="20">
        <v>23</v>
      </c>
      <c r="Q9" s="20" t="s">
        <v>12</v>
      </c>
      <c r="R9" s="59">
        <f>IF(TaskTable[[#This Row],[STATUS]]="COMPLETE",1,"")</f>
        <v>1</v>
      </c>
      <c r="S9" s="66">
        <v>1</v>
      </c>
      <c r="T9" s="20">
        <v>17</v>
      </c>
      <c r="AD9" s="129"/>
      <c r="AE9" s="129"/>
      <c r="AF9" s="129"/>
      <c r="AG9" s="129"/>
      <c r="AL9" t="s">
        <v>36</v>
      </c>
      <c r="AS9" s="26" t="s">
        <v>85</v>
      </c>
      <c r="AT9" s="127">
        <v>43938</v>
      </c>
      <c r="AU9" s="20">
        <f t="shared" si="0"/>
        <v>26</v>
      </c>
      <c r="AV9" s="20">
        <f t="shared" si="5"/>
        <v>100</v>
      </c>
      <c r="AW9" s="20">
        <f t="shared" si="4"/>
        <v>26</v>
      </c>
      <c r="AX9" s="20">
        <v>20</v>
      </c>
      <c r="AY9" s="22">
        <v>43964</v>
      </c>
      <c r="AZ9" s="20">
        <f t="shared" si="1"/>
        <v>-673</v>
      </c>
      <c r="BA9" s="127">
        <f t="shared" si="2"/>
        <v>43931</v>
      </c>
      <c r="BB9" s="20">
        <f t="shared" si="3"/>
        <v>-7</v>
      </c>
    </row>
    <row r="10" spans="1:54" ht="28.8" x14ac:dyDescent="0.3">
      <c r="A10" t="s">
        <v>239</v>
      </c>
      <c r="B10" t="s">
        <v>29</v>
      </c>
      <c r="D10" s="24" t="s">
        <v>159</v>
      </c>
      <c r="E10" s="26" t="s">
        <v>64</v>
      </c>
      <c r="F10" s="62" t="str">
        <f ca="1">IF(TaskTable[[#This Row],[WBS Level]]=2,TaskTable[[#This Row],[PHASE]],OFFSET(TaskTable[[#This Row],[MAIN PHASE]],-1,0))</f>
        <v>Data Sanitation and training content creation</v>
      </c>
      <c r="G10" s="26" t="str">
        <f ca="1">IF(TaskTable[[#This Row],[WBS Level]]=3,TaskTable[[#This Row],[PHASE]],IF(TaskTable[[#This Row],[WBS Level]]&lt;3,"NONE",OFFSET(TaskTable[[#This Row],[SP-1]],-1,0)))</f>
        <v>Data Extraction</v>
      </c>
      <c r="H10" s="26" t="str">
        <f ca="1">IF(TaskTable[[#This Row],[WBS Level]]=4,TaskTable[[#This Row],[PHASE]],IF(TaskTable[[#This Row],[WBS Level]]&lt;4,"NONE",OFFSET(TaskTable[[#This Row],[SP-2]],-1,0)))</f>
        <v>Training Content Sign-off</v>
      </c>
      <c r="I10" s="26" t="str">
        <f ca="1">IF(TaskTable[[#This Row],[WBS Level]]=5,TaskTable[[#This Row],[PHASE]],IF(TaskTable[[#This Row],[WBS Level]]&lt;5,"NONE",OFFSET(TaskTable[[#This Row],[SP-3]],-1,0)))</f>
        <v>NONE</v>
      </c>
      <c r="J10" s="26" t="str">
        <f ca="1">IF(TaskTable[[#This Row],[WBS Level]]=6,TaskTable[[#This Row],[PHASE]],IF(TaskTable[[#This Row],[WBS Level]]&lt;6,"NONE",OFFSET(TaskTable[[#This Row],[SP-4]],-1,0)))</f>
        <v>NONE</v>
      </c>
      <c r="M10" s="20">
        <f>LEN(TaskTable[WBS])-LEN(SUBSTITUTE(TaskTable[WBS],".",""))+2</f>
        <v>4</v>
      </c>
      <c r="N10" s="22">
        <v>43963</v>
      </c>
      <c r="O10" s="22">
        <v>43963</v>
      </c>
      <c r="P10" s="20">
        <v>1</v>
      </c>
      <c r="Q10" s="20"/>
      <c r="R10" s="59" t="str">
        <f>IF(TaskTable[[#This Row],[STATUS]]="COMPLETE",1,"")</f>
        <v/>
      </c>
      <c r="S10" s="66">
        <v>0</v>
      </c>
      <c r="T10" s="20">
        <v>1</v>
      </c>
      <c r="V10" s="51"/>
      <c r="W10" s="51"/>
      <c r="X10" s="1"/>
      <c r="AD10" s="74"/>
      <c r="AE10" s="74"/>
      <c r="AF10" s="74"/>
      <c r="AG10" s="74"/>
      <c r="AS10" s="26" t="s">
        <v>98</v>
      </c>
      <c r="AT10" s="127">
        <v>43962</v>
      </c>
      <c r="AU10" s="20">
        <f t="shared" si="0"/>
        <v>4</v>
      </c>
      <c r="AV10" s="20">
        <f t="shared" si="5"/>
        <v>100</v>
      </c>
      <c r="AW10" s="20">
        <f t="shared" si="4"/>
        <v>4</v>
      </c>
      <c r="AX10" s="20">
        <v>-40</v>
      </c>
      <c r="AY10" s="22">
        <v>43966</v>
      </c>
      <c r="AZ10" s="20">
        <f t="shared" si="1"/>
        <v>-649</v>
      </c>
      <c r="BA10" s="127">
        <f t="shared" si="2"/>
        <v>43931</v>
      </c>
      <c r="BB10" s="20">
        <f t="shared" si="3"/>
        <v>-31</v>
      </c>
    </row>
    <row r="11" spans="1:54" x14ac:dyDescent="0.3">
      <c r="A11" t="s">
        <v>256</v>
      </c>
      <c r="B11" t="str">
        <f>company_name</f>
        <v>COMPANY ABC</v>
      </c>
      <c r="D11" s="24">
        <v>3</v>
      </c>
      <c r="E11" s="26" t="s">
        <v>65</v>
      </c>
      <c r="F11" s="62" t="str">
        <f ca="1">IF(TaskTable[[#This Row],[WBS Level]]=2,TaskTable[[#This Row],[PHASE]],OFFSET(TaskTable[[#This Row],[MAIN PHASE]],-1,0))</f>
        <v>Development</v>
      </c>
      <c r="G11" s="26" t="str">
        <f ca="1">IF(TaskTable[[#This Row],[WBS Level]]=3,TaskTable[[#This Row],[PHASE]],IF(TaskTable[[#This Row],[WBS Level]]&lt;3,"NONE",OFFSET(TaskTable[[#This Row],[SP-1]],-1,0)))</f>
        <v>NONE</v>
      </c>
      <c r="H11" s="26" t="str">
        <f ca="1">IF(TaskTable[[#This Row],[WBS Level]]=4,TaskTable[[#This Row],[PHASE]],IF(TaskTable[[#This Row],[WBS Level]]&lt;4,"NONE",OFFSET(TaskTable[[#This Row],[SP-2]],-1,0)))</f>
        <v>NONE</v>
      </c>
      <c r="I11" s="26" t="str">
        <f ca="1">IF(TaskTable[[#This Row],[WBS Level]]=5,TaskTable[[#This Row],[PHASE]],IF(TaskTable[[#This Row],[WBS Level]]&lt;5,"NONE",OFFSET(TaskTable[[#This Row],[SP-3]],-1,0)))</f>
        <v>NONE</v>
      </c>
      <c r="J11" s="26" t="str">
        <f ca="1">IF(TaskTable[[#This Row],[WBS Level]]=6,TaskTable[[#This Row],[PHASE]],IF(TaskTable[[#This Row],[WBS Level]]&lt;6,"NONE",OFFSET(TaskTable[[#This Row],[SP-4]],-1,0)))</f>
        <v>NONE</v>
      </c>
      <c r="K11" s="20" t="s">
        <v>66</v>
      </c>
      <c r="M11" s="20">
        <f>LEN(TaskTable[WBS])-LEN(SUBSTITUTE(TaskTable[WBS],".",""))+2</f>
        <v>2</v>
      </c>
      <c r="N11" s="22">
        <v>43929</v>
      </c>
      <c r="O11" s="22">
        <v>43959</v>
      </c>
      <c r="P11" s="20">
        <v>23</v>
      </c>
      <c r="Q11" s="20" t="s">
        <v>12</v>
      </c>
      <c r="R11" s="59">
        <f>IF(TaskTable[[#This Row],[STATUS]]="COMPLETE",1,"")</f>
        <v>1</v>
      </c>
      <c r="S11" s="66">
        <v>1</v>
      </c>
      <c r="T11" s="20">
        <v>23</v>
      </c>
      <c r="AD11" s="74"/>
      <c r="AE11" s="74"/>
      <c r="AF11" s="74"/>
      <c r="AG11" s="74"/>
      <c r="AS11" s="26" t="s">
        <v>107</v>
      </c>
      <c r="AT11" s="127">
        <v>43962</v>
      </c>
      <c r="AU11" s="20">
        <f t="shared" si="0"/>
        <v>4</v>
      </c>
      <c r="AV11" s="20">
        <f t="shared" si="5"/>
        <v>100</v>
      </c>
      <c r="AW11" s="20">
        <f t="shared" si="4"/>
        <v>4</v>
      </c>
      <c r="AX11" s="20">
        <v>-60</v>
      </c>
      <c r="AY11" s="22">
        <v>43966</v>
      </c>
      <c r="AZ11" s="20">
        <f t="shared" si="1"/>
        <v>-649</v>
      </c>
      <c r="BA11" s="127">
        <f t="shared" si="2"/>
        <v>43931</v>
      </c>
      <c r="BB11" s="20">
        <f t="shared" si="3"/>
        <v>-31</v>
      </c>
    </row>
    <row r="12" spans="1:54" x14ac:dyDescent="0.3">
      <c r="A12" t="s">
        <v>263</v>
      </c>
      <c r="B12" s="108">
        <f ca="1">TODAY()-B6</f>
        <v>7</v>
      </c>
      <c r="D12" s="24">
        <v>3.1</v>
      </c>
      <c r="E12" s="26" t="s">
        <v>67</v>
      </c>
      <c r="F12" s="62" t="str">
        <f ca="1">IF(TaskTable[[#This Row],[WBS Level]]=2,TaskTable[[#This Row],[PHASE]],OFFSET(TaskTable[[#This Row],[MAIN PHASE]],-1,0))</f>
        <v>Development</v>
      </c>
      <c r="G12" s="26" t="str">
        <f ca="1">IF(TaskTable[[#This Row],[WBS Level]]=3,TaskTable[[#This Row],[PHASE]],IF(TaskTable[[#This Row],[WBS Level]]&lt;3,"NONE",OFFSET(TaskTable[[#This Row],[SP-1]],-1,0)))</f>
        <v>Suki App</v>
      </c>
      <c r="H12" s="26" t="str">
        <f ca="1">IF(TaskTable[[#This Row],[WBS Level]]=4,TaskTable[[#This Row],[PHASE]],IF(TaskTable[[#This Row],[WBS Level]]&lt;4,"NONE",OFFSET(TaskTable[[#This Row],[SP-2]],-1,0)))</f>
        <v>NONE</v>
      </c>
      <c r="I12" s="26" t="str">
        <f ca="1">IF(TaskTable[[#This Row],[WBS Level]]=5,TaskTable[[#This Row],[PHASE]],IF(TaskTable[[#This Row],[WBS Level]]&lt;5,"NONE",OFFSET(TaskTable[[#This Row],[SP-3]],-1,0)))</f>
        <v>NONE</v>
      </c>
      <c r="J12" s="26" t="str">
        <f ca="1">IF(TaskTable[[#This Row],[WBS Level]]=6,TaskTable[[#This Row],[PHASE]],IF(TaskTable[[#This Row],[WBS Level]]&lt;6,"NONE",OFFSET(TaskTable[[#This Row],[SP-4]],-1,0)))</f>
        <v>NONE</v>
      </c>
      <c r="M12" s="20">
        <f>LEN(TaskTable[WBS])-LEN(SUBSTITUTE(TaskTable[WBS],".",""))+2</f>
        <v>3</v>
      </c>
      <c r="N12" s="22">
        <v>43929</v>
      </c>
      <c r="O12" s="22">
        <v>43929</v>
      </c>
      <c r="P12" s="20">
        <v>1</v>
      </c>
      <c r="Q12" s="20" t="s">
        <v>12</v>
      </c>
      <c r="R12" s="59">
        <f>IF(TaskTable[[#This Row],[STATUS]]="COMPLETE",1,"")</f>
        <v>1</v>
      </c>
      <c r="S12" s="66">
        <v>0.4</v>
      </c>
      <c r="T12" s="20">
        <v>1</v>
      </c>
      <c r="AD12" s="74"/>
      <c r="AE12" s="74"/>
      <c r="AF12" s="74"/>
      <c r="AG12" s="74"/>
      <c r="AS12" s="26" t="s">
        <v>114</v>
      </c>
      <c r="AT12" s="127">
        <v>43951</v>
      </c>
      <c r="AU12" s="20">
        <f t="shared" si="0"/>
        <v>12</v>
      </c>
      <c r="AV12" s="20">
        <f t="shared" si="5"/>
        <v>100</v>
      </c>
      <c r="AW12" s="20">
        <f t="shared" si="4"/>
        <v>12</v>
      </c>
      <c r="AX12" s="20">
        <v>-80</v>
      </c>
      <c r="AY12" s="22">
        <v>43963</v>
      </c>
      <c r="AZ12" s="20">
        <f t="shared" si="1"/>
        <v>-660</v>
      </c>
      <c r="BA12" s="127">
        <f t="shared" si="2"/>
        <v>43931</v>
      </c>
      <c r="BB12" s="20">
        <f t="shared" si="3"/>
        <v>-20</v>
      </c>
    </row>
    <row r="13" spans="1:54" x14ac:dyDescent="0.3">
      <c r="A13" t="s">
        <v>301</v>
      </c>
      <c r="B13" t="str">
        <f ca="1">UPPER(TEXT(TODAY(),"mmm dd, yyyy | ddd"))</f>
        <v>FEB 26, 2022 | SAT</v>
      </c>
      <c r="D13" s="24" t="s">
        <v>160</v>
      </c>
      <c r="E13" s="26" t="s">
        <v>68</v>
      </c>
      <c r="F13" s="62" t="str">
        <f ca="1">IF(TaskTable[[#This Row],[WBS Level]]=2,TaskTable[[#This Row],[PHASE]],OFFSET(TaskTable[[#This Row],[MAIN PHASE]],-1,0))</f>
        <v>Development</v>
      </c>
      <c r="G13" s="26" t="str">
        <f ca="1">IF(TaskTable[[#This Row],[WBS Level]]=3,TaskTable[[#This Row],[PHASE]],IF(TaskTable[[#This Row],[WBS Level]]&lt;3,"NONE",OFFSET(TaskTable[[#This Row],[SP-1]],-1,0)))</f>
        <v>Suki App</v>
      </c>
      <c r="H13" s="26" t="str">
        <f ca="1">IF(TaskTable[[#This Row],[WBS Level]]=4,TaskTable[[#This Row],[PHASE]],IF(TaskTable[[#This Row],[WBS Level]]&lt;4,"NONE",OFFSET(TaskTable[[#This Row],[SP-2]],-1,0)))</f>
        <v>Suki Hub</v>
      </c>
      <c r="I13" s="26" t="str">
        <f ca="1">IF(TaskTable[[#This Row],[WBS Level]]=5,TaskTable[[#This Row],[PHASE]],IF(TaskTable[[#This Row],[WBS Level]]&lt;5,"NONE",OFFSET(TaskTable[[#This Row],[SP-3]],-1,0)))</f>
        <v>NONE</v>
      </c>
      <c r="J13" s="26" t="str">
        <f ca="1">IF(TaskTable[[#This Row],[WBS Level]]=6,TaskTable[[#This Row],[PHASE]],IF(TaskTable[[#This Row],[WBS Level]]&lt;6,"NONE",OFFSET(TaskTable[[#This Row],[SP-4]],-1,0)))</f>
        <v>NONE</v>
      </c>
      <c r="M13" s="20">
        <f>LEN(TaskTable[WBS])-LEN(SUBSTITUTE(TaskTable[WBS],".",""))+2</f>
        <v>4</v>
      </c>
      <c r="N13" s="22">
        <v>43929</v>
      </c>
      <c r="O13" s="22">
        <v>43929</v>
      </c>
      <c r="P13" s="20">
        <v>1</v>
      </c>
      <c r="Q13" s="20" t="s">
        <v>12</v>
      </c>
      <c r="R13" s="59">
        <f>IF(TaskTable[[#This Row],[STATUS]]="COMPLETE",1,"")</f>
        <v>1</v>
      </c>
      <c r="S13" s="66">
        <v>1</v>
      </c>
      <c r="T13" s="20">
        <v>1</v>
      </c>
      <c r="AD13" s="74"/>
      <c r="AE13" s="74"/>
      <c r="AF13" s="74"/>
      <c r="AG13" s="74"/>
      <c r="AS13" s="26" t="s">
        <v>122</v>
      </c>
      <c r="AT13" s="127">
        <v>43962</v>
      </c>
      <c r="AU13" s="20">
        <f t="shared" si="0"/>
        <v>4</v>
      </c>
      <c r="AV13" s="20">
        <f t="shared" si="5"/>
        <v>100</v>
      </c>
      <c r="AW13" s="20">
        <f t="shared" si="4"/>
        <v>4</v>
      </c>
      <c r="AX13" s="20">
        <v>-100</v>
      </c>
      <c r="AY13" s="22">
        <v>43966</v>
      </c>
      <c r="AZ13" s="20">
        <f t="shared" si="1"/>
        <v>-649</v>
      </c>
      <c r="BA13" s="127">
        <f t="shared" si="2"/>
        <v>43931</v>
      </c>
      <c r="BB13" s="20">
        <f t="shared" si="3"/>
        <v>-31</v>
      </c>
    </row>
    <row r="14" spans="1:54" x14ac:dyDescent="0.3">
      <c r="A14" t="s">
        <v>308</v>
      </c>
      <c r="B14">
        <v>1</v>
      </c>
      <c r="D14" s="24" t="s">
        <v>161</v>
      </c>
      <c r="E14" s="26" t="s">
        <v>69</v>
      </c>
      <c r="F14" s="62" t="str">
        <f ca="1">IF(TaskTable[[#This Row],[WBS Level]]=2,TaskTable[[#This Row],[PHASE]],OFFSET(TaskTable[[#This Row],[MAIN PHASE]],-1,0))</f>
        <v>Development</v>
      </c>
      <c r="G14" s="26" t="str">
        <f ca="1">IF(TaskTable[[#This Row],[WBS Level]]=3,TaskTable[[#This Row],[PHASE]],IF(TaskTable[[#This Row],[WBS Level]]&lt;3,"NONE",OFFSET(TaskTable[[#This Row],[SP-1]],-1,0)))</f>
        <v>Suki App</v>
      </c>
      <c r="H14" s="26" t="str">
        <f ca="1">IF(TaskTable[[#This Row],[WBS Level]]=4,TaskTable[[#This Row],[PHASE]],IF(TaskTable[[#This Row],[WBS Level]]&lt;4,"NONE",OFFSET(TaskTable[[#This Row],[SP-2]],-1,0)))</f>
        <v>Picker-Checker</v>
      </c>
      <c r="I14" s="26" t="str">
        <f ca="1">IF(TaskTable[[#This Row],[WBS Level]]=5,TaskTable[[#This Row],[PHASE]],IF(TaskTable[[#This Row],[WBS Level]]&lt;5,"NONE",OFFSET(TaskTable[[#This Row],[SP-3]],-1,0)))</f>
        <v>NONE</v>
      </c>
      <c r="J14" s="26" t="str">
        <f ca="1">IF(TaskTable[[#This Row],[WBS Level]]=6,TaskTable[[#This Row],[PHASE]],IF(TaskTable[[#This Row],[WBS Level]]&lt;6,"NONE",OFFSET(TaskTable[[#This Row],[SP-4]],-1,0)))</f>
        <v>NONE</v>
      </c>
      <c r="M14" s="20">
        <f>LEN(TaskTable[WBS])-LEN(SUBSTITUTE(TaskTable[WBS],".",""))+2</f>
        <v>4</v>
      </c>
      <c r="N14" s="22">
        <v>43929</v>
      </c>
      <c r="O14" s="22">
        <v>43929</v>
      </c>
      <c r="P14" s="20">
        <v>1</v>
      </c>
      <c r="Q14" s="20" t="s">
        <v>12</v>
      </c>
      <c r="R14" s="59">
        <f>IF(TaskTable[[#This Row],[STATUS]]="COMPLETE",1,"")</f>
        <v>1</v>
      </c>
      <c r="S14" s="66">
        <v>1</v>
      </c>
      <c r="T14" s="20">
        <v>1</v>
      </c>
      <c r="AD14" s="129"/>
      <c r="AE14" s="74"/>
      <c r="AF14" s="74"/>
      <c r="AG14" s="74"/>
      <c r="AS14" s="26" t="s">
        <v>137</v>
      </c>
      <c r="AT14" s="127">
        <v>43962</v>
      </c>
      <c r="AU14" s="20">
        <f t="shared" si="0"/>
        <v>15</v>
      </c>
      <c r="AV14" s="20">
        <v>10</v>
      </c>
      <c r="AW14" s="20">
        <f t="shared" si="4"/>
        <v>1.5</v>
      </c>
      <c r="AX14" s="20">
        <v>-120</v>
      </c>
      <c r="AY14" s="22">
        <v>43977</v>
      </c>
      <c r="AZ14" s="20">
        <f t="shared" si="1"/>
        <v>-649</v>
      </c>
      <c r="BA14" s="127">
        <f t="shared" si="2"/>
        <v>43931</v>
      </c>
      <c r="BB14" s="20">
        <f t="shared" si="3"/>
        <v>-31</v>
      </c>
    </row>
    <row r="15" spans="1:54" ht="72" x14ac:dyDescent="0.3">
      <c r="A15" t="s">
        <v>367</v>
      </c>
      <c r="B15" s="157" t="str">
        <f>CONCATENATE('Project Team'!B3,CHAR(10), 'Project Team'!B4,CHAR(10),'Project Team'!B5,CHAR(10),'Project Team'!B6,CHAR(10),'Project Team'!B7)</f>
        <v>Team Member A
Team Member B
Team Member C
Team Member D
Team Member E</v>
      </c>
      <c r="D15" s="24" t="s">
        <v>162</v>
      </c>
      <c r="E15" s="26" t="s">
        <v>70</v>
      </c>
      <c r="F15" s="62" t="str">
        <f ca="1">IF(TaskTable[[#This Row],[WBS Level]]=2,TaskTable[[#This Row],[PHASE]],OFFSET(TaskTable[[#This Row],[MAIN PHASE]],-1,0))</f>
        <v>Development</v>
      </c>
      <c r="G15" s="26" t="str">
        <f ca="1">IF(TaskTable[[#This Row],[WBS Level]]=3,TaskTable[[#This Row],[PHASE]],IF(TaskTable[[#This Row],[WBS Level]]&lt;3,"NONE",OFFSET(TaskTable[[#This Row],[SP-1]],-1,0)))</f>
        <v>Suki App</v>
      </c>
      <c r="H15" s="26" t="str">
        <f ca="1">IF(TaskTable[[#This Row],[WBS Level]]=4,TaskTable[[#This Row],[PHASE]],IF(TaskTable[[#This Row],[WBS Level]]&lt;4,"NONE",OFFSET(TaskTable[[#This Row],[SP-2]],-1,0)))</f>
        <v>Barter Middleware (Merging to prod version)</v>
      </c>
      <c r="I15" s="26" t="str">
        <f ca="1">IF(TaskTable[[#This Row],[WBS Level]]=5,TaskTable[[#This Row],[PHASE]],IF(TaskTable[[#This Row],[WBS Level]]&lt;5,"NONE",OFFSET(TaskTable[[#This Row],[SP-3]],-1,0)))</f>
        <v>NONE</v>
      </c>
      <c r="J15" s="26" t="str">
        <f ca="1">IF(TaskTable[[#This Row],[WBS Level]]=6,TaskTable[[#This Row],[PHASE]],IF(TaskTable[[#This Row],[WBS Level]]&lt;6,"NONE",OFFSET(TaskTable[[#This Row],[SP-4]],-1,0)))</f>
        <v>NONE</v>
      </c>
      <c r="M15" s="20">
        <f>LEN(TaskTable[WBS])-LEN(SUBSTITUTE(TaskTable[WBS],".",""))+2</f>
        <v>4</v>
      </c>
      <c r="N15" s="22">
        <v>43952</v>
      </c>
      <c r="O15" s="22">
        <v>43959</v>
      </c>
      <c r="P15" s="20">
        <v>8</v>
      </c>
      <c r="Q15" s="20" t="s">
        <v>12</v>
      </c>
      <c r="R15" s="59">
        <f>IF(TaskTable[[#This Row],[STATUS]]="COMPLETE",1,"")</f>
        <v>1</v>
      </c>
      <c r="S15" s="66">
        <v>1</v>
      </c>
      <c r="T15" s="20">
        <v>6</v>
      </c>
      <c r="AD15" s="129"/>
      <c r="AE15" s="74"/>
      <c r="AF15" s="74"/>
      <c r="AG15" s="74"/>
      <c r="AS15" s="26" t="s">
        <v>147</v>
      </c>
      <c r="AT15" s="127">
        <v>43979</v>
      </c>
      <c r="AU15" s="20">
        <f t="shared" si="0"/>
        <v>1</v>
      </c>
      <c r="AV15" s="20">
        <f>VLOOKUP(AS15,E13:S112,15,0)*100</f>
        <v>100</v>
      </c>
      <c r="AW15" s="20">
        <f t="shared" si="4"/>
        <v>1</v>
      </c>
      <c r="AX15" s="20">
        <v>-140</v>
      </c>
      <c r="AY15" s="22">
        <v>43980</v>
      </c>
      <c r="AZ15" s="20">
        <f t="shared" si="1"/>
        <v>-632</v>
      </c>
      <c r="BA15" s="127">
        <f t="shared" si="2"/>
        <v>43931</v>
      </c>
      <c r="BB15" s="20">
        <f t="shared" si="3"/>
        <v>-48</v>
      </c>
    </row>
    <row r="16" spans="1:54" ht="14.4" customHeight="1" x14ac:dyDescent="0.3">
      <c r="D16" s="24" t="s">
        <v>163</v>
      </c>
      <c r="E16" s="26" t="s">
        <v>71</v>
      </c>
      <c r="F16" s="62" t="str">
        <f ca="1">IF(TaskTable[[#This Row],[WBS Level]]=2,TaskTable[[#This Row],[PHASE]],OFFSET(TaskTable[[#This Row],[MAIN PHASE]],-1,0))</f>
        <v>Development</v>
      </c>
      <c r="G16" s="26" t="str">
        <f ca="1">IF(TaskTable[[#This Row],[WBS Level]]=3,TaskTable[[#This Row],[PHASE]],IF(TaskTable[[#This Row],[WBS Level]]&lt;3,"NONE",OFFSET(TaskTable[[#This Row],[SP-1]],-1,0)))</f>
        <v>Suki App</v>
      </c>
      <c r="H16" s="26" t="str">
        <f ca="1">IF(TaskTable[[#This Row],[WBS Level]]=4,TaskTable[[#This Row],[PHASE]],IF(TaskTable[[#This Row],[WBS Level]]&lt;4,"NONE",OFFSET(TaskTable[[#This Row],[SP-2]],-1,0)))</f>
        <v>POS Interface</v>
      </c>
      <c r="I16" s="26" t="str">
        <f ca="1">IF(TaskTable[[#This Row],[WBS Level]]=5,TaskTable[[#This Row],[PHASE]],IF(TaskTable[[#This Row],[WBS Level]]&lt;5,"NONE",OFFSET(TaskTable[[#This Row],[SP-3]],-1,0)))</f>
        <v>NONE</v>
      </c>
      <c r="J16" s="26" t="str">
        <f ca="1">IF(TaskTable[[#This Row],[WBS Level]]=6,TaskTable[[#This Row],[PHASE]],IF(TaskTable[[#This Row],[WBS Level]]&lt;6,"NONE",OFFSET(TaskTable[[#This Row],[SP-4]],-1,0)))</f>
        <v>NONE</v>
      </c>
      <c r="M16" s="20">
        <f>LEN(TaskTable[WBS])-LEN(SUBSTITUTE(TaskTable[WBS],".",""))+2</f>
        <v>4</v>
      </c>
      <c r="N16" s="22">
        <v>43952</v>
      </c>
      <c r="O16" s="22">
        <v>43959</v>
      </c>
      <c r="P16" s="20">
        <v>8</v>
      </c>
      <c r="Q16" s="20" t="s">
        <v>12</v>
      </c>
      <c r="R16" s="59">
        <f>IF(TaskTable[[#This Row],[STATUS]]="COMPLETE",1,"")</f>
        <v>1</v>
      </c>
      <c r="S16" s="66">
        <v>1</v>
      </c>
      <c r="T16" s="20">
        <v>6</v>
      </c>
      <c r="AD16" s="74"/>
      <c r="AE16" s="74"/>
      <c r="AF16" s="74"/>
      <c r="AG16" s="74"/>
      <c r="AS16" s="26" t="s">
        <v>152</v>
      </c>
      <c r="AT16" s="127">
        <v>43966</v>
      </c>
      <c r="AU16" s="20">
        <f t="shared" si="0"/>
        <v>206</v>
      </c>
      <c r="AV16" s="20">
        <f>VLOOKUP(AS16,E14:S113,15,0)*100</f>
        <v>100</v>
      </c>
      <c r="AW16" s="20">
        <f t="shared" si="4"/>
        <v>206</v>
      </c>
      <c r="AX16" s="20">
        <v>-160</v>
      </c>
      <c r="AY16" s="22">
        <v>44172</v>
      </c>
      <c r="AZ16" s="20">
        <f t="shared" si="1"/>
        <v>-645</v>
      </c>
      <c r="BA16" s="127">
        <f t="shared" si="2"/>
        <v>43931</v>
      </c>
      <c r="BB16" s="20">
        <f t="shared" si="3"/>
        <v>-35</v>
      </c>
    </row>
    <row r="17" spans="4:35" x14ac:dyDescent="0.3">
      <c r="D17" s="24" t="s">
        <v>164</v>
      </c>
      <c r="E17" s="26" t="s">
        <v>72</v>
      </c>
      <c r="F17" s="62" t="str">
        <f ca="1">IF(TaskTable[[#This Row],[WBS Level]]=2,TaskTable[[#This Row],[PHASE]],OFFSET(TaskTable[[#This Row],[MAIN PHASE]],-1,0))</f>
        <v>Development</v>
      </c>
      <c r="G17" s="26" t="str">
        <f ca="1">IF(TaskTable[[#This Row],[WBS Level]]=3,TaskTable[[#This Row],[PHASE]],IF(TaskTable[[#This Row],[WBS Level]]&lt;3,"NONE",OFFSET(TaskTable[[#This Row],[SP-1]],-1,0)))</f>
        <v>Suki App</v>
      </c>
      <c r="H17" s="26" t="str">
        <f ca="1">IF(TaskTable[[#This Row],[WBS Level]]=4,TaskTable[[#This Row],[PHASE]],IF(TaskTable[[#This Row],[WBS Level]]&lt;4,"NONE",OFFSET(TaskTable[[#This Row],[SP-2]],-1,0)))</f>
        <v>Core Middleware</v>
      </c>
      <c r="I17" s="26" t="str">
        <f ca="1">IF(TaskTable[[#This Row],[WBS Level]]=5,TaskTable[[#This Row],[PHASE]],IF(TaskTable[[#This Row],[WBS Level]]&lt;5,"NONE",OFFSET(TaskTable[[#This Row],[SP-3]],-1,0)))</f>
        <v>NONE</v>
      </c>
      <c r="J17" s="26" t="str">
        <f ca="1">IF(TaskTable[[#This Row],[WBS Level]]=6,TaskTable[[#This Row],[PHASE]],IF(TaskTable[[#This Row],[WBS Level]]&lt;6,"NONE",OFFSET(TaskTable[[#This Row],[SP-4]],-1,0)))</f>
        <v>NONE</v>
      </c>
      <c r="M17" s="20">
        <f>LEN(TaskTable[WBS])-LEN(SUBSTITUTE(TaskTable[WBS],".",""))+2</f>
        <v>4</v>
      </c>
      <c r="N17" s="22">
        <v>43952</v>
      </c>
      <c r="O17" s="22">
        <v>43959</v>
      </c>
      <c r="P17" s="20">
        <v>8</v>
      </c>
      <c r="Q17" s="20" t="s">
        <v>12</v>
      </c>
      <c r="R17" s="59">
        <f>IF(TaskTable[[#This Row],[STATUS]]="COMPLETE",1,"")</f>
        <v>1</v>
      </c>
      <c r="S17" s="66">
        <v>1</v>
      </c>
      <c r="T17" s="20">
        <v>6</v>
      </c>
      <c r="AD17" s="129"/>
      <c r="AE17" s="74"/>
      <c r="AF17" s="74"/>
      <c r="AG17" s="74"/>
    </row>
    <row r="18" spans="4:35" x14ac:dyDescent="0.3">
      <c r="D18" s="24" t="s">
        <v>165</v>
      </c>
      <c r="E18" s="26" t="s">
        <v>73</v>
      </c>
      <c r="F18" s="62" t="str">
        <f ca="1">IF(TaskTable[[#This Row],[WBS Level]]=2,TaskTable[[#This Row],[PHASE]],OFFSET(TaskTable[[#This Row],[MAIN PHASE]],-1,0))</f>
        <v>Development</v>
      </c>
      <c r="G18" s="26" t="str">
        <f ca="1">IF(TaskTable[[#This Row],[WBS Level]]=3,TaskTable[[#This Row],[PHASE]],IF(TaskTable[[#This Row],[WBS Level]]&lt;3,"NONE",OFFSET(TaskTable[[#This Row],[SP-1]],-1,0)))</f>
        <v>Suki App</v>
      </c>
      <c r="H18" s="26" t="str">
        <f ca="1">IF(TaskTable[[#This Row],[WBS Level]]=4,TaskTable[[#This Row],[PHASE]],IF(TaskTable[[#This Row],[WBS Level]]&lt;4,"NONE",OFFSET(TaskTable[[#This Row],[SP-2]],-1,0)))</f>
        <v>Barter POS</v>
      </c>
      <c r="I18" s="26" t="str">
        <f ca="1">IF(TaskTable[[#This Row],[WBS Level]]=5,TaskTable[[#This Row],[PHASE]],IF(TaskTable[[#This Row],[WBS Level]]&lt;5,"NONE",OFFSET(TaskTable[[#This Row],[SP-3]],-1,0)))</f>
        <v>NONE</v>
      </c>
      <c r="J18" s="26" t="str">
        <f ca="1">IF(TaskTable[[#This Row],[WBS Level]]=6,TaskTable[[#This Row],[PHASE]],IF(TaskTable[[#This Row],[WBS Level]]&lt;6,"NONE",OFFSET(TaskTable[[#This Row],[SP-4]],-1,0)))</f>
        <v>NONE</v>
      </c>
      <c r="M18" s="20">
        <f>LEN(TaskTable[WBS])-LEN(SUBSTITUTE(TaskTable[WBS],".",""))+2</f>
        <v>4</v>
      </c>
      <c r="N18" s="22">
        <v>43952</v>
      </c>
      <c r="O18" s="22">
        <v>43959</v>
      </c>
      <c r="P18" s="20">
        <v>8</v>
      </c>
      <c r="Q18" s="20" t="s">
        <v>12</v>
      </c>
      <c r="R18" s="59">
        <f>IF(TaskTable[[#This Row],[STATUS]]="COMPLETE",1,"")</f>
        <v>1</v>
      </c>
      <c r="S18" s="66">
        <v>1</v>
      </c>
      <c r="T18" s="20">
        <v>6</v>
      </c>
      <c r="AD18" s="129"/>
      <c r="AE18" s="74"/>
      <c r="AF18" s="74"/>
      <c r="AG18" s="74"/>
    </row>
    <row r="19" spans="4:35" ht="28.8" x14ac:dyDescent="0.3">
      <c r="D19" s="24" t="s">
        <v>166</v>
      </c>
      <c r="E19" s="26" t="s">
        <v>74</v>
      </c>
      <c r="F19" s="62" t="str">
        <f ca="1">IF(TaskTable[[#This Row],[WBS Level]]=2,TaskTable[[#This Row],[PHASE]],OFFSET(TaskTable[[#This Row],[MAIN PHASE]],-1,0))</f>
        <v>Development</v>
      </c>
      <c r="G19" s="26" t="str">
        <f ca="1">IF(TaskTable[[#This Row],[WBS Level]]=3,TaskTable[[#This Row],[PHASE]],IF(TaskTable[[#This Row],[WBS Level]]&lt;3,"NONE",OFFSET(TaskTable[[#This Row],[SP-1]],-1,0)))</f>
        <v>Suki App</v>
      </c>
      <c r="H19" s="26" t="str">
        <f ca="1">IF(TaskTable[[#This Row],[WBS Level]]=4,TaskTable[[#This Row],[PHASE]],IF(TaskTable[[#This Row],[WBS Level]]&lt;4,"NONE",OFFSET(TaskTable[[#This Row],[SP-2]],-1,0)))</f>
        <v>Multiple Branch Capabilities</v>
      </c>
      <c r="I19" s="26" t="str">
        <f ca="1">IF(TaskTable[[#This Row],[WBS Level]]=5,TaskTable[[#This Row],[PHASE]],IF(TaskTable[[#This Row],[WBS Level]]&lt;5,"NONE",OFFSET(TaskTable[[#This Row],[SP-3]],-1,0)))</f>
        <v>NONE</v>
      </c>
      <c r="J19" s="26" t="str">
        <f ca="1">IF(TaskTable[[#This Row],[WBS Level]]=6,TaskTable[[#This Row],[PHASE]],IF(TaskTable[[#This Row],[WBS Level]]&lt;6,"NONE",OFFSET(TaskTable[[#This Row],[SP-4]],-1,0)))</f>
        <v>NONE</v>
      </c>
      <c r="M19" s="20">
        <f>LEN(TaskTable[WBS])-LEN(SUBSTITUTE(TaskTable[WBS],".",""))+2</f>
        <v>4</v>
      </c>
      <c r="N19" s="22">
        <v>43952</v>
      </c>
      <c r="O19" s="22">
        <v>43959</v>
      </c>
      <c r="P19" s="20">
        <v>8</v>
      </c>
      <c r="Q19" s="20" t="s">
        <v>12</v>
      </c>
      <c r="R19" s="59">
        <f>IF(TaskTable[[#This Row],[STATUS]]="COMPLETE",1,"")</f>
        <v>1</v>
      </c>
      <c r="S19" s="66">
        <v>1</v>
      </c>
      <c r="T19" s="20">
        <v>6</v>
      </c>
      <c r="AD19" s="74"/>
      <c r="AE19" s="74"/>
      <c r="AF19" s="74"/>
      <c r="AG19" s="74"/>
    </row>
    <row r="20" spans="4:35" ht="28.8" x14ac:dyDescent="0.3">
      <c r="D20" s="24" t="s">
        <v>167</v>
      </c>
      <c r="E20" s="26" t="s">
        <v>75</v>
      </c>
      <c r="F20" s="62" t="str">
        <f ca="1">IF(TaskTable[[#This Row],[WBS Level]]=2,TaskTable[[#This Row],[PHASE]],OFFSET(TaskTable[[#This Row],[MAIN PHASE]],-1,0))</f>
        <v>Development</v>
      </c>
      <c r="G20" s="26" t="str">
        <f ca="1">IF(TaskTable[[#This Row],[WBS Level]]=3,TaskTable[[#This Row],[PHASE]],IF(TaskTable[[#This Row],[WBS Level]]&lt;3,"NONE",OFFSET(TaskTable[[#This Row],[SP-1]],-1,0)))</f>
        <v>Suki App</v>
      </c>
      <c r="H20" s="26" t="str">
        <f ca="1">IF(TaskTable[[#This Row],[WBS Level]]=4,TaskTable[[#This Row],[PHASE]],IF(TaskTable[[#This Row],[WBS Level]]&lt;4,"NONE",OFFSET(TaskTable[[#This Row],[SP-2]],-1,0)))</f>
        <v>Customer Loyalty Points</v>
      </c>
      <c r="I20" s="26" t="str">
        <f ca="1">IF(TaskTable[[#This Row],[WBS Level]]=5,TaskTable[[#This Row],[PHASE]],IF(TaskTable[[#This Row],[WBS Level]]&lt;5,"NONE",OFFSET(TaskTable[[#This Row],[SP-3]],-1,0)))</f>
        <v>NONE</v>
      </c>
      <c r="J20" s="26" t="str">
        <f ca="1">IF(TaskTable[[#This Row],[WBS Level]]=6,TaskTable[[#This Row],[PHASE]],IF(TaskTable[[#This Row],[WBS Level]]&lt;6,"NONE",OFFSET(TaskTable[[#This Row],[SP-4]],-1,0)))</f>
        <v>NONE</v>
      </c>
      <c r="M20" s="20">
        <f>LEN(TaskTable[WBS])-LEN(SUBSTITUTE(TaskTable[WBS],".",""))+2</f>
        <v>4</v>
      </c>
      <c r="N20" s="22">
        <v>43952</v>
      </c>
      <c r="O20" s="22">
        <v>43959</v>
      </c>
      <c r="P20" s="20">
        <v>8</v>
      </c>
      <c r="Q20" s="20" t="s">
        <v>12</v>
      </c>
      <c r="R20" s="59">
        <f>IF(TaskTable[[#This Row],[STATUS]]="COMPLETE",1,"")</f>
        <v>1</v>
      </c>
      <c r="S20" s="66">
        <v>1</v>
      </c>
      <c r="T20" s="20">
        <v>6</v>
      </c>
    </row>
    <row r="21" spans="4:35" x14ac:dyDescent="0.3">
      <c r="D21" s="24">
        <v>4</v>
      </c>
      <c r="E21" s="26" t="s">
        <v>76</v>
      </c>
      <c r="F21" s="62" t="str">
        <f ca="1">IF(TaskTable[[#This Row],[WBS Level]]=2,TaskTable[[#This Row],[PHASE]],OFFSET(TaskTable[[#This Row],[MAIN PHASE]],-1,0))</f>
        <v>System Integration Testing</v>
      </c>
      <c r="G21" s="26" t="str">
        <f ca="1">IF(TaskTable[[#This Row],[WBS Level]]=3,TaskTable[[#This Row],[PHASE]],IF(TaskTable[[#This Row],[WBS Level]]&lt;3,"NONE",OFFSET(TaskTable[[#This Row],[SP-1]],-1,0)))</f>
        <v>NONE</v>
      </c>
      <c r="H21" s="26" t="str">
        <f ca="1">IF(TaskTable[[#This Row],[WBS Level]]=4,TaskTable[[#This Row],[PHASE]],IF(TaskTable[[#This Row],[WBS Level]]&lt;4,"NONE",OFFSET(TaskTable[[#This Row],[SP-2]],-1,0)))</f>
        <v>NONE</v>
      </c>
      <c r="I21" s="26" t="str">
        <f ca="1">IF(TaskTable[[#This Row],[WBS Level]]=5,TaskTable[[#This Row],[PHASE]],IF(TaskTable[[#This Row],[WBS Level]]&lt;5,"NONE",OFFSET(TaskTable[[#This Row],[SP-3]],-1,0)))</f>
        <v>NONE</v>
      </c>
      <c r="J21" s="26" t="str">
        <f ca="1">IF(TaskTable[[#This Row],[WBS Level]]=6,TaskTable[[#This Row],[PHASE]],IF(TaskTable[[#This Row],[WBS Level]]&lt;6,"NONE",OFFSET(TaskTable[[#This Row],[SP-4]],-1,0)))</f>
        <v>NONE</v>
      </c>
      <c r="K21" s="20" t="s">
        <v>66</v>
      </c>
      <c r="M21" s="20">
        <f>LEN(TaskTable[WBS])-LEN(SUBSTITUTE(TaskTable[WBS],".",""))+2</f>
        <v>2</v>
      </c>
      <c r="N21" s="22">
        <v>43952</v>
      </c>
      <c r="O21" s="22">
        <v>43962</v>
      </c>
      <c r="P21" s="20">
        <v>7</v>
      </c>
      <c r="Q21" s="20" t="s">
        <v>12</v>
      </c>
      <c r="R21" s="59">
        <f>IF(TaskTable[[#This Row],[STATUS]]="COMPLETE",1,"")</f>
        <v>1</v>
      </c>
      <c r="S21" s="66">
        <v>1</v>
      </c>
      <c r="T21" s="20">
        <v>7</v>
      </c>
    </row>
    <row r="22" spans="4:35" x14ac:dyDescent="0.3">
      <c r="D22" s="25">
        <v>4.0999999999999996</v>
      </c>
      <c r="E22" s="26" t="s">
        <v>77</v>
      </c>
      <c r="F22" s="62" t="str">
        <f ca="1">IF(TaskTable[[#This Row],[WBS Level]]=2,TaskTable[[#This Row],[PHASE]],OFFSET(TaskTable[[#This Row],[MAIN PHASE]],-1,0))</f>
        <v>System Integration Testing</v>
      </c>
      <c r="G22" s="26" t="str">
        <f ca="1">IF(TaskTable[[#This Row],[WBS Level]]=3,TaskTable[[#This Row],[PHASE]],IF(TaskTable[[#This Row],[WBS Level]]&lt;3,"NONE",OFFSET(TaskTable[[#This Row],[SP-1]],-1,0)))</f>
        <v>Test Scripts Creation</v>
      </c>
      <c r="H22" s="26" t="str">
        <f ca="1">IF(TaskTable[[#This Row],[WBS Level]]=4,TaskTable[[#This Row],[PHASE]],IF(TaskTable[[#This Row],[WBS Level]]&lt;4,"NONE",OFFSET(TaskTable[[#This Row],[SP-2]],-1,0)))</f>
        <v>NONE</v>
      </c>
      <c r="I22" s="26" t="str">
        <f ca="1">IF(TaskTable[[#This Row],[WBS Level]]=5,TaskTable[[#This Row],[PHASE]],IF(TaskTable[[#This Row],[WBS Level]]&lt;5,"NONE",OFFSET(TaskTable[[#This Row],[SP-3]],-1,0)))</f>
        <v>NONE</v>
      </c>
      <c r="J22" s="26" t="str">
        <f ca="1">IF(TaskTable[[#This Row],[WBS Level]]=6,TaskTable[[#This Row],[PHASE]],IF(TaskTable[[#This Row],[WBS Level]]&lt;6,"NONE",OFFSET(TaskTable[[#This Row],[SP-4]],-1,0)))</f>
        <v>NONE</v>
      </c>
      <c r="M22" s="20">
        <f>LEN(TaskTable[WBS])-LEN(SUBSTITUTE(TaskTable[WBS],".",""))+2</f>
        <v>3</v>
      </c>
      <c r="N22" s="22">
        <v>43955</v>
      </c>
      <c r="O22" s="22">
        <v>43960</v>
      </c>
      <c r="P22" s="20">
        <v>6</v>
      </c>
      <c r="Q22" s="20" t="s">
        <v>12</v>
      </c>
      <c r="R22" s="59">
        <f>IF(TaskTable[[#This Row],[STATUS]]="COMPLETE",1,"")</f>
        <v>1</v>
      </c>
      <c r="S22" s="66">
        <v>1</v>
      </c>
      <c r="T22" s="20">
        <v>5</v>
      </c>
    </row>
    <row r="23" spans="4:35" ht="43.2" x14ac:dyDescent="0.3">
      <c r="D23" s="24" t="s">
        <v>168</v>
      </c>
      <c r="E23" s="26" t="s">
        <v>76</v>
      </c>
      <c r="F23" s="62" t="str">
        <f ca="1">IF(TaskTable[[#This Row],[WBS Level]]=2,TaskTable[[#This Row],[PHASE]],OFFSET(TaskTable[[#This Row],[MAIN PHASE]],-1,0))</f>
        <v>System Integration Testing</v>
      </c>
      <c r="G23" s="26" t="str">
        <f ca="1">IF(TaskTable[[#This Row],[WBS Level]]=3,TaskTable[[#This Row],[PHASE]],IF(TaskTable[[#This Row],[WBS Level]]&lt;3,"NONE",OFFSET(TaskTable[[#This Row],[SP-1]],-1,0)))</f>
        <v>Test Scripts Creation</v>
      </c>
      <c r="H23" s="26" t="str">
        <f ca="1">IF(TaskTable[[#This Row],[WBS Level]]=4,TaskTable[[#This Row],[PHASE]],IF(TaskTable[[#This Row],[WBS Level]]&lt;4,"NONE",OFFSET(TaskTable[[#This Row],[SP-2]],-1,0)))</f>
        <v>System Integration Testing</v>
      </c>
      <c r="I23" s="26" t="str">
        <f ca="1">IF(TaskTable[[#This Row],[WBS Level]]=5,TaskTable[[#This Row],[PHASE]],IF(TaskTable[[#This Row],[WBS Level]]&lt;5,"NONE",OFFSET(TaskTable[[#This Row],[SP-3]],-1,0)))</f>
        <v>NONE</v>
      </c>
      <c r="J23" s="26" t="str">
        <f ca="1">IF(TaskTable[[#This Row],[WBS Level]]=6,TaskTable[[#This Row],[PHASE]],IF(TaskTable[[#This Row],[WBS Level]]&lt;6,"NONE",OFFSET(TaskTable[[#This Row],[SP-4]],-1,0)))</f>
        <v>NONE</v>
      </c>
      <c r="M23" s="20">
        <f>LEN(TaskTable[WBS])-LEN(SUBSTITUTE(TaskTable[WBS],".",""))+2</f>
        <v>4</v>
      </c>
      <c r="N23" s="22">
        <v>43961</v>
      </c>
      <c r="O23" s="22">
        <v>43961</v>
      </c>
      <c r="P23" s="20">
        <v>1</v>
      </c>
      <c r="Q23" s="20"/>
      <c r="R23" s="59" t="str">
        <f>IF(TaskTable[[#This Row],[STATUS]]="COMPLETE",1,"")</f>
        <v/>
      </c>
      <c r="S23" s="66">
        <v>1</v>
      </c>
      <c r="T23" s="20">
        <v>0</v>
      </c>
    </row>
    <row r="24" spans="4:35" x14ac:dyDescent="0.3">
      <c r="D24" s="24" t="s">
        <v>169</v>
      </c>
      <c r="E24" s="26" t="s">
        <v>78</v>
      </c>
      <c r="F24" s="62" t="str">
        <f ca="1">IF(TaskTable[[#This Row],[WBS Level]]=2,TaskTable[[#This Row],[PHASE]],OFFSET(TaskTable[[#This Row],[MAIN PHASE]],-1,0))</f>
        <v>System Integration Testing</v>
      </c>
      <c r="G24" s="26" t="str">
        <f ca="1">IF(TaskTable[[#This Row],[WBS Level]]=3,TaskTable[[#This Row],[PHASE]],IF(TaskTable[[#This Row],[WBS Level]]&lt;3,"NONE",OFFSET(TaskTable[[#This Row],[SP-1]],-1,0)))</f>
        <v>Test Scripts Creation</v>
      </c>
      <c r="H24" s="26" t="str">
        <f ca="1">IF(TaskTable[[#This Row],[WBS Level]]=4,TaskTable[[#This Row],[PHASE]],IF(TaskTable[[#This Row],[WBS Level]]&lt;4,"NONE",OFFSET(TaskTable[[#This Row],[SP-2]],-1,0)))</f>
        <v>Bugs Fixing</v>
      </c>
      <c r="I24" s="26" t="str">
        <f ca="1">IF(TaskTable[[#This Row],[WBS Level]]=5,TaskTable[[#This Row],[PHASE]],IF(TaskTable[[#This Row],[WBS Level]]&lt;5,"NONE",OFFSET(TaskTable[[#This Row],[SP-3]],-1,0)))</f>
        <v>NONE</v>
      </c>
      <c r="J24" s="26" t="str">
        <f ca="1">IF(TaskTable[[#This Row],[WBS Level]]=6,TaskTable[[#This Row],[PHASE]],IF(TaskTable[[#This Row],[WBS Level]]&lt;6,"NONE",OFFSET(TaskTable[[#This Row],[SP-4]],-1,0)))</f>
        <v>NONE</v>
      </c>
      <c r="M24" s="20">
        <f>LEN(TaskTable[WBS])-LEN(SUBSTITUTE(TaskTable[WBS],".",""))+2</f>
        <v>4</v>
      </c>
      <c r="N24" s="22">
        <v>43961</v>
      </c>
      <c r="O24" s="22">
        <v>43961</v>
      </c>
      <c r="P24" s="20">
        <v>1</v>
      </c>
      <c r="Q24" s="20"/>
      <c r="R24" s="59" t="str">
        <f>IF(TaskTable[[#This Row],[STATUS]]="COMPLETE",1,"")</f>
        <v/>
      </c>
      <c r="S24" s="66">
        <v>1</v>
      </c>
      <c r="T24" s="20">
        <v>0</v>
      </c>
    </row>
    <row r="25" spans="4:35" x14ac:dyDescent="0.3">
      <c r="D25" s="24" t="s">
        <v>170</v>
      </c>
      <c r="E25" s="26" t="s">
        <v>79</v>
      </c>
      <c r="F25" s="62" t="str">
        <f ca="1">IF(TaskTable[[#This Row],[WBS Level]]=2,TaskTable[[#This Row],[PHASE]],OFFSET(TaskTable[[#This Row],[MAIN PHASE]],-1,0))</f>
        <v>System Integration Testing</v>
      </c>
      <c r="G25" s="26" t="str">
        <f ca="1">IF(TaskTable[[#This Row],[WBS Level]]=3,TaskTable[[#This Row],[PHASE]],IF(TaskTable[[#This Row],[WBS Level]]&lt;3,"NONE",OFFSET(TaskTable[[#This Row],[SP-1]],-1,0)))</f>
        <v>Test Scripts Creation</v>
      </c>
      <c r="H25" s="26" t="str">
        <f ca="1">IF(TaskTable[[#This Row],[WBS Level]]=4,TaskTable[[#This Row],[PHASE]],IF(TaskTable[[#This Row],[WBS Level]]&lt;4,"NONE",OFFSET(TaskTable[[#This Row],[SP-2]],-1,0)))</f>
        <v>Re-testing</v>
      </c>
      <c r="I25" s="26" t="str">
        <f ca="1">IF(TaskTable[[#This Row],[WBS Level]]=5,TaskTable[[#This Row],[PHASE]],IF(TaskTable[[#This Row],[WBS Level]]&lt;5,"NONE",OFFSET(TaskTable[[#This Row],[SP-3]],-1,0)))</f>
        <v>NONE</v>
      </c>
      <c r="J25" s="26" t="str">
        <f ca="1">IF(TaskTable[[#This Row],[WBS Level]]=6,TaskTable[[#This Row],[PHASE]],IF(TaskTable[[#This Row],[WBS Level]]&lt;6,"NONE",OFFSET(TaskTable[[#This Row],[SP-4]],-1,0)))</f>
        <v>NONE</v>
      </c>
      <c r="M25" s="20">
        <f>LEN(TaskTable[WBS])-LEN(SUBSTITUTE(TaskTable[WBS],".",""))+2</f>
        <v>4</v>
      </c>
      <c r="N25" s="22">
        <v>43961</v>
      </c>
      <c r="O25" s="22">
        <v>43961</v>
      </c>
      <c r="P25" s="20">
        <v>1</v>
      </c>
      <c r="Q25" s="20"/>
      <c r="R25" s="59" t="str">
        <f>IF(TaskTable[[#This Row],[STATUS]]="COMPLETE",1,"")</f>
        <v/>
      </c>
      <c r="S25" s="66">
        <v>1</v>
      </c>
      <c r="T25" s="20">
        <v>0</v>
      </c>
    </row>
    <row r="26" spans="4:35" x14ac:dyDescent="0.3">
      <c r="D26" s="24" t="s">
        <v>171</v>
      </c>
      <c r="E26" s="26" t="s">
        <v>80</v>
      </c>
      <c r="F26" s="62" t="str">
        <f ca="1">IF(TaskTable[[#This Row],[WBS Level]]=2,TaskTable[[#This Row],[PHASE]],OFFSET(TaskTable[[#This Row],[MAIN PHASE]],-1,0))</f>
        <v>System Integration Testing</v>
      </c>
      <c r="G26" s="26" t="str">
        <f ca="1">IF(TaskTable[[#This Row],[WBS Level]]=3,TaskTable[[#This Row],[PHASE]],IF(TaskTable[[#This Row],[WBS Level]]&lt;3,"NONE",OFFSET(TaskTable[[#This Row],[SP-1]],-1,0)))</f>
        <v>Test Scripts Creation</v>
      </c>
      <c r="H26" s="26" t="str">
        <f ca="1">IF(TaskTable[[#This Row],[WBS Level]]=4,TaskTable[[#This Row],[PHASE]],IF(TaskTable[[#This Row],[WBS Level]]&lt;4,"NONE",OFFSET(TaskTable[[#This Row],[SP-2]],-1,0)))</f>
        <v>Sign-off</v>
      </c>
      <c r="I26" s="26" t="str">
        <f ca="1">IF(TaskTable[[#This Row],[WBS Level]]=5,TaskTable[[#This Row],[PHASE]],IF(TaskTable[[#This Row],[WBS Level]]&lt;5,"NONE",OFFSET(TaskTable[[#This Row],[SP-3]],-1,0)))</f>
        <v>NONE</v>
      </c>
      <c r="J26" s="26" t="str">
        <f ca="1">IF(TaskTable[[#This Row],[WBS Level]]=6,TaskTable[[#This Row],[PHASE]],IF(TaskTable[[#This Row],[WBS Level]]&lt;6,"NONE",OFFSET(TaskTable[[#This Row],[SP-4]],-1,0)))</f>
        <v>NONE</v>
      </c>
      <c r="M26" s="20">
        <f>LEN(TaskTable[WBS])-LEN(SUBSTITUTE(TaskTable[WBS],".",""))+2</f>
        <v>4</v>
      </c>
      <c r="N26" s="22">
        <v>43962</v>
      </c>
      <c r="O26" s="22">
        <v>43962</v>
      </c>
      <c r="P26" s="20">
        <v>1</v>
      </c>
      <c r="Q26" s="20"/>
      <c r="R26" s="59" t="str">
        <f>IF(TaskTable[[#This Row],[STATUS]]="COMPLETE",1,"")</f>
        <v/>
      </c>
      <c r="S26" s="66">
        <v>1</v>
      </c>
      <c r="T26" s="20">
        <v>1</v>
      </c>
    </row>
    <row r="27" spans="4:35" x14ac:dyDescent="0.3">
      <c r="D27" s="24">
        <v>5</v>
      </c>
      <c r="E27" s="26" t="s">
        <v>81</v>
      </c>
      <c r="F27" s="62" t="str">
        <f ca="1">IF(TaskTable[[#This Row],[WBS Level]]=2,TaskTable[[#This Row],[PHASE]],OFFSET(TaskTable[[#This Row],[MAIN PHASE]],-1,0))</f>
        <v>Training</v>
      </c>
      <c r="G27" s="26" t="str">
        <f ca="1">IF(TaskTable[[#This Row],[WBS Level]]=3,TaskTable[[#This Row],[PHASE]],IF(TaskTable[[#This Row],[WBS Level]]&lt;3,"NONE",OFFSET(TaskTable[[#This Row],[SP-1]],-1,0)))</f>
        <v>NONE</v>
      </c>
      <c r="H27" s="26" t="str">
        <f ca="1">IF(TaskTable[[#This Row],[WBS Level]]=4,TaskTable[[#This Row],[PHASE]],IF(TaskTable[[#This Row],[WBS Level]]&lt;4,"NONE",OFFSET(TaskTable[[#This Row],[SP-2]],-1,0)))</f>
        <v>NONE</v>
      </c>
      <c r="I27" s="26" t="str">
        <f ca="1">IF(TaskTable[[#This Row],[WBS Level]]=5,TaskTable[[#This Row],[PHASE]],IF(TaskTable[[#This Row],[WBS Level]]&lt;5,"NONE",OFFSET(TaskTable[[#This Row],[SP-3]],-1,0)))</f>
        <v>NONE</v>
      </c>
      <c r="J27" s="26" t="str">
        <f ca="1">IF(TaskTable[[#This Row],[WBS Level]]=6,TaskTable[[#This Row],[PHASE]],IF(TaskTable[[#This Row],[WBS Level]]&lt;6,"NONE",OFFSET(TaskTable[[#This Row],[SP-4]],-1,0)))</f>
        <v>NONE</v>
      </c>
      <c r="K27" s="20" t="s">
        <v>82</v>
      </c>
      <c r="M27" s="20">
        <f>LEN(TaskTable[WBS])-LEN(SUBSTITUTE(TaskTable[WBS],".",""))+2</f>
        <v>2</v>
      </c>
      <c r="N27" s="22">
        <v>43958</v>
      </c>
      <c r="O27" s="22">
        <v>43963</v>
      </c>
      <c r="P27" s="20">
        <v>4</v>
      </c>
      <c r="Q27" s="20" t="s">
        <v>12</v>
      </c>
      <c r="R27" s="59">
        <f>IF(TaskTable[[#This Row],[STATUS]]="COMPLETE",1,"")</f>
        <v>1</v>
      </c>
      <c r="S27" s="66">
        <v>1</v>
      </c>
      <c r="T27" s="20">
        <v>4</v>
      </c>
    </row>
    <row r="28" spans="4:35" x14ac:dyDescent="0.3">
      <c r="D28" s="25">
        <v>5.0999999999999996</v>
      </c>
      <c r="E28" s="26" t="s">
        <v>67</v>
      </c>
      <c r="F28" s="62" t="str">
        <f ca="1">IF(TaskTable[[#This Row],[WBS Level]]=2,TaskTable[[#This Row],[PHASE]],OFFSET(TaskTable[[#This Row],[MAIN PHASE]],-1,0))</f>
        <v>Training</v>
      </c>
      <c r="G28" s="26" t="str">
        <f ca="1">IF(TaskTable[[#This Row],[WBS Level]]=3,TaskTable[[#This Row],[PHASE]],IF(TaskTable[[#This Row],[WBS Level]]&lt;3,"NONE",OFFSET(TaskTable[[#This Row],[SP-1]],-1,0)))</f>
        <v>Suki App</v>
      </c>
      <c r="H28" s="26" t="str">
        <f ca="1">IF(TaskTable[[#This Row],[WBS Level]]=4,TaskTable[[#This Row],[PHASE]],IF(TaskTable[[#This Row],[WBS Level]]&lt;4,"NONE",OFFSET(TaskTable[[#This Row],[SP-2]],-1,0)))</f>
        <v>NONE</v>
      </c>
      <c r="I28" s="26" t="str">
        <f ca="1">IF(TaskTable[[#This Row],[WBS Level]]=5,TaskTable[[#This Row],[PHASE]],IF(TaskTable[[#This Row],[WBS Level]]&lt;5,"NONE",OFFSET(TaskTable[[#This Row],[SP-3]],-1,0)))</f>
        <v>NONE</v>
      </c>
      <c r="J28" s="26" t="str">
        <f ca="1">IF(TaskTable[[#This Row],[WBS Level]]=6,TaskTable[[#This Row],[PHASE]],IF(TaskTable[[#This Row],[WBS Level]]&lt;6,"NONE",OFFSET(TaskTable[[#This Row],[SP-4]],-1,0)))</f>
        <v>NONE</v>
      </c>
      <c r="K28" s="20" t="s">
        <v>83</v>
      </c>
      <c r="M28" s="20">
        <f>LEN(TaskTable[WBS])-LEN(SUBSTITUTE(TaskTable[WBS],".",""))+2</f>
        <v>3</v>
      </c>
      <c r="N28" s="22">
        <v>43958</v>
      </c>
      <c r="O28" s="22">
        <v>43958</v>
      </c>
      <c r="P28" s="20">
        <v>1</v>
      </c>
      <c r="Q28" s="20" t="s">
        <v>12</v>
      </c>
      <c r="R28" s="59">
        <f>IF(TaskTable[[#This Row],[STATUS]]="COMPLETE",1,"")</f>
        <v>1</v>
      </c>
      <c r="S28" s="66">
        <v>1</v>
      </c>
      <c r="T28" s="20">
        <v>1</v>
      </c>
    </row>
    <row r="29" spans="4:35" x14ac:dyDescent="0.3">
      <c r="D29" s="24" t="s">
        <v>172</v>
      </c>
      <c r="E29" s="26" t="s">
        <v>68</v>
      </c>
      <c r="F29" s="62" t="str">
        <f ca="1">IF(TaskTable[[#This Row],[WBS Level]]=2,TaskTable[[#This Row],[PHASE]],OFFSET(TaskTable[[#This Row],[MAIN PHASE]],-1,0))</f>
        <v>Training</v>
      </c>
      <c r="G29" s="26" t="str">
        <f ca="1">IF(TaskTable[[#This Row],[WBS Level]]=3,TaskTable[[#This Row],[PHASE]],IF(TaskTable[[#This Row],[WBS Level]]&lt;3,"NONE",OFFSET(TaskTable[[#This Row],[SP-1]],-1,0)))</f>
        <v>Suki App</v>
      </c>
      <c r="H29" s="26" t="str">
        <f ca="1">IF(TaskTable[[#This Row],[WBS Level]]=4,TaskTable[[#This Row],[PHASE]],IF(TaskTable[[#This Row],[WBS Level]]&lt;4,"NONE",OFFSET(TaskTable[[#This Row],[SP-2]],-1,0)))</f>
        <v>Suki Hub</v>
      </c>
      <c r="I29" s="26" t="str">
        <f ca="1">IF(TaskTable[[#This Row],[WBS Level]]=5,TaskTable[[#This Row],[PHASE]],IF(TaskTable[[#This Row],[WBS Level]]&lt;5,"NONE",OFFSET(TaskTable[[#This Row],[SP-3]],-1,0)))</f>
        <v>NONE</v>
      </c>
      <c r="J29" s="26" t="str">
        <f ca="1">IF(TaskTable[[#This Row],[WBS Level]]=6,TaskTable[[#This Row],[PHASE]],IF(TaskTable[[#This Row],[WBS Level]]&lt;6,"NONE",OFFSET(TaskTable[[#This Row],[SP-4]],-1,0)))</f>
        <v>NONE</v>
      </c>
      <c r="K29" s="20" t="s">
        <v>83</v>
      </c>
      <c r="M29" s="20">
        <f>LEN(TaskTable[WBS])-LEN(SUBSTITUTE(TaskTable[WBS],".",""))+2</f>
        <v>4</v>
      </c>
      <c r="N29" s="22">
        <v>43962</v>
      </c>
      <c r="O29" s="22">
        <v>43962</v>
      </c>
      <c r="P29" s="20">
        <v>1</v>
      </c>
      <c r="Q29" s="20" t="s">
        <v>12</v>
      </c>
      <c r="R29" s="59">
        <f>IF(TaskTable[[#This Row],[STATUS]]="COMPLETE",1,"")</f>
        <v>1</v>
      </c>
      <c r="S29" s="66">
        <v>1</v>
      </c>
      <c r="T29" s="20">
        <v>1</v>
      </c>
    </row>
    <row r="30" spans="4:35" ht="28.8" x14ac:dyDescent="0.3">
      <c r="D30" s="24" t="s">
        <v>173</v>
      </c>
      <c r="E30" s="26" t="s">
        <v>84</v>
      </c>
      <c r="F30" s="62" t="str">
        <f ca="1">IF(TaskTable[[#This Row],[WBS Level]]=2,TaskTable[[#This Row],[PHASE]],OFFSET(TaskTable[[#This Row],[MAIN PHASE]],-1,0))</f>
        <v>Training</v>
      </c>
      <c r="G30" s="26" t="str">
        <f ca="1">IF(TaskTable[[#This Row],[WBS Level]]=3,TaskTable[[#This Row],[PHASE]],IF(TaskTable[[#This Row],[WBS Level]]&lt;3,"NONE",OFFSET(TaskTable[[#This Row],[SP-1]],-1,0)))</f>
        <v>Suki App</v>
      </c>
      <c r="H30" s="26" t="str">
        <f ca="1">IF(TaskTable[[#This Row],[WBS Level]]=4,TaskTable[[#This Row],[PHASE]],IF(TaskTable[[#This Row],[WBS Level]]&lt;4,"NONE",OFFSET(TaskTable[[#This Row],[SP-2]],-1,0)))</f>
        <v>Picker-Checker-Driver</v>
      </c>
      <c r="I30" s="26" t="str">
        <f ca="1">IF(TaskTable[[#This Row],[WBS Level]]=5,TaskTable[[#This Row],[PHASE]],IF(TaskTable[[#This Row],[WBS Level]]&lt;5,"NONE",OFFSET(TaskTable[[#This Row],[SP-3]],-1,0)))</f>
        <v>NONE</v>
      </c>
      <c r="J30" s="26" t="str">
        <f ca="1">IF(TaskTable[[#This Row],[WBS Level]]=6,TaskTable[[#This Row],[PHASE]],IF(TaskTable[[#This Row],[WBS Level]]&lt;6,"NONE",OFFSET(TaskTable[[#This Row],[SP-4]],-1,0)))</f>
        <v>NONE</v>
      </c>
      <c r="K30" s="20" t="s">
        <v>83</v>
      </c>
      <c r="M30" s="20">
        <f>LEN(TaskTable[WBS])-LEN(SUBSTITUTE(TaskTable[WBS],".",""))+2</f>
        <v>4</v>
      </c>
      <c r="N30" s="22">
        <v>43963</v>
      </c>
      <c r="O30" s="22">
        <v>43963</v>
      </c>
      <c r="P30" s="20">
        <v>1</v>
      </c>
      <c r="Q30" s="20" t="s">
        <v>12</v>
      </c>
      <c r="R30" s="59">
        <f>IF(TaskTable[[#This Row],[STATUS]]="COMPLETE",1,"")</f>
        <v>1</v>
      </c>
      <c r="S30" s="66">
        <v>1</v>
      </c>
      <c r="T30" s="20">
        <v>1</v>
      </c>
    </row>
    <row r="31" spans="4:35" ht="28.8" x14ac:dyDescent="0.3">
      <c r="D31" s="24">
        <v>6</v>
      </c>
      <c r="E31" s="26" t="s">
        <v>85</v>
      </c>
      <c r="F31" s="62" t="str">
        <f ca="1">IF(TaskTable[[#This Row],[WBS Level]]=2,TaskTable[[#This Row],[PHASE]],OFFSET(TaskTable[[#This Row],[MAIN PHASE]],-1,0))</f>
        <v>PRG Business Process Creation - BRD</v>
      </c>
      <c r="G31" s="26" t="str">
        <f ca="1">IF(TaskTable[[#This Row],[WBS Level]]=3,TaskTable[[#This Row],[PHASE]],IF(TaskTable[[#This Row],[WBS Level]]&lt;3,"NONE",OFFSET(TaskTable[[#This Row],[SP-1]],-1,0)))</f>
        <v>NONE</v>
      </c>
      <c r="H31" s="26" t="str">
        <f ca="1">IF(TaskTable[[#This Row],[WBS Level]]=4,TaskTable[[#This Row],[PHASE]],IF(TaskTable[[#This Row],[WBS Level]]&lt;4,"NONE",OFFSET(TaskTable[[#This Row],[SP-2]],-1,0)))</f>
        <v>NONE</v>
      </c>
      <c r="I31" s="26" t="str">
        <f ca="1">IF(TaskTable[[#This Row],[WBS Level]]=5,TaskTable[[#This Row],[PHASE]],IF(TaskTable[[#This Row],[WBS Level]]&lt;5,"NONE",OFFSET(TaskTable[[#This Row],[SP-3]],-1,0)))</f>
        <v>NONE</v>
      </c>
      <c r="J31" s="26" t="str">
        <f ca="1">IF(TaskTable[[#This Row],[WBS Level]]=6,TaskTable[[#This Row],[PHASE]],IF(TaskTable[[#This Row],[WBS Level]]&lt;6,"NONE",OFFSET(TaskTable[[#This Row],[SP-4]],-1,0)))</f>
        <v>NONE</v>
      </c>
      <c r="K31" s="20" t="s">
        <v>86</v>
      </c>
      <c r="M31" s="20">
        <f>LEN(TaskTable[WBS])-LEN(SUBSTITUTE(TaskTable[WBS],".",""))+2</f>
        <v>2</v>
      </c>
      <c r="N31" s="22">
        <v>43938</v>
      </c>
      <c r="O31" s="22">
        <v>43964</v>
      </c>
      <c r="P31" s="20">
        <v>19</v>
      </c>
      <c r="Q31" s="20"/>
      <c r="R31" s="59" t="str">
        <f>IF(TaskTable[[#This Row],[STATUS]]="COMPLETE",1,"")</f>
        <v/>
      </c>
      <c r="S31" s="66">
        <v>1</v>
      </c>
      <c r="T31" s="20">
        <v>19</v>
      </c>
      <c r="U31" s="73"/>
      <c r="V31" s="73"/>
      <c r="W31" s="73"/>
      <c r="X31" s="73"/>
      <c r="Y31" s="73"/>
      <c r="Z31" s="73"/>
      <c r="AA31" s="73"/>
      <c r="AB31" s="73"/>
      <c r="AC31" s="73"/>
      <c r="AD31" s="73"/>
      <c r="AE31" s="73"/>
      <c r="AF31" s="73"/>
      <c r="AG31" s="73"/>
      <c r="AH31" s="73"/>
      <c r="AI31" s="73"/>
    </row>
    <row r="32" spans="4:35" ht="28.8" x14ac:dyDescent="0.3">
      <c r="D32" s="25">
        <v>6.1</v>
      </c>
      <c r="E32" s="26" t="s">
        <v>87</v>
      </c>
      <c r="F32" s="62" t="str">
        <f ca="1">IF(TaskTable[[#This Row],[WBS Level]]=2,TaskTable[[#This Row],[PHASE]],OFFSET(TaskTable[[#This Row],[MAIN PHASE]],-1,0))</f>
        <v>PRG Business Process Creation - BRD</v>
      </c>
      <c r="G32" s="26" t="str">
        <f ca="1">IF(TaskTable[[#This Row],[WBS Level]]=3,TaskTable[[#This Row],[PHASE]],IF(TaskTable[[#This Row],[WBS Level]]&lt;3,"NONE",OFFSET(TaskTable[[#This Row],[SP-1]],-1,0)))</f>
        <v>BRD Creation</v>
      </c>
      <c r="H32" s="26" t="str">
        <f ca="1">IF(TaskTable[[#This Row],[WBS Level]]=4,TaskTable[[#This Row],[PHASE]],IF(TaskTable[[#This Row],[WBS Level]]&lt;4,"NONE",OFFSET(TaskTable[[#This Row],[SP-2]],-1,0)))</f>
        <v>NONE</v>
      </c>
      <c r="I32" s="26" t="str">
        <f ca="1">IF(TaskTable[[#This Row],[WBS Level]]=5,TaskTable[[#This Row],[PHASE]],IF(TaskTable[[#This Row],[WBS Level]]&lt;5,"NONE",OFFSET(TaskTable[[#This Row],[SP-3]],-1,0)))</f>
        <v>NONE</v>
      </c>
      <c r="J32" s="26" t="str">
        <f ca="1">IF(TaskTable[[#This Row],[WBS Level]]=6,TaskTable[[#This Row],[PHASE]],IF(TaskTable[[#This Row],[WBS Level]]&lt;6,"NONE",OFFSET(TaskTable[[#This Row],[SP-4]],-1,0)))</f>
        <v>NONE</v>
      </c>
      <c r="M32" s="20">
        <f>LEN(TaskTable[WBS])-LEN(SUBSTITUTE(TaskTable[WBS],".",""))+2</f>
        <v>3</v>
      </c>
      <c r="N32" s="22">
        <v>43938</v>
      </c>
      <c r="O32" s="22">
        <v>43949</v>
      </c>
      <c r="P32" s="20">
        <v>12</v>
      </c>
      <c r="Q32" s="20"/>
      <c r="R32" s="59" t="str">
        <f>IF(TaskTable[[#This Row],[STATUS]]="COMPLETE",1,"")</f>
        <v/>
      </c>
      <c r="S32" s="66">
        <v>1</v>
      </c>
      <c r="T32" s="20">
        <v>8</v>
      </c>
      <c r="U32" s="73"/>
      <c r="V32" s="73"/>
      <c r="W32" s="73"/>
      <c r="X32" s="73"/>
      <c r="Y32" s="73"/>
      <c r="Z32" s="73"/>
      <c r="AA32" s="73"/>
      <c r="AB32" s="73"/>
      <c r="AC32" s="73"/>
      <c r="AD32" s="73"/>
      <c r="AE32" s="73"/>
      <c r="AF32" s="73"/>
      <c r="AG32" s="73"/>
      <c r="AH32" s="73"/>
      <c r="AI32" s="73"/>
    </row>
    <row r="33" spans="4:35" ht="28.8" x14ac:dyDescent="0.3">
      <c r="D33" s="24" t="s">
        <v>174</v>
      </c>
      <c r="E33" s="26" t="s">
        <v>67</v>
      </c>
      <c r="F33" s="62" t="str">
        <f ca="1">IF(TaskTable[[#This Row],[WBS Level]]=2,TaskTable[[#This Row],[PHASE]],OFFSET(TaskTable[[#This Row],[MAIN PHASE]],-1,0))</f>
        <v>PRG Business Process Creation - BRD</v>
      </c>
      <c r="G33" s="26" t="str">
        <f ca="1">IF(TaskTable[[#This Row],[WBS Level]]=3,TaskTable[[#This Row],[PHASE]],IF(TaskTable[[#This Row],[WBS Level]]&lt;3,"NONE",OFFSET(TaskTable[[#This Row],[SP-1]],-1,0)))</f>
        <v>BRD Creation</v>
      </c>
      <c r="H33" s="26" t="str">
        <f ca="1">IF(TaskTable[[#This Row],[WBS Level]]=4,TaskTable[[#This Row],[PHASE]],IF(TaskTable[[#This Row],[WBS Level]]&lt;4,"NONE",OFFSET(TaskTable[[#This Row],[SP-2]],-1,0)))</f>
        <v>Suki App</v>
      </c>
      <c r="I33" s="26" t="str">
        <f ca="1">IF(TaskTable[[#This Row],[WBS Level]]=5,TaskTable[[#This Row],[PHASE]],IF(TaskTable[[#This Row],[WBS Level]]&lt;5,"NONE",OFFSET(TaskTable[[#This Row],[SP-3]],-1,0)))</f>
        <v>NONE</v>
      </c>
      <c r="J33" s="26" t="str">
        <f ca="1">IF(TaskTable[[#This Row],[WBS Level]]=6,TaskTable[[#This Row],[PHASE]],IF(TaskTable[[#This Row],[WBS Level]]&lt;6,"NONE",OFFSET(TaskTable[[#This Row],[SP-4]],-1,0)))</f>
        <v>NONE</v>
      </c>
      <c r="M33" s="20">
        <f>LEN(TaskTable[WBS])-LEN(SUBSTITUTE(TaskTable[WBS],".",""))+2</f>
        <v>4</v>
      </c>
      <c r="N33" s="22">
        <v>43938</v>
      </c>
      <c r="O33" s="22">
        <v>43949</v>
      </c>
      <c r="P33" s="20">
        <v>12</v>
      </c>
      <c r="Q33" s="20"/>
      <c r="R33" s="59" t="str">
        <f>IF(TaskTable[[#This Row],[STATUS]]="COMPLETE",1,"")</f>
        <v/>
      </c>
      <c r="S33" s="66">
        <v>1</v>
      </c>
      <c r="T33" s="20">
        <v>8</v>
      </c>
      <c r="U33" s="73"/>
      <c r="V33" s="77"/>
      <c r="W33" s="78"/>
      <c r="X33" s="79"/>
      <c r="Y33" s="78"/>
      <c r="Z33" s="78"/>
      <c r="AA33" s="78"/>
      <c r="AB33" s="78"/>
      <c r="AC33" s="77"/>
      <c r="AD33" s="77"/>
      <c r="AE33" s="77"/>
      <c r="AF33" s="80"/>
      <c r="AG33" s="80"/>
      <c r="AH33" s="77"/>
      <c r="AI33" s="77"/>
    </row>
    <row r="34" spans="4:35" ht="28.8" x14ac:dyDescent="0.3">
      <c r="D34" s="24" t="s">
        <v>175</v>
      </c>
      <c r="E34" s="26" t="s">
        <v>68</v>
      </c>
      <c r="F34" s="62" t="str">
        <f ca="1">IF(TaskTable[[#This Row],[WBS Level]]=2,TaskTable[[#This Row],[PHASE]],OFFSET(TaskTable[[#This Row],[MAIN PHASE]],-1,0))</f>
        <v>PRG Business Process Creation - BRD</v>
      </c>
      <c r="G34" s="26" t="str">
        <f ca="1">IF(TaskTable[[#This Row],[WBS Level]]=3,TaskTable[[#This Row],[PHASE]],IF(TaskTable[[#This Row],[WBS Level]]&lt;3,"NONE",OFFSET(TaskTable[[#This Row],[SP-1]],-1,0)))</f>
        <v>BRD Creation</v>
      </c>
      <c r="H34" s="26" t="str">
        <f ca="1">IF(TaskTable[[#This Row],[WBS Level]]=4,TaskTable[[#This Row],[PHASE]],IF(TaskTable[[#This Row],[WBS Level]]&lt;4,"NONE",OFFSET(TaskTable[[#This Row],[SP-2]],-1,0)))</f>
        <v>Suki Hub</v>
      </c>
      <c r="I34" s="26" t="str">
        <f ca="1">IF(TaskTable[[#This Row],[WBS Level]]=5,TaskTable[[#This Row],[PHASE]],IF(TaskTable[[#This Row],[WBS Level]]&lt;5,"NONE",OFFSET(TaskTable[[#This Row],[SP-3]],-1,0)))</f>
        <v>NONE</v>
      </c>
      <c r="J34" s="26" t="str">
        <f ca="1">IF(TaskTable[[#This Row],[WBS Level]]=6,TaskTable[[#This Row],[PHASE]],IF(TaskTable[[#This Row],[WBS Level]]&lt;6,"NONE",OFFSET(TaskTable[[#This Row],[SP-4]],-1,0)))</f>
        <v>NONE</v>
      </c>
      <c r="M34" s="20">
        <f>LEN(TaskTable[WBS])-LEN(SUBSTITUTE(TaskTable[WBS],".",""))+2</f>
        <v>4</v>
      </c>
      <c r="N34" s="22">
        <v>43938</v>
      </c>
      <c r="O34" s="22">
        <v>43949</v>
      </c>
      <c r="P34" s="20">
        <v>12</v>
      </c>
      <c r="Q34" s="20"/>
      <c r="R34" s="59" t="str">
        <f>IF(TaskTable[[#This Row],[STATUS]]="COMPLETE",1,"")</f>
        <v/>
      </c>
      <c r="S34" s="66">
        <v>1</v>
      </c>
      <c r="T34" s="20">
        <v>8</v>
      </c>
      <c r="U34" s="73"/>
      <c r="V34" s="74"/>
      <c r="W34" s="74"/>
      <c r="X34" s="74"/>
      <c r="Y34" s="74"/>
      <c r="Z34" s="74"/>
      <c r="AA34" s="74"/>
      <c r="AB34" s="74"/>
      <c r="AC34" s="74"/>
      <c r="AD34" s="74"/>
      <c r="AE34" s="74"/>
      <c r="AF34" s="74"/>
      <c r="AG34" s="74"/>
      <c r="AH34" s="74"/>
      <c r="AI34" s="74"/>
    </row>
    <row r="35" spans="4:35" ht="28.8" x14ac:dyDescent="0.3">
      <c r="D35" s="24" t="s">
        <v>176</v>
      </c>
      <c r="E35" s="26" t="s">
        <v>69</v>
      </c>
      <c r="F35" s="62" t="str">
        <f ca="1">IF(TaskTable[[#This Row],[WBS Level]]=2,TaskTable[[#This Row],[PHASE]],OFFSET(TaskTable[[#This Row],[MAIN PHASE]],-1,0))</f>
        <v>PRG Business Process Creation - BRD</v>
      </c>
      <c r="G35" s="26" t="str">
        <f ca="1">IF(TaskTable[[#This Row],[WBS Level]]=3,TaskTable[[#This Row],[PHASE]],IF(TaskTable[[#This Row],[WBS Level]]&lt;3,"NONE",OFFSET(TaskTable[[#This Row],[SP-1]],-1,0)))</f>
        <v>BRD Creation</v>
      </c>
      <c r="H35" s="26" t="str">
        <f ca="1">IF(TaskTable[[#This Row],[WBS Level]]=4,TaskTable[[#This Row],[PHASE]],IF(TaskTable[[#This Row],[WBS Level]]&lt;4,"NONE",OFFSET(TaskTable[[#This Row],[SP-2]],-1,0)))</f>
        <v>Picker-Checker</v>
      </c>
      <c r="I35" s="26" t="str">
        <f ca="1">IF(TaskTable[[#This Row],[WBS Level]]=5,TaskTable[[#This Row],[PHASE]],IF(TaskTable[[#This Row],[WBS Level]]&lt;5,"NONE",OFFSET(TaskTable[[#This Row],[SP-3]],-1,0)))</f>
        <v>NONE</v>
      </c>
      <c r="J35" s="26" t="str">
        <f ca="1">IF(TaskTable[[#This Row],[WBS Level]]=6,TaskTable[[#This Row],[PHASE]],IF(TaskTable[[#This Row],[WBS Level]]&lt;6,"NONE",OFFSET(TaskTable[[#This Row],[SP-4]],-1,0)))</f>
        <v>NONE</v>
      </c>
      <c r="M35" s="20">
        <f>LEN(TaskTable[WBS])-LEN(SUBSTITUTE(TaskTable[WBS],".",""))+2</f>
        <v>4</v>
      </c>
      <c r="N35" s="22">
        <v>43938</v>
      </c>
      <c r="O35" s="22">
        <v>43949</v>
      </c>
      <c r="P35" s="20">
        <v>12</v>
      </c>
      <c r="Q35" s="20"/>
      <c r="R35" s="59" t="str">
        <f>IF(TaskTable[[#This Row],[STATUS]]="COMPLETE",1,"")</f>
        <v/>
      </c>
      <c r="S35" s="66">
        <v>1</v>
      </c>
      <c r="T35" s="20">
        <v>8</v>
      </c>
      <c r="U35" s="73"/>
      <c r="V35" s="53"/>
      <c r="W35" s="52"/>
      <c r="X35" s="75"/>
      <c r="Y35" s="52"/>
      <c r="Z35" s="52"/>
      <c r="AA35" s="52"/>
      <c r="AB35" s="52"/>
      <c r="AC35" s="53"/>
      <c r="AD35" s="53"/>
      <c r="AE35" s="53"/>
      <c r="AF35" s="76"/>
      <c r="AG35" s="76"/>
      <c r="AH35" s="53"/>
      <c r="AI35" s="53"/>
    </row>
    <row r="36" spans="4:35" ht="43.2" x14ac:dyDescent="0.3">
      <c r="D36" s="24" t="s">
        <v>177</v>
      </c>
      <c r="E36" s="26" t="s">
        <v>88</v>
      </c>
      <c r="F36" s="62" t="str">
        <f ca="1">IF(TaskTable[[#This Row],[WBS Level]]=2,TaskTable[[#This Row],[PHASE]],OFFSET(TaskTable[[#This Row],[MAIN PHASE]],-1,0))</f>
        <v>PRG Business Process Creation - BRD</v>
      </c>
      <c r="G36" s="26" t="str">
        <f ca="1">IF(TaskTable[[#This Row],[WBS Level]]=3,TaskTable[[#This Row],[PHASE]],IF(TaskTable[[#This Row],[WBS Level]]&lt;3,"NONE",OFFSET(TaskTable[[#This Row],[SP-1]],-1,0)))</f>
        <v>BRD Creation</v>
      </c>
      <c r="H36" s="26" t="str">
        <f ca="1">IF(TaskTable[[#This Row],[WBS Level]]=4,TaskTable[[#This Row],[PHASE]],IF(TaskTable[[#This Row],[WBS Level]]&lt;4,"NONE",OFFSET(TaskTable[[#This Row],[SP-2]],-1,0)))</f>
        <v>Daily Inventory Uploading and Branch synching</v>
      </c>
      <c r="I36" s="26" t="str">
        <f ca="1">IF(TaskTable[[#This Row],[WBS Level]]=5,TaskTable[[#This Row],[PHASE]],IF(TaskTable[[#This Row],[WBS Level]]&lt;5,"NONE",OFFSET(TaskTable[[#This Row],[SP-3]],-1,0)))</f>
        <v>NONE</v>
      </c>
      <c r="J36" s="26" t="str">
        <f ca="1">IF(TaskTable[[#This Row],[WBS Level]]=6,TaskTable[[#This Row],[PHASE]],IF(TaskTable[[#This Row],[WBS Level]]&lt;6,"NONE",OFFSET(TaskTable[[#This Row],[SP-4]],-1,0)))</f>
        <v>NONE</v>
      </c>
      <c r="M36" s="20">
        <f>LEN(TaskTable[WBS])-LEN(SUBSTITUTE(TaskTable[WBS],".",""))+2</f>
        <v>4</v>
      </c>
      <c r="N36" s="22">
        <v>43938</v>
      </c>
      <c r="O36" s="22">
        <v>43949</v>
      </c>
      <c r="P36" s="20">
        <v>12</v>
      </c>
      <c r="Q36" s="20"/>
      <c r="R36" s="59" t="str">
        <f>IF(TaskTable[[#This Row],[STATUS]]="COMPLETE",1,"")</f>
        <v/>
      </c>
      <c r="S36" s="66">
        <v>1</v>
      </c>
      <c r="T36" s="20">
        <v>8</v>
      </c>
      <c r="U36" s="73"/>
      <c r="V36" s="81"/>
      <c r="W36" s="82"/>
      <c r="X36" s="83"/>
      <c r="Y36" s="82"/>
      <c r="Z36" s="82"/>
      <c r="AA36" s="82"/>
      <c r="AB36" s="82"/>
      <c r="AC36" s="84"/>
      <c r="AD36" s="84"/>
      <c r="AE36" s="84"/>
      <c r="AF36" s="85"/>
      <c r="AG36" s="85"/>
      <c r="AH36" s="84"/>
      <c r="AI36" s="84"/>
    </row>
    <row r="37" spans="4:35" ht="28.8" x14ac:dyDescent="0.3">
      <c r="D37" s="24" t="s">
        <v>178</v>
      </c>
      <c r="E37" s="26" t="s">
        <v>89</v>
      </c>
      <c r="F37" s="62" t="str">
        <f ca="1">IF(TaskTable[[#This Row],[WBS Level]]=2,TaskTable[[#This Row],[PHASE]],OFFSET(TaskTable[[#This Row],[MAIN PHASE]],-1,0))</f>
        <v>PRG Business Process Creation - BRD</v>
      </c>
      <c r="G37" s="26" t="str">
        <f ca="1">IF(TaskTable[[#This Row],[WBS Level]]=3,TaskTable[[#This Row],[PHASE]],IF(TaskTable[[#This Row],[WBS Level]]&lt;3,"NONE",OFFSET(TaskTable[[#This Row],[SP-1]],-1,0)))</f>
        <v>BRD Creation</v>
      </c>
      <c r="H37" s="26" t="str">
        <f ca="1">IF(TaskTable[[#This Row],[WBS Level]]=4,TaskTable[[#This Row],[PHASE]],IF(TaskTable[[#This Row],[WBS Level]]&lt;4,"NONE",OFFSET(TaskTable[[#This Row],[SP-2]],-1,0)))</f>
        <v>Suki Agent</v>
      </c>
      <c r="I37" s="26" t="str">
        <f ca="1">IF(TaskTable[[#This Row],[WBS Level]]=5,TaskTable[[#This Row],[PHASE]],IF(TaskTable[[#This Row],[WBS Level]]&lt;5,"NONE",OFFSET(TaskTable[[#This Row],[SP-3]],-1,0)))</f>
        <v>NONE</v>
      </c>
      <c r="J37" s="26" t="str">
        <f ca="1">IF(TaskTable[[#This Row],[WBS Level]]=6,TaskTable[[#This Row],[PHASE]],IF(TaskTable[[#This Row],[WBS Level]]&lt;6,"NONE",OFFSET(TaskTable[[#This Row],[SP-4]],-1,0)))</f>
        <v>NONE</v>
      </c>
      <c r="M37" s="20">
        <f>LEN(TaskTable[WBS])-LEN(SUBSTITUTE(TaskTable[WBS],".",""))+2</f>
        <v>4</v>
      </c>
      <c r="N37" s="22">
        <v>43938</v>
      </c>
      <c r="O37" s="22">
        <v>43949</v>
      </c>
      <c r="P37" s="20">
        <v>12</v>
      </c>
      <c r="Q37" s="20"/>
      <c r="R37" s="59" t="str">
        <f>IF(TaskTable[[#This Row],[STATUS]]="COMPLETE",1,"")</f>
        <v/>
      </c>
      <c r="S37" s="66">
        <v>1</v>
      </c>
      <c r="T37" s="20">
        <v>8</v>
      </c>
      <c r="V37" s="68"/>
      <c r="W37" s="69"/>
      <c r="X37" s="70"/>
      <c r="Y37" s="69"/>
      <c r="Z37" s="69"/>
      <c r="AA37" s="69"/>
      <c r="AB37" s="69"/>
      <c r="AC37" s="71"/>
      <c r="AD37" s="71"/>
      <c r="AE37" s="71"/>
      <c r="AF37" s="72"/>
      <c r="AG37" s="72"/>
      <c r="AH37" s="71"/>
      <c r="AI37" s="71"/>
    </row>
    <row r="38" spans="4:35" ht="28.8" x14ac:dyDescent="0.3">
      <c r="D38" s="24" t="s">
        <v>179</v>
      </c>
      <c r="E38" s="26" t="s">
        <v>75</v>
      </c>
      <c r="F38" s="62" t="str">
        <f ca="1">IF(TaskTable[[#This Row],[WBS Level]]=2,TaskTable[[#This Row],[PHASE]],OFFSET(TaskTable[[#This Row],[MAIN PHASE]],-1,0))</f>
        <v>PRG Business Process Creation - BRD</v>
      </c>
      <c r="G38" s="26" t="str">
        <f ca="1">IF(TaskTable[[#This Row],[WBS Level]]=3,TaskTable[[#This Row],[PHASE]],IF(TaskTable[[#This Row],[WBS Level]]&lt;3,"NONE",OFFSET(TaskTable[[#This Row],[SP-1]],-1,0)))</f>
        <v>BRD Creation</v>
      </c>
      <c r="H38" s="26" t="str">
        <f ca="1">IF(TaskTable[[#This Row],[WBS Level]]=4,TaskTable[[#This Row],[PHASE]],IF(TaskTable[[#This Row],[WBS Level]]&lt;4,"NONE",OFFSET(TaskTable[[#This Row],[SP-2]],-1,0)))</f>
        <v>Customer Loyalty Points</v>
      </c>
      <c r="I38" s="26" t="str">
        <f ca="1">IF(TaskTable[[#This Row],[WBS Level]]=5,TaskTable[[#This Row],[PHASE]],IF(TaskTable[[#This Row],[WBS Level]]&lt;5,"NONE",OFFSET(TaskTable[[#This Row],[SP-3]],-1,0)))</f>
        <v>NONE</v>
      </c>
      <c r="J38" s="26" t="str">
        <f ca="1">IF(TaskTable[[#This Row],[WBS Level]]=6,TaskTable[[#This Row],[PHASE]],IF(TaskTable[[#This Row],[WBS Level]]&lt;6,"NONE",OFFSET(TaskTable[[#This Row],[SP-4]],-1,0)))</f>
        <v>NONE</v>
      </c>
      <c r="M38" s="20">
        <f>LEN(TaskTable[WBS])-LEN(SUBSTITUTE(TaskTable[WBS],".",""))+2</f>
        <v>4</v>
      </c>
      <c r="N38" s="22">
        <v>43938</v>
      </c>
      <c r="O38" s="22">
        <v>43949</v>
      </c>
      <c r="P38" s="20">
        <v>12</v>
      </c>
      <c r="Q38" s="20"/>
      <c r="R38" s="59" t="str">
        <f>IF(TaskTable[[#This Row],[STATUS]]="COMPLETE",1,"")</f>
        <v/>
      </c>
      <c r="S38" s="66">
        <v>1</v>
      </c>
      <c r="T38" s="20">
        <v>8</v>
      </c>
      <c r="V38" s="68"/>
      <c r="W38" s="69"/>
      <c r="X38" s="70"/>
      <c r="Y38" s="69"/>
      <c r="Z38" s="69"/>
      <c r="AA38" s="69"/>
      <c r="AB38" s="69"/>
      <c r="AC38" s="71"/>
      <c r="AD38" s="71"/>
      <c r="AE38" s="71"/>
      <c r="AF38" s="72"/>
      <c r="AG38" s="72"/>
      <c r="AH38" s="71"/>
      <c r="AI38" s="71"/>
    </row>
    <row r="39" spans="4:35" ht="28.8" x14ac:dyDescent="0.3">
      <c r="D39" s="24" t="s">
        <v>180</v>
      </c>
      <c r="E39" s="26" t="s">
        <v>90</v>
      </c>
      <c r="F39" s="62" t="str">
        <f ca="1">IF(TaskTable[[#This Row],[WBS Level]]=2,TaskTable[[#This Row],[PHASE]],OFFSET(TaskTable[[#This Row],[MAIN PHASE]],-1,0))</f>
        <v>PRG Business Process Creation - BRD</v>
      </c>
      <c r="G39" s="26" t="str">
        <f ca="1">IF(TaskTable[[#This Row],[WBS Level]]=3,TaskTable[[#This Row],[PHASE]],IF(TaskTable[[#This Row],[WBS Level]]&lt;3,"NONE",OFFSET(TaskTable[[#This Row],[SP-1]],-1,0)))</f>
        <v>BRD Creation</v>
      </c>
      <c r="H39" s="26" t="str">
        <f ca="1">IF(TaskTable[[#This Row],[WBS Level]]=4,TaskTable[[#This Row],[PHASE]],IF(TaskTable[[#This Row],[WBS Level]]&lt;4,"NONE",OFFSET(TaskTable[[#This Row],[SP-2]],-1,0)))</f>
        <v>Data Management</v>
      </c>
      <c r="I39" s="26" t="str">
        <f ca="1">IF(TaskTable[[#This Row],[WBS Level]]=5,TaskTable[[#This Row],[PHASE]],IF(TaskTable[[#This Row],[WBS Level]]&lt;5,"NONE",OFFSET(TaskTable[[#This Row],[SP-3]],-1,0)))</f>
        <v>NONE</v>
      </c>
      <c r="J39" s="26" t="str">
        <f ca="1">IF(TaskTable[[#This Row],[WBS Level]]=6,TaskTable[[#This Row],[PHASE]],IF(TaskTable[[#This Row],[WBS Level]]&lt;6,"NONE",OFFSET(TaskTable[[#This Row],[SP-4]],-1,0)))</f>
        <v>NONE</v>
      </c>
      <c r="M39" s="20">
        <f>LEN(TaskTable[WBS])-LEN(SUBSTITUTE(TaskTable[WBS],".",""))+2</f>
        <v>4</v>
      </c>
      <c r="N39" s="22">
        <v>43938</v>
      </c>
      <c r="O39" s="22">
        <v>43949</v>
      </c>
      <c r="P39" s="20">
        <v>12</v>
      </c>
      <c r="Q39" s="20"/>
      <c r="R39" s="59" t="str">
        <f>IF(TaskTable[[#This Row],[STATUS]]="COMPLETE",1,"")</f>
        <v/>
      </c>
      <c r="S39" s="66">
        <v>1</v>
      </c>
      <c r="T39" s="20">
        <v>8</v>
      </c>
      <c r="V39" s="68"/>
      <c r="W39" s="69"/>
      <c r="X39" s="70"/>
      <c r="Y39" s="69"/>
      <c r="Z39" s="69"/>
      <c r="AA39" s="69"/>
      <c r="AB39" s="69"/>
      <c r="AC39" s="71"/>
      <c r="AD39" s="71"/>
      <c r="AE39" s="71"/>
      <c r="AF39" s="72"/>
      <c r="AG39" s="72"/>
      <c r="AH39" s="71"/>
      <c r="AI39" s="71"/>
    </row>
    <row r="40" spans="4:35" ht="28.8" x14ac:dyDescent="0.3">
      <c r="D40" s="24" t="s">
        <v>181</v>
      </c>
      <c r="E40" s="26" t="s">
        <v>91</v>
      </c>
      <c r="F40" s="62" t="str">
        <f ca="1">IF(TaskTable[[#This Row],[WBS Level]]=2,TaskTable[[#This Row],[PHASE]],OFFSET(TaskTable[[#This Row],[MAIN PHASE]],-1,0))</f>
        <v>PRG Business Process Creation - BRD</v>
      </c>
      <c r="G40" s="26" t="str">
        <f ca="1">IF(TaskTable[[#This Row],[WBS Level]]=3,TaskTable[[#This Row],[PHASE]],IF(TaskTable[[#This Row],[WBS Level]]&lt;3,"NONE",OFFSET(TaskTable[[#This Row],[SP-1]],-1,0)))</f>
        <v>BRD Creation</v>
      </c>
      <c r="H40" s="26" t="str">
        <f ca="1">IF(TaskTable[[#This Row],[WBS Level]]=4,TaskTable[[#This Row],[PHASE]],IF(TaskTable[[#This Row],[WBS Level]]&lt;4,"NONE",OFFSET(TaskTable[[#This Row],[SP-2]],-1,0)))</f>
        <v>Payment Collections</v>
      </c>
      <c r="I40" s="26" t="str">
        <f ca="1">IF(TaskTable[[#This Row],[WBS Level]]=5,TaskTable[[#This Row],[PHASE]],IF(TaskTable[[#This Row],[WBS Level]]&lt;5,"NONE",OFFSET(TaskTable[[#This Row],[SP-3]],-1,0)))</f>
        <v>NONE</v>
      </c>
      <c r="J40" s="26" t="str">
        <f ca="1">IF(TaskTable[[#This Row],[WBS Level]]=6,TaskTable[[#This Row],[PHASE]],IF(TaskTable[[#This Row],[WBS Level]]&lt;6,"NONE",OFFSET(TaskTable[[#This Row],[SP-4]],-1,0)))</f>
        <v>NONE</v>
      </c>
      <c r="M40" s="20">
        <f>LEN(TaskTable[WBS])-LEN(SUBSTITUTE(TaskTable[WBS],".",""))+2</f>
        <v>4</v>
      </c>
      <c r="N40" s="22">
        <v>43938</v>
      </c>
      <c r="O40" s="22">
        <v>43949</v>
      </c>
      <c r="P40" s="20">
        <v>12</v>
      </c>
      <c r="Q40" s="20"/>
      <c r="R40" s="59" t="str">
        <f>IF(TaskTable[[#This Row],[STATUS]]="COMPLETE",1,"")</f>
        <v/>
      </c>
      <c r="S40" s="66">
        <v>1</v>
      </c>
      <c r="T40" s="20">
        <v>8</v>
      </c>
      <c r="V40" s="68"/>
      <c r="W40" s="69"/>
      <c r="X40" s="70"/>
      <c r="Y40" s="69"/>
      <c r="Z40" s="69"/>
      <c r="AA40" s="69"/>
      <c r="AB40" s="69"/>
      <c r="AC40" s="71"/>
      <c r="AD40" s="71"/>
      <c r="AE40" s="71"/>
      <c r="AF40" s="72"/>
      <c r="AG40" s="72"/>
      <c r="AH40" s="71"/>
      <c r="AI40" s="71"/>
    </row>
    <row r="41" spans="4:35" ht="28.8" x14ac:dyDescent="0.3">
      <c r="D41" s="24" t="s">
        <v>182</v>
      </c>
      <c r="E41" s="26" t="s">
        <v>92</v>
      </c>
      <c r="F41" s="62" t="str">
        <f ca="1">IF(TaskTable[[#This Row],[WBS Level]]=2,TaskTable[[#This Row],[PHASE]],OFFSET(TaskTable[[#This Row],[MAIN PHASE]],-1,0))</f>
        <v>PRG Business Process Creation - BRD</v>
      </c>
      <c r="G41" s="26" t="str">
        <f ca="1">IF(TaskTable[[#This Row],[WBS Level]]=3,TaskTable[[#This Row],[PHASE]],IF(TaskTable[[#This Row],[WBS Level]]&lt;3,"NONE",OFFSET(TaskTable[[#This Row],[SP-1]],-1,0)))</f>
        <v>BRD Creation</v>
      </c>
      <c r="H41" s="26" t="str">
        <f ca="1">IF(TaskTable[[#This Row],[WBS Level]]=4,TaskTable[[#This Row],[PHASE]],IF(TaskTable[[#This Row],[WBS Level]]&lt;4,"NONE",OFFSET(TaskTable[[#This Row],[SP-2]],-1,0)))</f>
        <v>Exceptions and Limitations</v>
      </c>
      <c r="I41" s="26" t="str">
        <f ca="1">IF(TaskTable[[#This Row],[WBS Level]]=5,TaskTable[[#This Row],[PHASE]],IF(TaskTable[[#This Row],[WBS Level]]&lt;5,"NONE",OFFSET(TaskTable[[#This Row],[SP-3]],-1,0)))</f>
        <v>NONE</v>
      </c>
      <c r="J41" s="26" t="str">
        <f ca="1">IF(TaskTable[[#This Row],[WBS Level]]=6,TaskTable[[#This Row],[PHASE]],IF(TaskTable[[#This Row],[WBS Level]]&lt;6,"NONE",OFFSET(TaskTable[[#This Row],[SP-4]],-1,0)))</f>
        <v>NONE</v>
      </c>
      <c r="M41" s="20">
        <f>LEN(TaskTable[WBS])-LEN(SUBSTITUTE(TaskTable[WBS],".",""))+2</f>
        <v>4</v>
      </c>
      <c r="N41" s="22">
        <v>43938</v>
      </c>
      <c r="O41" s="22">
        <v>43949</v>
      </c>
      <c r="P41" s="20">
        <v>12</v>
      </c>
      <c r="Q41" s="20"/>
      <c r="R41" s="59" t="str">
        <f>IF(TaskTable[[#This Row],[STATUS]]="COMPLETE",1,"")</f>
        <v/>
      </c>
      <c r="S41" s="66">
        <v>1</v>
      </c>
      <c r="T41" s="20">
        <v>8</v>
      </c>
      <c r="V41" s="68"/>
      <c r="W41" s="69"/>
      <c r="X41" s="70"/>
      <c r="Y41" s="69"/>
      <c r="Z41" s="69"/>
      <c r="AA41" s="69"/>
      <c r="AB41" s="69"/>
      <c r="AC41" s="71"/>
      <c r="AD41" s="71"/>
      <c r="AE41" s="71"/>
      <c r="AF41" s="72"/>
      <c r="AG41" s="72"/>
      <c r="AH41" s="71"/>
      <c r="AI41" s="71"/>
    </row>
    <row r="42" spans="4:35" ht="28.8" x14ac:dyDescent="0.3">
      <c r="D42" s="24" t="s">
        <v>183</v>
      </c>
      <c r="E42" s="26" t="s">
        <v>93</v>
      </c>
      <c r="F42" s="62" t="str">
        <f ca="1">IF(TaskTable[[#This Row],[WBS Level]]=2,TaskTable[[#This Row],[PHASE]],OFFSET(TaskTable[[#This Row],[MAIN PHASE]],-1,0))</f>
        <v>PRG Business Process Creation - BRD</v>
      </c>
      <c r="G42" s="26" t="str">
        <f ca="1">IF(TaskTable[[#This Row],[WBS Level]]=3,TaskTable[[#This Row],[PHASE]],IF(TaskTable[[#This Row],[WBS Level]]&lt;3,"NONE",OFFSET(TaskTable[[#This Row],[SP-1]],-1,0)))</f>
        <v>BRD Creation</v>
      </c>
      <c r="H42" s="26" t="str">
        <f ca="1">IF(TaskTable[[#This Row],[WBS Level]]=4,TaskTable[[#This Row],[PHASE]],IF(TaskTable[[#This Row],[WBS Level]]&lt;4,"NONE",OFFSET(TaskTable[[#This Row],[SP-2]],-1,0)))</f>
        <v>Support Org Chart</v>
      </c>
      <c r="I42" s="26" t="str">
        <f ca="1">IF(TaskTable[[#This Row],[WBS Level]]=5,TaskTable[[#This Row],[PHASE]],IF(TaskTable[[#This Row],[WBS Level]]&lt;5,"NONE",OFFSET(TaskTable[[#This Row],[SP-3]],-1,0)))</f>
        <v>NONE</v>
      </c>
      <c r="J42" s="26" t="str">
        <f ca="1">IF(TaskTable[[#This Row],[WBS Level]]=6,TaskTable[[#This Row],[PHASE]],IF(TaskTable[[#This Row],[WBS Level]]&lt;6,"NONE",OFFSET(TaskTable[[#This Row],[SP-4]],-1,0)))</f>
        <v>NONE</v>
      </c>
      <c r="M42" s="20">
        <f>LEN(TaskTable[WBS])-LEN(SUBSTITUTE(TaskTable[WBS],".",""))+2</f>
        <v>4</v>
      </c>
      <c r="N42" s="22">
        <v>43938</v>
      </c>
      <c r="O42" s="22">
        <v>43949</v>
      </c>
      <c r="P42" s="20">
        <v>12</v>
      </c>
      <c r="Q42" s="20"/>
      <c r="R42" s="59" t="str">
        <f>IF(TaskTable[[#This Row],[STATUS]]="COMPLETE",1,"")</f>
        <v/>
      </c>
      <c r="S42" s="66">
        <v>1</v>
      </c>
      <c r="T42" s="20">
        <v>8</v>
      </c>
      <c r="V42" s="68"/>
      <c r="W42" s="69"/>
      <c r="X42" s="70"/>
      <c r="Y42" s="69"/>
      <c r="Z42" s="69"/>
      <c r="AA42" s="69"/>
      <c r="AB42" s="69"/>
      <c r="AC42" s="71"/>
      <c r="AD42" s="71"/>
      <c r="AE42" s="71"/>
      <c r="AF42" s="72"/>
      <c r="AG42" s="72"/>
      <c r="AH42" s="71"/>
      <c r="AI42" s="71"/>
    </row>
    <row r="43" spans="4:35" ht="28.8" x14ac:dyDescent="0.3">
      <c r="D43" s="24" t="s">
        <v>184</v>
      </c>
      <c r="E43" s="26" t="s">
        <v>94</v>
      </c>
      <c r="F43" s="62" t="str">
        <f ca="1">IF(TaskTable[[#This Row],[WBS Level]]=2,TaskTable[[#This Row],[PHASE]],OFFSET(TaskTable[[#This Row],[MAIN PHASE]],-1,0))</f>
        <v>PRG Business Process Creation - BRD</v>
      </c>
      <c r="G43" s="26" t="str">
        <f ca="1">IF(TaskTable[[#This Row],[WBS Level]]=3,TaskTable[[#This Row],[PHASE]],IF(TaskTable[[#This Row],[WBS Level]]&lt;3,"NONE",OFFSET(TaskTable[[#This Row],[SP-1]],-1,0)))</f>
        <v>BRD Creation</v>
      </c>
      <c r="H43" s="26" t="str">
        <f ca="1">IF(TaskTable[[#This Row],[WBS Level]]=4,TaskTable[[#This Row],[PHASE]],IF(TaskTable[[#This Row],[WBS Level]]&lt;4,"NONE",OFFSET(TaskTable[[#This Row],[SP-2]],-1,0)))</f>
        <v>Customer Awareness</v>
      </c>
      <c r="I43" s="26" t="str">
        <f ca="1">IF(TaskTable[[#This Row],[WBS Level]]=5,TaskTable[[#This Row],[PHASE]],IF(TaskTable[[#This Row],[WBS Level]]&lt;5,"NONE",OFFSET(TaskTable[[#This Row],[SP-3]],-1,0)))</f>
        <v>NONE</v>
      </c>
      <c r="J43" s="26" t="str">
        <f ca="1">IF(TaskTable[[#This Row],[WBS Level]]=6,TaskTable[[#This Row],[PHASE]],IF(TaskTable[[#This Row],[WBS Level]]&lt;6,"NONE",OFFSET(TaskTable[[#This Row],[SP-4]],-1,0)))</f>
        <v>NONE</v>
      </c>
      <c r="M43" s="20">
        <f>LEN(TaskTable[WBS])-LEN(SUBSTITUTE(TaskTable[WBS],".",""))+2</f>
        <v>4</v>
      </c>
      <c r="N43" s="22">
        <v>43938</v>
      </c>
      <c r="O43" s="22">
        <v>43949</v>
      </c>
      <c r="P43" s="20">
        <v>12</v>
      </c>
      <c r="Q43" s="20"/>
      <c r="R43" s="59" t="str">
        <f>IF(TaskTable[[#This Row],[STATUS]]="COMPLETE",1,"")</f>
        <v/>
      </c>
      <c r="S43" s="66">
        <v>1</v>
      </c>
      <c r="T43" s="20">
        <v>8</v>
      </c>
      <c r="V43" s="68"/>
      <c r="W43" s="69"/>
      <c r="X43" s="70"/>
      <c r="Y43" s="69"/>
      <c r="Z43" s="69"/>
      <c r="AA43" s="69"/>
      <c r="AB43" s="69"/>
      <c r="AC43" s="71"/>
      <c r="AD43" s="71"/>
      <c r="AE43" s="71"/>
      <c r="AF43" s="72"/>
      <c r="AG43" s="72"/>
      <c r="AH43" s="71"/>
      <c r="AI43" s="71"/>
    </row>
    <row r="44" spans="4:35" ht="28.8" x14ac:dyDescent="0.3">
      <c r="D44" s="24" t="s">
        <v>185</v>
      </c>
      <c r="E44" s="26" t="s">
        <v>95</v>
      </c>
      <c r="F44" s="62" t="str">
        <f ca="1">IF(TaskTable[[#This Row],[WBS Level]]=2,TaskTable[[#This Row],[PHASE]],OFFSET(TaskTable[[#This Row],[MAIN PHASE]],-1,0))</f>
        <v>PRG Business Process Creation - BRD</v>
      </c>
      <c r="G44" s="26" t="str">
        <f ca="1">IF(TaskTable[[#This Row],[WBS Level]]=3,TaskTable[[#This Row],[PHASE]],IF(TaskTable[[#This Row],[WBS Level]]&lt;3,"NONE",OFFSET(TaskTable[[#This Row],[SP-1]],-1,0)))</f>
        <v>BRD Creation</v>
      </c>
      <c r="H44" s="26" t="str">
        <f ca="1">IF(TaskTable[[#This Row],[WBS Level]]=4,TaskTable[[#This Row],[PHASE]],IF(TaskTable[[#This Row],[WBS Level]]&lt;4,"NONE",OFFSET(TaskTable[[#This Row],[SP-2]],-1,0)))</f>
        <v>Guidelines and policies</v>
      </c>
      <c r="I44" s="26" t="str">
        <f ca="1">IF(TaskTable[[#This Row],[WBS Level]]=5,TaskTable[[#This Row],[PHASE]],IF(TaskTable[[#This Row],[WBS Level]]&lt;5,"NONE",OFFSET(TaskTable[[#This Row],[SP-3]],-1,0)))</f>
        <v>NONE</v>
      </c>
      <c r="J44" s="26" t="str">
        <f ca="1">IF(TaskTable[[#This Row],[WBS Level]]=6,TaskTable[[#This Row],[PHASE]],IF(TaskTable[[#This Row],[WBS Level]]&lt;6,"NONE",OFFSET(TaskTable[[#This Row],[SP-4]],-1,0)))</f>
        <v>NONE</v>
      </c>
      <c r="M44" s="20">
        <f>LEN(TaskTable[WBS])-LEN(SUBSTITUTE(TaskTable[WBS],".",""))+2</f>
        <v>4</v>
      </c>
      <c r="N44" s="22">
        <v>43938</v>
      </c>
      <c r="O44" s="22">
        <v>43949</v>
      </c>
      <c r="P44" s="20">
        <v>12</v>
      </c>
      <c r="Q44" s="20"/>
      <c r="R44" s="59" t="str">
        <f>IF(TaskTable[[#This Row],[STATUS]]="COMPLETE",1,"")</f>
        <v/>
      </c>
      <c r="S44" s="66">
        <v>1</v>
      </c>
      <c r="T44" s="20">
        <v>8</v>
      </c>
      <c r="V44" s="68"/>
      <c r="W44" s="69"/>
      <c r="X44" s="70"/>
      <c r="Y44" s="69"/>
      <c r="Z44" s="69"/>
      <c r="AA44" s="69"/>
      <c r="AB44" s="69"/>
      <c r="AC44" s="71"/>
      <c r="AD44" s="71"/>
      <c r="AE44" s="71"/>
      <c r="AF44" s="72"/>
      <c r="AG44" s="72"/>
      <c r="AH44" s="71"/>
      <c r="AI44" s="71"/>
    </row>
    <row r="45" spans="4:35" ht="28.8" x14ac:dyDescent="0.3">
      <c r="D45" s="24">
        <v>6.2</v>
      </c>
      <c r="E45" s="26" t="s">
        <v>96</v>
      </c>
      <c r="F45" s="62" t="str">
        <f ca="1">IF(TaskTable[[#This Row],[WBS Level]]=2,TaskTable[[#This Row],[PHASE]],OFFSET(TaskTable[[#This Row],[MAIN PHASE]],-1,0))</f>
        <v>PRG Business Process Creation - BRD</v>
      </c>
      <c r="G45" s="26" t="str">
        <f ca="1">IF(TaskTable[[#This Row],[WBS Level]]=3,TaskTable[[#This Row],[PHASE]],IF(TaskTable[[#This Row],[WBS Level]]&lt;3,"NONE",OFFSET(TaskTable[[#This Row],[SP-1]],-1,0)))</f>
        <v>BRD Submission</v>
      </c>
      <c r="H45" s="26" t="str">
        <f ca="1">IF(TaskTable[[#This Row],[WBS Level]]=4,TaskTable[[#This Row],[PHASE]],IF(TaskTable[[#This Row],[WBS Level]]&lt;4,"NONE",OFFSET(TaskTable[[#This Row],[SP-2]],-1,0)))</f>
        <v>NONE</v>
      </c>
      <c r="I45" s="26" t="str">
        <f ca="1">IF(TaskTable[[#This Row],[WBS Level]]=5,TaskTable[[#This Row],[PHASE]],IF(TaskTable[[#This Row],[WBS Level]]&lt;5,"NONE",OFFSET(TaskTable[[#This Row],[SP-3]],-1,0)))</f>
        <v>NONE</v>
      </c>
      <c r="J45" s="26" t="str">
        <f ca="1">IF(TaskTable[[#This Row],[WBS Level]]=6,TaskTable[[#This Row],[PHASE]],IF(TaskTable[[#This Row],[WBS Level]]&lt;6,"NONE",OFFSET(TaskTable[[#This Row],[SP-4]],-1,0)))</f>
        <v>NONE</v>
      </c>
      <c r="M45" s="20">
        <f>LEN(TaskTable[WBS])-LEN(SUBSTITUTE(TaskTable[WBS],".",""))+2</f>
        <v>3</v>
      </c>
      <c r="N45" s="22">
        <v>43950</v>
      </c>
      <c r="O45" s="22">
        <v>43950</v>
      </c>
      <c r="P45" s="20">
        <v>1</v>
      </c>
      <c r="Q45" s="20"/>
      <c r="R45" s="59" t="str">
        <f>IF(TaskTable[[#This Row],[STATUS]]="COMPLETE",1,"")</f>
        <v/>
      </c>
      <c r="S45" s="66">
        <v>1</v>
      </c>
      <c r="T45" s="20">
        <v>1</v>
      </c>
      <c r="V45" s="68"/>
      <c r="W45" s="69"/>
      <c r="X45" s="70"/>
      <c r="Y45" s="69"/>
      <c r="Z45" s="69"/>
      <c r="AA45" s="69"/>
      <c r="AB45" s="69"/>
      <c r="AC45" s="71"/>
      <c r="AD45" s="71"/>
      <c r="AE45" s="71"/>
      <c r="AF45" s="72"/>
      <c r="AG45" s="72"/>
      <c r="AH45" s="71"/>
      <c r="AI45" s="71"/>
    </row>
    <row r="46" spans="4:35" ht="28.8" x14ac:dyDescent="0.3">
      <c r="D46" s="24">
        <v>6.3</v>
      </c>
      <c r="E46" s="26" t="s">
        <v>97</v>
      </c>
      <c r="F46" s="62" t="str">
        <f ca="1">IF(TaskTable[[#This Row],[WBS Level]]=2,TaskTable[[#This Row],[PHASE]],OFFSET(TaskTable[[#This Row],[MAIN PHASE]],-1,0))</f>
        <v>PRG Business Process Creation - BRD</v>
      </c>
      <c r="G46" s="26" t="str">
        <f ca="1">IF(TaskTable[[#This Row],[WBS Level]]=3,TaskTable[[#This Row],[PHASE]],IF(TaskTable[[#This Row],[WBS Level]]&lt;3,"NONE",OFFSET(TaskTable[[#This Row],[SP-1]],-1,0)))</f>
        <v>BRD Processing</v>
      </c>
      <c r="H46" s="26" t="str">
        <f ca="1">IF(TaskTable[[#This Row],[WBS Level]]=4,TaskTable[[#This Row],[PHASE]],IF(TaskTable[[#This Row],[WBS Level]]&lt;4,"NONE",OFFSET(TaskTable[[#This Row],[SP-2]],-1,0)))</f>
        <v>NONE</v>
      </c>
      <c r="I46" s="26" t="str">
        <f ca="1">IF(TaskTable[[#This Row],[WBS Level]]=5,TaskTable[[#This Row],[PHASE]],IF(TaskTable[[#This Row],[WBS Level]]&lt;5,"NONE",OFFSET(TaskTable[[#This Row],[SP-3]],-1,0)))</f>
        <v>NONE</v>
      </c>
      <c r="J46" s="26" t="str">
        <f ca="1">IF(TaskTable[[#This Row],[WBS Level]]=6,TaskTable[[#This Row],[PHASE]],IF(TaskTable[[#This Row],[WBS Level]]&lt;6,"NONE",OFFSET(TaskTable[[#This Row],[SP-4]],-1,0)))</f>
        <v>NONE</v>
      </c>
      <c r="M46" s="20">
        <f>LEN(TaskTable[WBS])-LEN(SUBSTITUTE(TaskTable[WBS],".",""))+2</f>
        <v>3</v>
      </c>
      <c r="N46" s="22">
        <v>43951</v>
      </c>
      <c r="O46" s="22">
        <v>43964</v>
      </c>
      <c r="P46" s="20">
        <v>14</v>
      </c>
      <c r="Q46" s="20"/>
      <c r="R46" s="59" t="str">
        <f>IF(TaskTable[[#This Row],[STATUS]]="COMPLETE",1,"")</f>
        <v/>
      </c>
      <c r="S46" s="66">
        <v>1</v>
      </c>
      <c r="T46" s="20">
        <v>10</v>
      </c>
      <c r="V46" s="68"/>
      <c r="W46" s="69"/>
      <c r="X46" s="70"/>
      <c r="Y46" s="69"/>
      <c r="Z46" s="69"/>
      <c r="AA46" s="69"/>
      <c r="AB46" s="69"/>
      <c r="AC46" s="71"/>
      <c r="AD46" s="71"/>
      <c r="AE46" s="71"/>
      <c r="AF46" s="72"/>
      <c r="AG46" s="72"/>
      <c r="AH46" s="71"/>
      <c r="AI46" s="71"/>
    </row>
    <row r="47" spans="4:35" ht="28.8" x14ac:dyDescent="0.3">
      <c r="D47" s="24">
        <v>7</v>
      </c>
      <c r="E47" s="26" t="s">
        <v>98</v>
      </c>
      <c r="F47" s="62" t="str">
        <f ca="1">IF(TaskTable[[#This Row],[WBS Level]]=2,TaskTable[[#This Row],[PHASE]],OFFSET(TaskTable[[#This Row],[MAIN PHASE]],-1,0))</f>
        <v>Configuration and Migration</v>
      </c>
      <c r="G47" s="26" t="str">
        <f ca="1">IF(TaskTable[[#This Row],[WBS Level]]=3,TaskTable[[#This Row],[PHASE]],IF(TaskTable[[#This Row],[WBS Level]]&lt;3,"NONE",OFFSET(TaskTable[[#This Row],[SP-1]],-1,0)))</f>
        <v>NONE</v>
      </c>
      <c r="H47" s="26" t="str">
        <f ca="1">IF(TaskTable[[#This Row],[WBS Level]]=4,TaskTable[[#This Row],[PHASE]],IF(TaskTable[[#This Row],[WBS Level]]&lt;4,"NONE",OFFSET(TaskTable[[#This Row],[SP-2]],-1,0)))</f>
        <v>NONE</v>
      </c>
      <c r="I47" s="26" t="str">
        <f ca="1">IF(TaskTable[[#This Row],[WBS Level]]=5,TaskTable[[#This Row],[PHASE]],IF(TaskTable[[#This Row],[WBS Level]]&lt;5,"NONE",OFFSET(TaskTable[[#This Row],[SP-3]],-1,0)))</f>
        <v>NONE</v>
      </c>
      <c r="J47" s="26" t="str">
        <f ca="1">IF(TaskTable[[#This Row],[WBS Level]]=6,TaskTable[[#This Row],[PHASE]],IF(TaskTable[[#This Row],[WBS Level]]&lt;6,"NONE",OFFSET(TaskTable[[#This Row],[SP-4]],-1,0)))</f>
        <v>NONE</v>
      </c>
      <c r="K47" s="20" t="s">
        <v>66</v>
      </c>
      <c r="M47" s="20">
        <f>LEN(TaskTable[WBS])-LEN(SUBSTITUTE(TaskTable[WBS],".",""))+2</f>
        <v>2</v>
      </c>
      <c r="N47" s="22">
        <v>43962</v>
      </c>
      <c r="O47" s="22">
        <v>43966</v>
      </c>
      <c r="P47" s="20">
        <v>5</v>
      </c>
      <c r="Q47" s="20" t="s">
        <v>12</v>
      </c>
      <c r="R47" s="59">
        <f>IF(TaskTable[[#This Row],[STATUS]]="COMPLETE",1,"")</f>
        <v>1</v>
      </c>
      <c r="S47" s="66">
        <v>1</v>
      </c>
      <c r="T47" s="20">
        <v>5</v>
      </c>
      <c r="V47" s="68"/>
      <c r="W47" s="69"/>
      <c r="X47" s="70"/>
      <c r="Y47" s="69"/>
      <c r="Z47" s="69"/>
      <c r="AA47" s="69"/>
      <c r="AB47" s="69"/>
      <c r="AC47" s="71"/>
      <c r="AD47" s="71"/>
      <c r="AE47" s="71"/>
      <c r="AF47" s="72"/>
      <c r="AG47" s="72"/>
      <c r="AH47" s="71"/>
      <c r="AI47" s="71"/>
    </row>
    <row r="48" spans="4:35" ht="28.8" x14ac:dyDescent="0.3">
      <c r="D48" s="25">
        <v>7.1</v>
      </c>
      <c r="E48" s="26" t="s">
        <v>99</v>
      </c>
      <c r="F48" s="62" t="str">
        <f ca="1">IF(TaskTable[[#This Row],[WBS Level]]=2,TaskTable[[#This Row],[PHASE]],OFFSET(TaskTable[[#This Row],[MAIN PHASE]],-1,0))</f>
        <v>Configuration and Migration</v>
      </c>
      <c r="G48" s="26" t="str">
        <f ca="1">IF(TaskTable[[#This Row],[WBS Level]]=3,TaskTable[[#This Row],[PHASE]],IF(TaskTable[[#This Row],[WBS Level]]&lt;3,"NONE",OFFSET(TaskTable[[#This Row],[SP-1]],-1,0)))</f>
        <v>Configure Business Settings</v>
      </c>
      <c r="H48" s="26" t="str">
        <f ca="1">IF(TaskTable[[#This Row],[WBS Level]]=4,TaskTable[[#This Row],[PHASE]],IF(TaskTable[[#This Row],[WBS Level]]&lt;4,"NONE",OFFSET(TaskTable[[#This Row],[SP-2]],-1,0)))</f>
        <v>NONE</v>
      </c>
      <c r="I48" s="26" t="str">
        <f ca="1">IF(TaskTable[[#This Row],[WBS Level]]=5,TaskTable[[#This Row],[PHASE]],IF(TaskTable[[#This Row],[WBS Level]]&lt;5,"NONE",OFFSET(TaskTable[[#This Row],[SP-3]],-1,0)))</f>
        <v>NONE</v>
      </c>
      <c r="J48" s="26" t="str">
        <f ca="1">IF(TaskTable[[#This Row],[WBS Level]]=6,TaskTable[[#This Row],[PHASE]],IF(TaskTable[[#This Row],[WBS Level]]&lt;6,"NONE",OFFSET(TaskTable[[#This Row],[SP-4]],-1,0)))</f>
        <v>NONE</v>
      </c>
      <c r="M48" s="20">
        <f>LEN(TaskTable[WBS])-LEN(SUBSTITUTE(TaskTable[WBS],".",""))+2</f>
        <v>3</v>
      </c>
      <c r="N48" s="22">
        <v>43962</v>
      </c>
      <c r="O48" s="22">
        <v>43966</v>
      </c>
      <c r="P48" s="20">
        <v>5</v>
      </c>
      <c r="Q48" s="20" t="s">
        <v>12</v>
      </c>
      <c r="R48" s="59">
        <f>IF(TaskTable[[#This Row],[STATUS]]="COMPLETE",1,"")</f>
        <v>1</v>
      </c>
      <c r="S48" s="66">
        <v>1</v>
      </c>
      <c r="T48" s="20">
        <v>5</v>
      </c>
      <c r="V48" s="68"/>
      <c r="W48" s="69"/>
      <c r="X48" s="70"/>
      <c r="Y48" s="69"/>
      <c r="Z48" s="69"/>
      <c r="AA48" s="69"/>
      <c r="AB48" s="69"/>
      <c r="AC48" s="71"/>
      <c r="AD48" s="71"/>
      <c r="AE48" s="71"/>
      <c r="AF48" s="72"/>
      <c r="AG48" s="72"/>
      <c r="AH48" s="71"/>
      <c r="AI48" s="71"/>
    </row>
    <row r="49" spans="4:35" ht="28.8" x14ac:dyDescent="0.3">
      <c r="D49" s="24" t="s">
        <v>186</v>
      </c>
      <c r="E49" s="26" t="s">
        <v>100</v>
      </c>
      <c r="F49" s="62" t="str">
        <f ca="1">IF(TaskTable[[#This Row],[WBS Level]]=2,TaskTable[[#This Row],[PHASE]],OFFSET(TaskTable[[#This Row],[MAIN PHASE]],-1,0))</f>
        <v>Configuration and Migration</v>
      </c>
      <c r="G49" s="26" t="str">
        <f ca="1">IF(TaskTable[[#This Row],[WBS Level]]=3,TaskTable[[#This Row],[PHASE]],IF(TaskTable[[#This Row],[WBS Level]]&lt;3,"NONE",OFFSET(TaskTable[[#This Row],[SP-1]],-1,0)))</f>
        <v>Configure Business Settings</v>
      </c>
      <c r="H49" s="26" t="str">
        <f ca="1">IF(TaskTable[[#This Row],[WBS Level]]=4,TaskTable[[#This Row],[PHASE]],IF(TaskTable[[#This Row],[WBS Level]]&lt;4,"NONE",OFFSET(TaskTable[[#This Row],[SP-2]],-1,0)))</f>
        <v>Company Configuration</v>
      </c>
      <c r="I49" s="26" t="str">
        <f ca="1">IF(TaskTable[[#This Row],[WBS Level]]=5,TaskTable[[#This Row],[PHASE]],IF(TaskTable[[#This Row],[WBS Level]]&lt;5,"NONE",OFFSET(TaskTable[[#This Row],[SP-3]],-1,0)))</f>
        <v>NONE</v>
      </c>
      <c r="J49" s="26" t="str">
        <f ca="1">IF(TaskTable[[#This Row],[WBS Level]]=6,TaskTable[[#This Row],[PHASE]],IF(TaskTable[[#This Row],[WBS Level]]&lt;6,"NONE",OFFSET(TaskTable[[#This Row],[SP-4]],-1,0)))</f>
        <v>NONE</v>
      </c>
      <c r="M49" s="20">
        <f>LEN(TaskTable[WBS])-LEN(SUBSTITUTE(TaskTable[WBS],".",""))+2</f>
        <v>4</v>
      </c>
      <c r="N49" s="22">
        <v>43962</v>
      </c>
      <c r="O49" s="22">
        <v>43966</v>
      </c>
      <c r="P49" s="20">
        <v>5</v>
      </c>
      <c r="Q49" s="20" t="s">
        <v>12</v>
      </c>
      <c r="R49" s="59">
        <f>IF(TaskTable[[#This Row],[STATUS]]="COMPLETE",1,"")</f>
        <v>1</v>
      </c>
      <c r="S49" s="66">
        <v>1</v>
      </c>
      <c r="T49" s="20">
        <v>5</v>
      </c>
      <c r="V49" s="68"/>
      <c r="W49" s="69"/>
      <c r="X49" s="70"/>
      <c r="Y49" s="69"/>
      <c r="Z49" s="69"/>
      <c r="AA49" s="69"/>
      <c r="AB49" s="69"/>
      <c r="AC49" s="71"/>
      <c r="AD49" s="71"/>
      <c r="AE49" s="71"/>
      <c r="AF49" s="72"/>
      <c r="AG49" s="72"/>
      <c r="AH49" s="71"/>
      <c r="AI49" s="71"/>
    </row>
    <row r="50" spans="4:35" ht="28.8" x14ac:dyDescent="0.3">
      <c r="D50" s="24" t="s">
        <v>187</v>
      </c>
      <c r="E50" s="26" t="s">
        <v>101</v>
      </c>
      <c r="F50" s="62" t="str">
        <f ca="1">IF(TaskTable[[#This Row],[WBS Level]]=2,TaskTable[[#This Row],[PHASE]],OFFSET(TaskTable[[#This Row],[MAIN PHASE]],-1,0))</f>
        <v>Configuration and Migration</v>
      </c>
      <c r="G50" s="26" t="str">
        <f ca="1">IF(TaskTable[[#This Row],[WBS Level]]=3,TaskTable[[#This Row],[PHASE]],IF(TaskTable[[#This Row],[WBS Level]]&lt;3,"NONE",OFFSET(TaskTable[[#This Row],[SP-1]],-1,0)))</f>
        <v>Configure Business Settings</v>
      </c>
      <c r="H50" s="26" t="str">
        <f ca="1">IF(TaskTable[[#This Row],[WBS Level]]=4,TaskTable[[#This Row],[PHASE]],IF(TaskTable[[#This Row],[WBS Level]]&lt;4,"NONE",OFFSET(TaskTable[[#This Row],[SP-2]],-1,0)))</f>
        <v>Service Level Agreement</v>
      </c>
      <c r="I50" s="26" t="str">
        <f ca="1">IF(TaskTable[[#This Row],[WBS Level]]=5,TaskTable[[#This Row],[PHASE]],IF(TaskTable[[#This Row],[WBS Level]]&lt;5,"NONE",OFFSET(TaskTable[[#This Row],[SP-3]],-1,0)))</f>
        <v>NONE</v>
      </c>
      <c r="J50" s="26" t="str">
        <f ca="1">IF(TaskTable[[#This Row],[WBS Level]]=6,TaskTable[[#This Row],[PHASE]],IF(TaskTable[[#This Row],[WBS Level]]&lt;6,"NONE",OFFSET(TaskTable[[#This Row],[SP-4]],-1,0)))</f>
        <v>NONE</v>
      </c>
      <c r="M50" s="20">
        <f>LEN(TaskTable[WBS])-LEN(SUBSTITUTE(TaskTable[WBS],".",""))+2</f>
        <v>4</v>
      </c>
      <c r="N50" s="22">
        <v>43962</v>
      </c>
      <c r="O50" s="22">
        <v>43966</v>
      </c>
      <c r="P50" s="20">
        <v>5</v>
      </c>
      <c r="Q50" s="20" t="s">
        <v>12</v>
      </c>
      <c r="R50" s="59">
        <f>IF(TaskTable[[#This Row],[STATUS]]="COMPLETE",1,"")</f>
        <v>1</v>
      </c>
      <c r="S50" s="66">
        <v>1</v>
      </c>
      <c r="T50" s="20">
        <v>5</v>
      </c>
    </row>
    <row r="51" spans="4:35" ht="28.8" x14ac:dyDescent="0.3">
      <c r="D51" s="24" t="s">
        <v>188</v>
      </c>
      <c r="E51" s="26" t="s">
        <v>102</v>
      </c>
      <c r="F51" s="62" t="str">
        <f ca="1">IF(TaskTable[[#This Row],[WBS Level]]=2,TaskTable[[#This Row],[PHASE]],OFFSET(TaskTable[[#This Row],[MAIN PHASE]],-1,0))</f>
        <v>Configuration and Migration</v>
      </c>
      <c r="G51" s="26" t="str">
        <f ca="1">IF(TaskTable[[#This Row],[WBS Level]]=3,TaskTable[[#This Row],[PHASE]],IF(TaskTable[[#This Row],[WBS Level]]&lt;3,"NONE",OFFSET(TaskTable[[#This Row],[SP-1]],-1,0)))</f>
        <v>Configure Business Settings</v>
      </c>
      <c r="H51" s="26" t="str">
        <f ca="1">IF(TaskTable[[#This Row],[WBS Level]]=4,TaskTable[[#This Row],[PHASE]],IF(TaskTable[[#This Row],[WBS Level]]&lt;4,"NONE",OFFSET(TaskTable[[#This Row],[SP-2]],-1,0)))</f>
        <v>Shipping Rates</v>
      </c>
      <c r="I51" s="26" t="str">
        <f ca="1">IF(TaskTable[[#This Row],[WBS Level]]=5,TaskTable[[#This Row],[PHASE]],IF(TaskTable[[#This Row],[WBS Level]]&lt;5,"NONE",OFFSET(TaskTable[[#This Row],[SP-3]],-1,0)))</f>
        <v>NONE</v>
      </c>
      <c r="J51" s="26" t="str">
        <f ca="1">IF(TaskTable[[#This Row],[WBS Level]]=6,TaskTable[[#This Row],[PHASE]],IF(TaskTable[[#This Row],[WBS Level]]&lt;6,"NONE",OFFSET(TaskTable[[#This Row],[SP-4]],-1,0)))</f>
        <v>NONE</v>
      </c>
      <c r="M51" s="20">
        <f>LEN(TaskTable[WBS])-LEN(SUBSTITUTE(TaskTable[WBS],".",""))+2</f>
        <v>4</v>
      </c>
      <c r="N51" s="22">
        <v>43962</v>
      </c>
      <c r="O51" s="22">
        <v>43966</v>
      </c>
      <c r="P51" s="20">
        <v>5</v>
      </c>
      <c r="Q51" s="20" t="s">
        <v>12</v>
      </c>
      <c r="R51" s="59">
        <f>IF(TaskTable[[#This Row],[STATUS]]="COMPLETE",1,"")</f>
        <v>1</v>
      </c>
      <c r="S51" s="66">
        <v>1</v>
      </c>
      <c r="T51" s="20">
        <v>5</v>
      </c>
    </row>
    <row r="52" spans="4:35" ht="28.8" x14ac:dyDescent="0.3">
      <c r="D52" s="24" t="s">
        <v>189</v>
      </c>
      <c r="E52" s="26" t="s">
        <v>103</v>
      </c>
      <c r="F52" s="62" t="str">
        <f ca="1">IF(TaskTable[[#This Row],[WBS Level]]=2,TaskTable[[#This Row],[PHASE]],OFFSET(TaskTable[[#This Row],[MAIN PHASE]],-1,0))</f>
        <v>Configuration and Migration</v>
      </c>
      <c r="G52" s="26" t="str">
        <f ca="1">IF(TaskTable[[#This Row],[WBS Level]]=3,TaskTable[[#This Row],[PHASE]],IF(TaskTable[[#This Row],[WBS Level]]&lt;3,"NONE",OFFSET(TaskTable[[#This Row],[SP-1]],-1,0)))</f>
        <v>Configure Business Settings</v>
      </c>
      <c r="H52" s="26" t="str">
        <f ca="1">IF(TaskTable[[#This Row],[WBS Level]]=4,TaskTable[[#This Row],[PHASE]],IF(TaskTable[[#This Row],[WBS Level]]&lt;4,"NONE",OFFSET(TaskTable[[#This Row],[SP-2]],-1,0)))</f>
        <v>Advanced Configuration</v>
      </c>
      <c r="I52" s="26" t="str">
        <f ca="1">IF(TaskTable[[#This Row],[WBS Level]]=5,TaskTable[[#This Row],[PHASE]],IF(TaskTable[[#This Row],[WBS Level]]&lt;5,"NONE",OFFSET(TaskTable[[#This Row],[SP-3]],-1,0)))</f>
        <v>NONE</v>
      </c>
      <c r="J52" s="26" t="str">
        <f ca="1">IF(TaskTable[[#This Row],[WBS Level]]=6,TaskTable[[#This Row],[PHASE]],IF(TaskTable[[#This Row],[WBS Level]]&lt;6,"NONE",OFFSET(TaskTable[[#This Row],[SP-4]],-1,0)))</f>
        <v>NONE</v>
      </c>
      <c r="M52" s="20">
        <f>LEN(TaskTable[WBS])-LEN(SUBSTITUTE(TaskTable[WBS],".",""))+2</f>
        <v>4</v>
      </c>
      <c r="N52" s="22">
        <v>43962</v>
      </c>
      <c r="O52" s="22">
        <v>43966</v>
      </c>
      <c r="P52" s="20">
        <v>5</v>
      </c>
      <c r="Q52" s="20" t="s">
        <v>12</v>
      </c>
      <c r="R52" s="59">
        <f>IF(TaskTable[[#This Row],[STATUS]]="COMPLETE",1,"")</f>
        <v>1</v>
      </c>
      <c r="S52" s="66">
        <v>1</v>
      </c>
      <c r="T52" s="20">
        <v>5</v>
      </c>
    </row>
    <row r="53" spans="4:35" ht="43.2" x14ac:dyDescent="0.3">
      <c r="D53" s="24" t="s">
        <v>190</v>
      </c>
      <c r="E53" s="26" t="s">
        <v>104</v>
      </c>
      <c r="F53" s="62" t="str">
        <f ca="1">IF(TaskTable[[#This Row],[WBS Level]]=2,TaskTable[[#This Row],[PHASE]],OFFSET(TaskTable[[#This Row],[MAIN PHASE]],-1,0))</f>
        <v>Configuration and Migration</v>
      </c>
      <c r="G53" s="26" t="str">
        <f ca="1">IF(TaskTable[[#This Row],[WBS Level]]=3,TaskTable[[#This Row],[PHASE]],IF(TaskTable[[#This Row],[WBS Level]]&lt;3,"NONE",OFFSET(TaskTable[[#This Row],[SP-1]],-1,0)))</f>
        <v>Configure Business Settings</v>
      </c>
      <c r="H53" s="26" t="str">
        <f ca="1">IF(TaskTable[[#This Row],[WBS Level]]=4,TaskTable[[#This Row],[PHASE]],IF(TaskTable[[#This Row],[WBS Level]]&lt;4,"NONE",OFFSET(TaskTable[[#This Row],[SP-2]],-1,0)))</f>
        <v>Configure User Accesss for Suki Hub</v>
      </c>
      <c r="I53" s="26" t="str">
        <f ca="1">IF(TaskTable[[#This Row],[WBS Level]]=5,TaskTable[[#This Row],[PHASE]],IF(TaskTable[[#This Row],[WBS Level]]&lt;5,"NONE",OFFSET(TaskTable[[#This Row],[SP-3]],-1,0)))</f>
        <v>NONE</v>
      </c>
      <c r="J53" s="26" t="str">
        <f ca="1">IF(TaskTable[[#This Row],[WBS Level]]=6,TaskTable[[#This Row],[PHASE]],IF(TaskTable[[#This Row],[WBS Level]]&lt;6,"NONE",OFFSET(TaskTable[[#This Row],[SP-4]],-1,0)))</f>
        <v>NONE</v>
      </c>
      <c r="M53" s="20">
        <f>LEN(TaskTable[WBS])-LEN(SUBSTITUTE(TaskTable[WBS],".",""))+2</f>
        <v>4</v>
      </c>
      <c r="N53" s="22">
        <v>43962</v>
      </c>
      <c r="O53" s="22">
        <v>43966</v>
      </c>
      <c r="P53" s="20">
        <v>5</v>
      </c>
      <c r="Q53" s="20" t="s">
        <v>12</v>
      </c>
      <c r="R53" s="59">
        <f>IF(TaskTable[[#This Row],[STATUS]]="COMPLETE",1,"")</f>
        <v>1</v>
      </c>
      <c r="S53" s="66">
        <v>1</v>
      </c>
      <c r="T53" s="20">
        <v>5</v>
      </c>
    </row>
    <row r="54" spans="4:35" ht="28.8" x14ac:dyDescent="0.3">
      <c r="D54" s="24" t="s">
        <v>191</v>
      </c>
      <c r="E54" s="26" t="s">
        <v>105</v>
      </c>
      <c r="F54" s="62" t="str">
        <f ca="1">IF(TaskTable[[#This Row],[WBS Level]]=2,TaskTable[[#This Row],[PHASE]],OFFSET(TaskTable[[#This Row],[MAIN PHASE]],-1,0))</f>
        <v>Configuration and Migration</v>
      </c>
      <c r="G54" s="26" t="str">
        <f ca="1">IF(TaskTable[[#This Row],[WBS Level]]=3,TaskTable[[#This Row],[PHASE]],IF(TaskTable[[#This Row],[WBS Level]]&lt;3,"NONE",OFFSET(TaskTable[[#This Row],[SP-1]],-1,0)))</f>
        <v>Configure Business Settings</v>
      </c>
      <c r="H54" s="26" t="str">
        <f ca="1">IF(TaskTable[[#This Row],[WBS Level]]=4,TaskTable[[#This Row],[PHASE]],IF(TaskTable[[#This Row],[WBS Level]]&lt;4,"NONE",OFFSET(TaskTable[[#This Row],[SP-2]],-1,0)))</f>
        <v>Provide complete list of Users</v>
      </c>
      <c r="I54" s="26" t="str">
        <f ca="1">IF(TaskTable[[#This Row],[WBS Level]]=5,TaskTable[[#This Row],[PHASE]],IF(TaskTable[[#This Row],[WBS Level]]&lt;5,"NONE",OFFSET(TaskTable[[#This Row],[SP-3]],-1,0)))</f>
        <v>NONE</v>
      </c>
      <c r="J54" s="26" t="str">
        <f ca="1">IF(TaskTable[[#This Row],[WBS Level]]=6,TaskTable[[#This Row],[PHASE]],IF(TaskTable[[#This Row],[WBS Level]]&lt;6,"NONE",OFFSET(TaskTable[[#This Row],[SP-4]],-1,0)))</f>
        <v>NONE</v>
      </c>
      <c r="M54" s="20">
        <f>LEN(TaskTable[WBS])-LEN(SUBSTITUTE(TaskTable[WBS],".",""))+2</f>
        <v>4</v>
      </c>
      <c r="N54" s="22">
        <v>43962</v>
      </c>
      <c r="O54" s="22">
        <v>43966</v>
      </c>
      <c r="P54" s="20">
        <v>5</v>
      </c>
      <c r="Q54" s="20" t="s">
        <v>12</v>
      </c>
      <c r="R54" s="59">
        <f>IF(TaskTable[[#This Row],[STATUS]]="COMPLETE",1,"")</f>
        <v>1</v>
      </c>
      <c r="S54" s="66">
        <v>1</v>
      </c>
      <c r="T54" s="20">
        <v>5</v>
      </c>
    </row>
    <row r="55" spans="4:35" ht="28.8" x14ac:dyDescent="0.3">
      <c r="D55" s="24" t="s">
        <v>192</v>
      </c>
      <c r="E55" s="26" t="s">
        <v>106</v>
      </c>
      <c r="F55" s="62" t="str">
        <f ca="1">IF(TaskTable[[#This Row],[WBS Level]]=2,TaskTable[[#This Row],[PHASE]],OFFSET(TaskTable[[#This Row],[MAIN PHASE]],-1,0))</f>
        <v>Configuration and Migration</v>
      </c>
      <c r="G55" s="26" t="str">
        <f ca="1">IF(TaskTable[[#This Row],[WBS Level]]=3,TaskTable[[#This Row],[PHASE]],IF(TaskTable[[#This Row],[WBS Level]]&lt;3,"NONE",OFFSET(TaskTable[[#This Row],[SP-1]],-1,0)))</f>
        <v>Configure Business Settings</v>
      </c>
      <c r="H55" s="26" t="str">
        <f ca="1">IF(TaskTable[[#This Row],[WBS Level]]=4,TaskTable[[#This Row],[PHASE]],IF(TaskTable[[#This Row],[WBS Level]]&lt;4,"NONE",OFFSET(TaskTable[[#This Row],[SP-2]],-1,0)))</f>
        <v>Configure Users</v>
      </c>
      <c r="I55" s="26" t="str">
        <f ca="1">IF(TaskTable[[#This Row],[WBS Level]]=5,TaskTable[[#This Row],[PHASE]],IF(TaskTable[[#This Row],[WBS Level]]&lt;5,"NONE",OFFSET(TaskTable[[#This Row],[SP-3]],-1,0)))</f>
        <v>NONE</v>
      </c>
      <c r="J55" s="26" t="str">
        <f ca="1">IF(TaskTable[[#This Row],[WBS Level]]=6,TaskTable[[#This Row],[PHASE]],IF(TaskTable[[#This Row],[WBS Level]]&lt;6,"NONE",OFFSET(TaskTable[[#This Row],[SP-4]],-1,0)))</f>
        <v>NONE</v>
      </c>
      <c r="M55" s="20">
        <f>LEN(TaskTable[WBS])-LEN(SUBSTITUTE(TaskTable[WBS],".",""))+2</f>
        <v>4</v>
      </c>
      <c r="N55" s="22">
        <v>43962</v>
      </c>
      <c r="O55" s="22">
        <v>43966</v>
      </c>
      <c r="P55" s="20">
        <v>5</v>
      </c>
      <c r="Q55" s="20" t="s">
        <v>12</v>
      </c>
      <c r="R55" s="59">
        <f>IF(TaskTable[[#This Row],[STATUS]]="COMPLETE",1,"")</f>
        <v>1</v>
      </c>
      <c r="S55" s="66">
        <v>1</v>
      </c>
      <c r="T55" s="20">
        <v>5</v>
      </c>
    </row>
    <row r="56" spans="4:35" x14ac:dyDescent="0.3">
      <c r="D56" s="24">
        <v>8</v>
      </c>
      <c r="E56" s="26" t="s">
        <v>107</v>
      </c>
      <c r="F56" s="62" t="str">
        <f ca="1">IF(TaskTable[[#This Row],[WBS Level]]=2,TaskTable[[#This Row],[PHASE]],OFFSET(TaskTable[[#This Row],[MAIN PHASE]],-1,0))</f>
        <v>Data Migration</v>
      </c>
      <c r="G56" s="26" t="str">
        <f ca="1">IF(TaskTable[[#This Row],[WBS Level]]=3,TaskTable[[#This Row],[PHASE]],IF(TaskTable[[#This Row],[WBS Level]]&lt;3,"NONE",OFFSET(TaskTable[[#This Row],[SP-1]],-1,0)))</f>
        <v>NONE</v>
      </c>
      <c r="H56" s="26" t="str">
        <f ca="1">IF(TaskTable[[#This Row],[WBS Level]]=4,TaskTable[[#This Row],[PHASE]],IF(TaskTable[[#This Row],[WBS Level]]&lt;4,"NONE",OFFSET(TaskTable[[#This Row],[SP-2]],-1,0)))</f>
        <v>NONE</v>
      </c>
      <c r="I56" s="26" t="str">
        <f ca="1">IF(TaskTable[[#This Row],[WBS Level]]=5,TaskTable[[#This Row],[PHASE]],IF(TaskTable[[#This Row],[WBS Level]]&lt;5,"NONE",OFFSET(TaskTable[[#This Row],[SP-3]],-1,0)))</f>
        <v>NONE</v>
      </c>
      <c r="J56" s="26" t="str">
        <f ca="1">IF(TaskTable[[#This Row],[WBS Level]]=6,TaskTable[[#This Row],[PHASE]],IF(TaskTable[[#This Row],[WBS Level]]&lt;6,"NONE",OFFSET(TaskTable[[#This Row],[SP-4]],-1,0)))</f>
        <v>NONE</v>
      </c>
      <c r="K56" s="20" t="s">
        <v>108</v>
      </c>
      <c r="M56" s="20">
        <f>LEN(TaskTable[WBS])-LEN(SUBSTITUTE(TaskTable[WBS],".",""))+2</f>
        <v>2</v>
      </c>
      <c r="N56" s="22">
        <v>43962</v>
      </c>
      <c r="O56" s="22">
        <v>43966</v>
      </c>
      <c r="P56" s="20">
        <v>5</v>
      </c>
      <c r="Q56" s="20" t="s">
        <v>12</v>
      </c>
      <c r="R56" s="59">
        <f>IF(TaskTable[[#This Row],[STATUS]]="COMPLETE",1,"")</f>
        <v>1</v>
      </c>
      <c r="S56" s="66">
        <v>1</v>
      </c>
      <c r="T56" s="20">
        <v>5</v>
      </c>
    </row>
    <row r="57" spans="4:35" x14ac:dyDescent="0.3">
      <c r="D57" s="25">
        <v>8.1</v>
      </c>
      <c r="E57" s="26" t="s">
        <v>109</v>
      </c>
      <c r="F57" s="62" t="str">
        <f ca="1">IF(TaskTable[[#This Row],[WBS Level]]=2,TaskTable[[#This Row],[PHASE]],OFFSET(TaskTable[[#This Row],[MAIN PHASE]],-1,0))</f>
        <v>Data Migration</v>
      </c>
      <c r="G57" s="26" t="str">
        <f ca="1">IF(TaskTable[[#This Row],[WBS Level]]=3,TaskTable[[#This Row],[PHASE]],IF(TaskTable[[#This Row],[WBS Level]]&lt;3,"NONE",OFFSET(TaskTable[[#This Row],[SP-1]],-1,0)))</f>
        <v>Master Products</v>
      </c>
      <c r="H57" s="26" t="str">
        <f ca="1">IF(TaskTable[[#This Row],[WBS Level]]=4,TaskTable[[#This Row],[PHASE]],IF(TaskTable[[#This Row],[WBS Level]]&lt;4,"NONE",OFFSET(TaskTable[[#This Row],[SP-2]],-1,0)))</f>
        <v>NONE</v>
      </c>
      <c r="I57" s="26" t="str">
        <f ca="1">IF(TaskTable[[#This Row],[WBS Level]]=5,TaskTable[[#This Row],[PHASE]],IF(TaskTable[[#This Row],[WBS Level]]&lt;5,"NONE",OFFSET(TaskTable[[#This Row],[SP-3]],-1,0)))</f>
        <v>NONE</v>
      </c>
      <c r="J57" s="26" t="str">
        <f ca="1">IF(TaskTable[[#This Row],[WBS Level]]=6,TaskTable[[#This Row],[PHASE]],IF(TaskTable[[#This Row],[WBS Level]]&lt;6,"NONE",OFFSET(TaskTable[[#This Row],[SP-4]],-1,0)))</f>
        <v>NONE</v>
      </c>
      <c r="M57" s="20">
        <f>LEN(TaskTable[WBS])-LEN(SUBSTITUTE(TaskTable[WBS],".",""))+2</f>
        <v>3</v>
      </c>
      <c r="N57" s="22">
        <v>43962</v>
      </c>
      <c r="O57" s="22">
        <v>43966</v>
      </c>
      <c r="P57" s="20">
        <v>5</v>
      </c>
      <c r="Q57" s="20" t="s">
        <v>12</v>
      </c>
      <c r="R57" s="59">
        <f>IF(TaskTable[[#This Row],[STATUS]]="COMPLETE",1,"")</f>
        <v>1</v>
      </c>
      <c r="S57" s="66">
        <v>1</v>
      </c>
      <c r="T57" s="20">
        <v>5</v>
      </c>
    </row>
    <row r="58" spans="4:35" x14ac:dyDescent="0.3">
      <c r="D58" s="24" t="s">
        <v>193</v>
      </c>
      <c r="E58" s="26" t="s">
        <v>110</v>
      </c>
      <c r="F58" s="62" t="str">
        <f ca="1">IF(TaskTable[[#This Row],[WBS Level]]=2,TaskTable[[#This Row],[PHASE]],OFFSET(TaskTable[[#This Row],[MAIN PHASE]],-1,0))</f>
        <v>Data Migration</v>
      </c>
      <c r="G58" s="26" t="str">
        <f ca="1">IF(TaskTable[[#This Row],[WBS Level]]=3,TaskTable[[#This Row],[PHASE]],IF(TaskTable[[#This Row],[WBS Level]]&lt;3,"NONE",OFFSET(TaskTable[[#This Row],[SP-1]],-1,0)))</f>
        <v>Master Products</v>
      </c>
      <c r="H58" s="26" t="str">
        <f ca="1">IF(TaskTable[[#This Row],[WBS Level]]=4,TaskTable[[#This Row],[PHASE]],IF(TaskTable[[#This Row],[WBS Level]]&lt;4,"NONE",OFFSET(TaskTable[[#This Row],[SP-2]],-1,0)))</f>
        <v>Popular Products</v>
      </c>
      <c r="I58" s="26" t="str">
        <f ca="1">IF(TaskTable[[#This Row],[WBS Level]]=5,TaskTable[[#This Row],[PHASE]],IF(TaskTable[[#This Row],[WBS Level]]&lt;5,"NONE",OFFSET(TaskTable[[#This Row],[SP-3]],-1,0)))</f>
        <v>NONE</v>
      </c>
      <c r="J58" s="26" t="str">
        <f ca="1">IF(TaskTable[[#This Row],[WBS Level]]=6,TaskTable[[#This Row],[PHASE]],IF(TaskTable[[#This Row],[WBS Level]]&lt;6,"NONE",OFFSET(TaskTable[[#This Row],[SP-4]],-1,0)))</f>
        <v>NONE</v>
      </c>
      <c r="M58" s="20">
        <f>LEN(TaskTable[WBS])-LEN(SUBSTITUTE(TaskTable[WBS],".",""))+2</f>
        <v>4</v>
      </c>
      <c r="N58" s="22">
        <v>43962</v>
      </c>
      <c r="O58" s="22">
        <v>43966</v>
      </c>
      <c r="P58" s="20">
        <v>5</v>
      </c>
      <c r="Q58" s="20" t="s">
        <v>12</v>
      </c>
      <c r="R58" s="59">
        <f>IF(TaskTable[[#This Row],[STATUS]]="COMPLETE",1,"")</f>
        <v>1</v>
      </c>
      <c r="S58" s="66">
        <v>1</v>
      </c>
      <c r="T58" s="20">
        <v>5</v>
      </c>
    </row>
    <row r="59" spans="4:35" x14ac:dyDescent="0.3">
      <c r="D59" s="24" t="s">
        <v>194</v>
      </c>
      <c r="E59" s="26" t="s">
        <v>111</v>
      </c>
      <c r="F59" s="62" t="str">
        <f ca="1">IF(TaskTable[[#This Row],[WBS Level]]=2,TaskTable[[#This Row],[PHASE]],OFFSET(TaskTable[[#This Row],[MAIN PHASE]],-1,0))</f>
        <v>Data Migration</v>
      </c>
      <c r="G59" s="26" t="str">
        <f ca="1">IF(TaskTable[[#This Row],[WBS Level]]=3,TaskTable[[#This Row],[PHASE]],IF(TaskTable[[#This Row],[WBS Level]]&lt;3,"NONE",OFFSET(TaskTable[[#This Row],[SP-1]],-1,0)))</f>
        <v>Master Products</v>
      </c>
      <c r="H59" s="26" t="str">
        <f ca="1">IF(TaskTable[[#This Row],[WBS Level]]=4,TaskTable[[#This Row],[PHASE]],IF(TaskTable[[#This Row],[WBS Level]]&lt;4,"NONE",OFFSET(TaskTable[[#This Row],[SP-2]],-1,0)))</f>
        <v>Membership Data</v>
      </c>
      <c r="I59" s="26" t="str">
        <f ca="1">IF(TaskTable[[#This Row],[WBS Level]]=5,TaskTable[[#This Row],[PHASE]],IF(TaskTable[[#This Row],[WBS Level]]&lt;5,"NONE",OFFSET(TaskTable[[#This Row],[SP-3]],-1,0)))</f>
        <v>NONE</v>
      </c>
      <c r="J59" s="26" t="str">
        <f ca="1">IF(TaskTable[[#This Row],[WBS Level]]=6,TaskTable[[#This Row],[PHASE]],IF(TaskTable[[#This Row],[WBS Level]]&lt;6,"NONE",OFFSET(TaskTable[[#This Row],[SP-4]],-1,0)))</f>
        <v>NONE</v>
      </c>
      <c r="M59" s="20">
        <f>LEN(TaskTable[WBS])-LEN(SUBSTITUTE(TaskTable[WBS],".",""))+2</f>
        <v>4</v>
      </c>
      <c r="N59" s="22">
        <v>43962</v>
      </c>
      <c r="O59" s="22">
        <v>43966</v>
      </c>
      <c r="P59" s="20">
        <v>5</v>
      </c>
      <c r="Q59" s="20" t="s">
        <v>12</v>
      </c>
      <c r="R59" s="59">
        <f>IF(TaskTable[[#This Row],[STATUS]]="COMPLETE",1,"")</f>
        <v>1</v>
      </c>
      <c r="S59" s="66">
        <v>1</v>
      </c>
      <c r="T59" s="20">
        <v>5</v>
      </c>
    </row>
    <row r="60" spans="4:35" x14ac:dyDescent="0.3">
      <c r="D60" s="24" t="s">
        <v>195</v>
      </c>
      <c r="E60" s="26" t="s">
        <v>112</v>
      </c>
      <c r="F60" s="62" t="str">
        <f ca="1">IF(TaskTable[[#This Row],[WBS Level]]=2,TaskTable[[#This Row],[PHASE]],OFFSET(TaskTable[[#This Row],[MAIN PHASE]],-1,0))</f>
        <v>Data Migration</v>
      </c>
      <c r="G60" s="26" t="str">
        <f ca="1">IF(TaskTable[[#This Row],[WBS Level]]=3,TaskTable[[#This Row],[PHASE]],IF(TaskTable[[#This Row],[WBS Level]]&lt;3,"NONE",OFFSET(TaskTable[[#This Row],[SP-1]],-1,0)))</f>
        <v>Master Products</v>
      </c>
      <c r="H60" s="26" t="str">
        <f ca="1">IF(TaskTable[[#This Row],[WBS Level]]=4,TaskTable[[#This Row],[PHASE]],IF(TaskTable[[#This Row],[WBS Level]]&lt;4,"NONE",OFFSET(TaskTable[[#This Row],[SP-2]],-1,0)))</f>
        <v>Inventory</v>
      </c>
      <c r="I60" s="26" t="str">
        <f ca="1">IF(TaskTable[[#This Row],[WBS Level]]=5,TaskTable[[#This Row],[PHASE]],IF(TaskTable[[#This Row],[WBS Level]]&lt;5,"NONE",OFFSET(TaskTable[[#This Row],[SP-3]],-1,0)))</f>
        <v>NONE</v>
      </c>
      <c r="J60" s="26" t="str">
        <f ca="1">IF(TaskTable[[#This Row],[WBS Level]]=6,TaskTable[[#This Row],[PHASE]],IF(TaskTable[[#This Row],[WBS Level]]&lt;6,"NONE",OFFSET(TaskTable[[#This Row],[SP-4]],-1,0)))</f>
        <v>NONE</v>
      </c>
      <c r="M60" s="20">
        <f>LEN(TaskTable[WBS])-LEN(SUBSTITUTE(TaskTable[WBS],".",""))+2</f>
        <v>4</v>
      </c>
      <c r="N60" s="22">
        <v>43962</v>
      </c>
      <c r="O60" s="22">
        <v>43966</v>
      </c>
      <c r="P60" s="20">
        <v>5</v>
      </c>
      <c r="Q60" s="20"/>
      <c r="R60" s="59" t="str">
        <f>IF(TaskTable[[#This Row],[STATUS]]="COMPLETE",1,"")</f>
        <v/>
      </c>
      <c r="S60" s="66">
        <v>1</v>
      </c>
      <c r="T60" s="20">
        <v>5</v>
      </c>
    </row>
    <row r="61" spans="4:35" x14ac:dyDescent="0.3">
      <c r="D61" s="24" t="s">
        <v>196</v>
      </c>
      <c r="E61" s="26" t="s">
        <v>113</v>
      </c>
      <c r="F61" s="62" t="str">
        <f ca="1">IF(TaskTable[[#This Row],[WBS Level]]=2,TaskTable[[#This Row],[PHASE]],OFFSET(TaskTable[[#This Row],[MAIN PHASE]],-1,0))</f>
        <v>Data Migration</v>
      </c>
      <c r="G61" s="26" t="str">
        <f ca="1">IF(TaskTable[[#This Row],[WBS Level]]=3,TaskTable[[#This Row],[PHASE]],IF(TaskTable[[#This Row],[WBS Level]]&lt;3,"NONE",OFFSET(TaskTable[[#This Row],[SP-1]],-1,0)))</f>
        <v>Master Products</v>
      </c>
      <c r="H61" s="26" t="str">
        <f ca="1">IF(TaskTable[[#This Row],[WBS Level]]=4,TaskTable[[#This Row],[PHASE]],IF(TaskTable[[#This Row],[WBS Level]]&lt;4,"NONE",OFFSET(TaskTable[[#This Row],[SP-2]],-1,0)))</f>
        <v>Images</v>
      </c>
      <c r="I61" s="26" t="str">
        <f ca="1">IF(TaskTable[[#This Row],[WBS Level]]=5,TaskTable[[#This Row],[PHASE]],IF(TaskTable[[#This Row],[WBS Level]]&lt;5,"NONE",OFFSET(TaskTable[[#This Row],[SP-3]],-1,0)))</f>
        <v>NONE</v>
      </c>
      <c r="J61" s="26" t="str">
        <f ca="1">IF(TaskTable[[#This Row],[WBS Level]]=6,TaskTable[[#This Row],[PHASE]],IF(TaskTable[[#This Row],[WBS Level]]&lt;6,"NONE",OFFSET(TaskTable[[#This Row],[SP-4]],-1,0)))</f>
        <v>NONE</v>
      </c>
      <c r="M61" s="20">
        <f>LEN(TaskTable[WBS])-LEN(SUBSTITUTE(TaskTable[WBS],".",""))+2</f>
        <v>4</v>
      </c>
      <c r="N61" s="22">
        <v>43962</v>
      </c>
      <c r="O61" s="22">
        <v>43966</v>
      </c>
      <c r="P61" s="20">
        <v>5</v>
      </c>
      <c r="Q61" s="20" t="s">
        <v>12</v>
      </c>
      <c r="R61" s="59">
        <f>IF(TaskTable[[#This Row],[STATUS]]="COMPLETE",1,"")</f>
        <v>1</v>
      </c>
      <c r="S61" s="66">
        <v>0.87</v>
      </c>
      <c r="T61" s="20">
        <v>5</v>
      </c>
    </row>
    <row r="62" spans="4:35" x14ac:dyDescent="0.3">
      <c r="D62" s="24">
        <v>9</v>
      </c>
      <c r="E62" s="26" t="s">
        <v>114</v>
      </c>
      <c r="F62" s="62" t="str">
        <f ca="1">IF(TaskTable[[#This Row],[WBS Level]]=2,TaskTable[[#This Row],[PHASE]],OFFSET(TaskTable[[#This Row],[MAIN PHASE]],-1,0))</f>
        <v>Infrastructure</v>
      </c>
      <c r="G62" s="26" t="str">
        <f ca="1">IF(TaskTable[[#This Row],[WBS Level]]=3,TaskTable[[#This Row],[PHASE]],IF(TaskTable[[#This Row],[WBS Level]]&lt;3,"NONE",OFFSET(TaskTable[[#This Row],[SP-1]],-1,0)))</f>
        <v>NONE</v>
      </c>
      <c r="H62" s="26" t="str">
        <f ca="1">IF(TaskTable[[#This Row],[WBS Level]]=4,TaskTable[[#This Row],[PHASE]],IF(TaskTable[[#This Row],[WBS Level]]&lt;4,"NONE",OFFSET(TaskTable[[#This Row],[SP-2]],-1,0)))</f>
        <v>NONE</v>
      </c>
      <c r="I62" s="26" t="str">
        <f ca="1">IF(TaskTable[[#This Row],[WBS Level]]=5,TaskTable[[#This Row],[PHASE]],IF(TaskTable[[#This Row],[WBS Level]]&lt;5,"NONE",OFFSET(TaskTable[[#This Row],[SP-3]],-1,0)))</f>
        <v>NONE</v>
      </c>
      <c r="J62" s="26" t="str">
        <f ca="1">IF(TaskTable[[#This Row],[WBS Level]]=6,TaskTable[[#This Row],[PHASE]],IF(TaskTable[[#This Row],[WBS Level]]&lt;6,"NONE",OFFSET(TaskTable[[#This Row],[SP-4]],-1,0)))</f>
        <v>NONE</v>
      </c>
      <c r="K62" s="20" t="s">
        <v>53</v>
      </c>
      <c r="M62" s="20">
        <f>LEN(TaskTable[WBS])-LEN(SUBSTITUTE(TaskTable[WBS],".",""))+2</f>
        <v>2</v>
      </c>
      <c r="N62" s="22">
        <v>43951</v>
      </c>
      <c r="O62" s="22">
        <v>43963</v>
      </c>
      <c r="P62" s="20">
        <v>9</v>
      </c>
      <c r="Q62" s="20" t="s">
        <v>12</v>
      </c>
      <c r="R62" s="59">
        <f>IF(TaskTable[[#This Row],[STATUS]]="COMPLETE",1,"")</f>
        <v>1</v>
      </c>
      <c r="S62" s="66">
        <v>1</v>
      </c>
      <c r="T62" s="20">
        <v>9</v>
      </c>
    </row>
    <row r="63" spans="4:35" ht="28.8" x14ac:dyDescent="0.3">
      <c r="D63" s="25">
        <v>9.1</v>
      </c>
      <c r="E63" s="26" t="s">
        <v>115</v>
      </c>
      <c r="F63" s="62" t="str">
        <f ca="1">IF(TaskTable[[#This Row],[WBS Level]]=2,TaskTable[[#This Row],[PHASE]],OFFSET(TaskTable[[#This Row],[MAIN PHASE]],-1,0))</f>
        <v>Infrastructure</v>
      </c>
      <c r="G63" s="26" t="str">
        <f ca="1">IF(TaskTable[[#This Row],[WBS Level]]=3,TaskTable[[#This Row],[PHASE]],IF(TaskTable[[#This Row],[WBS Level]]&lt;3,"NONE",OFFSET(TaskTable[[#This Row],[SP-1]],-1,0)))</f>
        <v>Stable Internet Connection</v>
      </c>
      <c r="H63" s="26" t="str">
        <f ca="1">IF(TaskTable[[#This Row],[WBS Level]]=4,TaskTable[[#This Row],[PHASE]],IF(TaskTable[[#This Row],[WBS Level]]&lt;4,"NONE",OFFSET(TaskTable[[#This Row],[SP-2]],-1,0)))</f>
        <v>NONE</v>
      </c>
      <c r="I63" s="26" t="str">
        <f ca="1">IF(TaskTable[[#This Row],[WBS Level]]=5,TaskTable[[#This Row],[PHASE]],IF(TaskTable[[#This Row],[WBS Level]]&lt;5,"NONE",OFFSET(TaskTable[[#This Row],[SP-3]],-1,0)))</f>
        <v>NONE</v>
      </c>
      <c r="J63" s="26" t="str">
        <f ca="1">IF(TaskTable[[#This Row],[WBS Level]]=6,TaskTable[[#This Row],[PHASE]],IF(TaskTable[[#This Row],[WBS Level]]&lt;6,"NONE",OFFSET(TaskTable[[#This Row],[SP-4]],-1,0)))</f>
        <v>NONE</v>
      </c>
      <c r="M63" s="20">
        <f>LEN(TaskTable[WBS])-LEN(SUBSTITUTE(TaskTable[WBS],".",""))+2</f>
        <v>3</v>
      </c>
      <c r="N63" s="22">
        <v>43951</v>
      </c>
      <c r="O63" s="22">
        <v>43951</v>
      </c>
      <c r="P63" s="20">
        <v>1</v>
      </c>
      <c r="Q63" s="20" t="s">
        <v>12</v>
      </c>
      <c r="R63" s="59">
        <f>IF(TaskTable[[#This Row],[STATUS]]="COMPLETE",1,"")</f>
        <v>1</v>
      </c>
      <c r="S63" s="66">
        <v>1</v>
      </c>
      <c r="T63" s="20">
        <v>1</v>
      </c>
    </row>
    <row r="64" spans="4:35" ht="28.8" x14ac:dyDescent="0.3">
      <c r="D64" s="24" t="s">
        <v>197</v>
      </c>
      <c r="E64" s="26" t="s">
        <v>116</v>
      </c>
      <c r="F64" s="62" t="str">
        <f ca="1">IF(TaskTable[[#This Row],[WBS Level]]=2,TaskTable[[#This Row],[PHASE]],OFFSET(TaskTable[[#This Row],[MAIN PHASE]],-1,0))</f>
        <v>Infrastructure</v>
      </c>
      <c r="G64" s="26" t="str">
        <f ca="1">IF(TaskTable[[#This Row],[WBS Level]]=3,TaskTable[[#This Row],[PHASE]],IF(TaskTable[[#This Row],[WBS Level]]&lt;3,"NONE",OFFSET(TaskTable[[#This Row],[SP-1]],-1,0)))</f>
        <v>Stable Internet Connection</v>
      </c>
      <c r="H64" s="26" t="str">
        <f ca="1">IF(TaskTable[[#This Row],[WBS Level]]=4,TaskTable[[#This Row],[PHASE]],IF(TaskTable[[#This Row],[WBS Level]]&lt;4,"NONE",OFFSET(TaskTable[[#This Row],[SP-2]],-1,0)))</f>
        <v>Wifi acess for entire Store</v>
      </c>
      <c r="I64" s="26" t="str">
        <f ca="1">IF(TaskTable[[#This Row],[WBS Level]]=5,TaskTable[[#This Row],[PHASE]],IF(TaskTable[[#This Row],[WBS Level]]&lt;5,"NONE",OFFSET(TaskTable[[#This Row],[SP-3]],-1,0)))</f>
        <v>NONE</v>
      </c>
      <c r="J64" s="26" t="str">
        <f ca="1">IF(TaskTable[[#This Row],[WBS Level]]=6,TaskTable[[#This Row],[PHASE]],IF(TaskTable[[#This Row],[WBS Level]]&lt;6,"NONE",OFFSET(TaskTable[[#This Row],[SP-4]],-1,0)))</f>
        <v>NONE</v>
      </c>
      <c r="M64" s="20">
        <f>LEN(TaskTable[WBS])-LEN(SUBSTITUTE(TaskTable[WBS],".",""))+2</f>
        <v>4</v>
      </c>
      <c r="N64" s="22">
        <v>43951</v>
      </c>
      <c r="O64" s="22">
        <v>43951</v>
      </c>
      <c r="P64" s="20">
        <v>1</v>
      </c>
      <c r="Q64" s="20" t="s">
        <v>12</v>
      </c>
      <c r="R64" s="59">
        <f>IF(TaskTable[[#This Row],[STATUS]]="COMPLETE",1,"")</f>
        <v>1</v>
      </c>
      <c r="S64" s="66">
        <v>1</v>
      </c>
      <c r="T64" s="20">
        <v>1</v>
      </c>
    </row>
    <row r="65" spans="4:20" ht="28.8" x14ac:dyDescent="0.3">
      <c r="D65" s="24" t="s">
        <v>198</v>
      </c>
      <c r="E65" s="26" t="s">
        <v>117</v>
      </c>
      <c r="F65" s="62" t="str">
        <f ca="1">IF(TaskTable[[#This Row],[WBS Level]]=2,TaskTable[[#This Row],[PHASE]],OFFSET(TaskTable[[#This Row],[MAIN PHASE]],-1,0))</f>
        <v>Infrastructure</v>
      </c>
      <c r="G65" s="26" t="str">
        <f ca="1">IF(TaskTable[[#This Row],[WBS Level]]=3,TaskTable[[#This Row],[PHASE]],IF(TaskTable[[#This Row],[WBS Level]]&lt;3,"NONE",OFFSET(TaskTable[[#This Row],[SP-1]],-1,0)))</f>
        <v>Stable Internet Connection</v>
      </c>
      <c r="H65" s="26" t="str">
        <f ca="1">IF(TaskTable[[#This Row],[WBS Level]]=4,TaskTable[[#This Row],[PHASE]],IF(TaskTable[[#This Row],[WBS Level]]&lt;4,"NONE",OFFSET(TaskTable[[#This Row],[SP-2]],-1,0)))</f>
        <v>Suki Hardware</v>
      </c>
      <c r="I65" s="26" t="str">
        <f ca="1">IF(TaskTable[[#This Row],[WBS Level]]=5,TaskTable[[#This Row],[PHASE]],IF(TaskTable[[#This Row],[WBS Level]]&lt;5,"NONE",OFFSET(TaskTable[[#This Row],[SP-3]],-1,0)))</f>
        <v>NONE</v>
      </c>
      <c r="J65" s="26" t="str">
        <f ca="1">IF(TaskTable[[#This Row],[WBS Level]]=6,TaskTable[[#This Row],[PHASE]],IF(TaskTable[[#This Row],[WBS Level]]&lt;6,"NONE",OFFSET(TaskTable[[#This Row],[SP-4]],-1,0)))</f>
        <v>NONE</v>
      </c>
      <c r="M65" s="20">
        <f>LEN(TaskTable[WBS])-LEN(SUBSTITUTE(TaskTable[WBS],".",""))+2</f>
        <v>4</v>
      </c>
      <c r="N65" s="22">
        <v>43962</v>
      </c>
      <c r="O65" s="22">
        <v>43963</v>
      </c>
      <c r="P65" s="20">
        <v>2</v>
      </c>
      <c r="Q65" s="20" t="s">
        <v>12</v>
      </c>
      <c r="R65" s="59">
        <f>IF(TaskTable[[#This Row],[STATUS]]="COMPLETE",1,"")</f>
        <v>1</v>
      </c>
      <c r="S65" s="66">
        <v>1</v>
      </c>
      <c r="T65" s="20">
        <v>2</v>
      </c>
    </row>
    <row r="66" spans="4:20" ht="28.8" x14ac:dyDescent="0.3">
      <c r="D66" s="24" t="s">
        <v>199</v>
      </c>
      <c r="E66" s="26" t="s">
        <v>118</v>
      </c>
      <c r="F66" s="62" t="str">
        <f ca="1">IF(TaskTable[[#This Row],[WBS Level]]=2,TaskTable[[#This Row],[PHASE]],OFFSET(TaskTable[[#This Row],[MAIN PHASE]],-1,0))</f>
        <v>Infrastructure</v>
      </c>
      <c r="G66" s="26" t="str">
        <f ca="1">IF(TaskTable[[#This Row],[WBS Level]]=3,TaskTable[[#This Row],[PHASE]],IF(TaskTable[[#This Row],[WBS Level]]&lt;3,"NONE",OFFSET(TaskTable[[#This Row],[SP-1]],-1,0)))</f>
        <v>Stable Internet Connection</v>
      </c>
      <c r="H66" s="26" t="str">
        <f ca="1">IF(TaskTable[[#This Row],[WBS Level]]=4,TaskTable[[#This Row],[PHASE]],IF(TaskTable[[#This Row],[WBS Level]]&lt;4,"NONE",OFFSET(TaskTable[[#This Row],[SP-2]],-1,0)))</f>
        <v>PDTs</v>
      </c>
      <c r="I66" s="26" t="str">
        <f ca="1">IF(TaskTable[[#This Row],[WBS Level]]=5,TaskTable[[#This Row],[PHASE]],IF(TaskTable[[#This Row],[WBS Level]]&lt;5,"NONE",OFFSET(TaskTable[[#This Row],[SP-3]],-1,0)))</f>
        <v>NONE</v>
      </c>
      <c r="J66" s="26" t="str">
        <f ca="1">IF(TaskTable[[#This Row],[WBS Level]]=6,TaskTable[[#This Row],[PHASE]],IF(TaskTable[[#This Row],[WBS Level]]&lt;6,"NONE",OFFSET(TaskTable[[#This Row],[SP-4]],-1,0)))</f>
        <v>NONE</v>
      </c>
      <c r="M66" s="20">
        <f>LEN(TaskTable[WBS])-LEN(SUBSTITUTE(TaskTable[WBS],".",""))+2</f>
        <v>4</v>
      </c>
      <c r="N66" s="22">
        <v>43963</v>
      </c>
      <c r="O66" s="22">
        <v>43963</v>
      </c>
      <c r="P66" s="20">
        <v>1</v>
      </c>
      <c r="Q66" s="20" t="s">
        <v>12</v>
      </c>
      <c r="R66" s="59">
        <f>IF(TaskTable[[#This Row],[STATUS]]="COMPLETE",1,"")</f>
        <v>1</v>
      </c>
      <c r="S66" s="66">
        <v>1</v>
      </c>
      <c r="T66" s="20">
        <v>1</v>
      </c>
    </row>
    <row r="67" spans="4:20" ht="28.8" x14ac:dyDescent="0.3">
      <c r="D67" s="24" t="s">
        <v>200</v>
      </c>
      <c r="E67" s="26" t="s">
        <v>119</v>
      </c>
      <c r="F67" s="62" t="str">
        <f ca="1">IF(TaskTable[[#This Row],[WBS Level]]=2,TaskTable[[#This Row],[PHASE]],OFFSET(TaskTable[[#This Row],[MAIN PHASE]],-1,0))</f>
        <v>Infrastructure</v>
      </c>
      <c r="G67" s="26" t="str">
        <f ca="1">IF(TaskTable[[#This Row],[WBS Level]]=3,TaskTable[[#This Row],[PHASE]],IF(TaskTable[[#This Row],[WBS Level]]&lt;3,"NONE",OFFSET(TaskTable[[#This Row],[SP-1]],-1,0)))</f>
        <v>Stable Internet Connection</v>
      </c>
      <c r="H67" s="26" t="str">
        <f ca="1">IF(TaskTable[[#This Row],[WBS Level]]=4,TaskTable[[#This Row],[PHASE]],IF(TaskTable[[#This Row],[WBS Level]]&lt;4,"NONE",OFFSET(TaskTable[[#This Row],[SP-2]],-1,0)))</f>
        <v>LAN Receipt Printer for Picker</v>
      </c>
      <c r="I67" s="26" t="str">
        <f ca="1">IF(TaskTable[[#This Row],[WBS Level]]=5,TaskTable[[#This Row],[PHASE]],IF(TaskTable[[#This Row],[WBS Level]]&lt;5,"NONE",OFFSET(TaskTable[[#This Row],[SP-3]],-1,0)))</f>
        <v>NONE</v>
      </c>
      <c r="J67" s="26" t="str">
        <f ca="1">IF(TaskTable[[#This Row],[WBS Level]]=6,TaskTable[[#This Row],[PHASE]],IF(TaskTable[[#This Row],[WBS Level]]&lt;6,"NONE",OFFSET(TaskTable[[#This Row],[SP-4]],-1,0)))</f>
        <v>NONE</v>
      </c>
      <c r="M67" s="20">
        <f>LEN(TaskTable[WBS])-LEN(SUBSTITUTE(TaskTable[WBS],".",""))+2</f>
        <v>4</v>
      </c>
      <c r="N67" s="22">
        <v>43962</v>
      </c>
      <c r="O67" s="22">
        <v>43963</v>
      </c>
      <c r="P67" s="20">
        <v>2</v>
      </c>
      <c r="Q67" s="20" t="s">
        <v>12</v>
      </c>
      <c r="R67" s="59">
        <f>IF(TaskTable[[#This Row],[STATUS]]="COMPLETE",1,"")</f>
        <v>1</v>
      </c>
      <c r="S67" s="66">
        <v>1</v>
      </c>
      <c r="T67" s="20">
        <v>2</v>
      </c>
    </row>
    <row r="68" spans="4:20" ht="28.8" x14ac:dyDescent="0.3">
      <c r="D68" s="24" t="s">
        <v>201</v>
      </c>
      <c r="E68" s="26" t="s">
        <v>120</v>
      </c>
      <c r="F68" s="62" t="str">
        <f ca="1">IF(TaskTable[[#This Row],[WBS Level]]=2,TaskTable[[#This Row],[PHASE]],OFFSET(TaskTable[[#This Row],[MAIN PHASE]],-1,0))</f>
        <v>Infrastructure</v>
      </c>
      <c r="G68" s="26" t="str">
        <f ca="1">IF(TaskTable[[#This Row],[WBS Level]]=3,TaskTable[[#This Row],[PHASE]],IF(TaskTable[[#This Row],[WBS Level]]&lt;3,"NONE",OFFSET(TaskTable[[#This Row],[SP-1]],-1,0)))</f>
        <v>Stable Internet Connection</v>
      </c>
      <c r="H68" s="26" t="str">
        <f ca="1">IF(TaskTable[[#This Row],[WBS Level]]=4,TaskTable[[#This Row],[PHASE]],IF(TaskTable[[#This Row],[WBS Level]]&lt;4,"NONE",OFFSET(TaskTable[[#This Row],[SP-2]],-1,0)))</f>
        <v>Dedicated Barter POS</v>
      </c>
      <c r="I68" s="26" t="str">
        <f ca="1">IF(TaskTable[[#This Row],[WBS Level]]=5,TaskTable[[#This Row],[PHASE]],IF(TaskTable[[#This Row],[WBS Level]]&lt;5,"NONE",OFFSET(TaskTable[[#This Row],[SP-3]],-1,0)))</f>
        <v>NONE</v>
      </c>
      <c r="J68" s="26" t="str">
        <f ca="1">IF(TaskTable[[#This Row],[WBS Level]]=6,TaskTable[[#This Row],[PHASE]],IF(TaskTable[[#This Row],[WBS Level]]&lt;6,"NONE",OFFSET(TaskTable[[#This Row],[SP-4]],-1,0)))</f>
        <v>NONE</v>
      </c>
      <c r="M68" s="20">
        <f>LEN(TaskTable[WBS])-LEN(SUBSTITUTE(TaskTable[WBS],".",""))+2</f>
        <v>4</v>
      </c>
      <c r="N68" s="22">
        <v>43962</v>
      </c>
      <c r="O68" s="22">
        <v>43963</v>
      </c>
      <c r="P68" s="20">
        <v>2</v>
      </c>
      <c r="Q68" s="20" t="s">
        <v>12</v>
      </c>
      <c r="R68" s="59">
        <f>IF(TaskTable[[#This Row],[STATUS]]="COMPLETE",1,"")</f>
        <v>1</v>
      </c>
      <c r="S68" s="66">
        <v>1</v>
      </c>
      <c r="T68" s="20">
        <v>2</v>
      </c>
    </row>
    <row r="69" spans="4:20" ht="28.8" x14ac:dyDescent="0.3">
      <c r="D69" s="24" t="s">
        <v>202</v>
      </c>
      <c r="E69" s="26" t="s">
        <v>121</v>
      </c>
      <c r="F69" s="62" t="str">
        <f ca="1">IF(TaskTable[[#This Row],[WBS Level]]=2,TaskTable[[#This Row],[PHASE]],OFFSET(TaskTable[[#This Row],[MAIN PHASE]],-1,0))</f>
        <v>Infrastructure</v>
      </c>
      <c r="G69" s="26" t="str">
        <f ca="1">IF(TaskTable[[#This Row],[WBS Level]]=3,TaskTable[[#This Row],[PHASE]],IF(TaskTable[[#This Row],[WBS Level]]&lt;3,"NONE",OFFSET(TaskTable[[#This Row],[SP-1]],-1,0)))</f>
        <v>Stable Internet Connection</v>
      </c>
      <c r="H69" s="26" t="str">
        <f ca="1">IF(TaskTable[[#This Row],[WBS Level]]=4,TaskTable[[#This Row],[PHASE]],IF(TaskTable[[#This Row],[WBS Level]]&lt;4,"NONE",OFFSET(TaskTable[[#This Row],[SP-2]],-1,0)))</f>
        <v>Barter POS Hardware</v>
      </c>
      <c r="I69" s="26" t="str">
        <f ca="1">IF(TaskTable[[#This Row],[WBS Level]]=5,TaskTable[[#This Row],[PHASE]],IF(TaskTable[[#This Row],[WBS Level]]&lt;5,"NONE",OFFSET(TaskTable[[#This Row],[SP-3]],-1,0)))</f>
        <v>NONE</v>
      </c>
      <c r="J69" s="26" t="str">
        <f ca="1">IF(TaskTable[[#This Row],[WBS Level]]=6,TaskTable[[#This Row],[PHASE]],IF(TaskTable[[#This Row],[WBS Level]]&lt;6,"NONE",OFFSET(TaskTable[[#This Row],[SP-4]],-1,0)))</f>
        <v>NONE</v>
      </c>
      <c r="M69" s="20">
        <f>LEN(TaskTable[WBS])-LEN(SUBSTITUTE(TaskTable[WBS],".",""))+2</f>
        <v>4</v>
      </c>
      <c r="N69" s="22">
        <v>43962</v>
      </c>
      <c r="O69" s="22">
        <v>43963</v>
      </c>
      <c r="P69" s="20">
        <v>2</v>
      </c>
      <c r="Q69" s="20" t="s">
        <v>12</v>
      </c>
      <c r="R69" s="59">
        <f>IF(TaskTable[[#This Row],[STATUS]]="COMPLETE",1,"")</f>
        <v>1</v>
      </c>
      <c r="S69" s="66">
        <v>1</v>
      </c>
      <c r="T69" s="20">
        <v>2</v>
      </c>
    </row>
    <row r="70" spans="4:20" ht="28.8" x14ac:dyDescent="0.3">
      <c r="D70" s="24">
        <v>10</v>
      </c>
      <c r="E70" s="26" t="s">
        <v>122</v>
      </c>
      <c r="F70" s="62" t="str">
        <f ca="1">IF(TaskTable[[#This Row],[WBS Level]]=2,TaskTable[[#This Row],[PHASE]],OFFSET(TaskTable[[#This Row],[MAIN PHASE]],-1,0))</f>
        <v>Pre Live Checklist/Preparation</v>
      </c>
      <c r="G70" s="26" t="str">
        <f ca="1">IF(TaskTable[[#This Row],[WBS Level]]=3,TaskTable[[#This Row],[PHASE]],IF(TaskTable[[#This Row],[WBS Level]]&lt;3,"NONE",OFFSET(TaskTable[[#This Row],[SP-1]],-1,0)))</f>
        <v>NONE</v>
      </c>
      <c r="H70" s="26" t="str">
        <f ca="1">IF(TaskTable[[#This Row],[WBS Level]]=4,TaskTable[[#This Row],[PHASE]],IF(TaskTable[[#This Row],[WBS Level]]&lt;4,"NONE",OFFSET(TaskTable[[#This Row],[SP-2]],-1,0)))</f>
        <v>NONE</v>
      </c>
      <c r="I70" s="26" t="str">
        <f ca="1">IF(TaskTable[[#This Row],[WBS Level]]=5,TaskTable[[#This Row],[PHASE]],IF(TaskTable[[#This Row],[WBS Level]]&lt;5,"NONE",OFFSET(TaskTable[[#This Row],[SP-3]],-1,0)))</f>
        <v>NONE</v>
      </c>
      <c r="J70" s="26" t="str">
        <f ca="1">IF(TaskTable[[#This Row],[WBS Level]]=6,TaskTable[[#This Row],[PHASE]],IF(TaskTable[[#This Row],[WBS Level]]&lt;6,"NONE",OFFSET(TaskTable[[#This Row],[SP-4]],-1,0)))</f>
        <v>NONE</v>
      </c>
      <c r="K70" s="20" t="s">
        <v>53</v>
      </c>
      <c r="M70" s="20">
        <f>LEN(TaskTable[WBS])-LEN(SUBSTITUTE(TaskTable[WBS],".",""))+2</f>
        <v>2</v>
      </c>
      <c r="N70" s="22">
        <v>43962</v>
      </c>
      <c r="O70" s="22">
        <v>43966</v>
      </c>
      <c r="P70" s="20">
        <v>5</v>
      </c>
      <c r="Q70" s="20" t="s">
        <v>12</v>
      </c>
      <c r="R70" s="59">
        <f>IF(TaskTable[[#This Row],[STATUS]]="COMPLETE",1,"")</f>
        <v>1</v>
      </c>
      <c r="S70" s="66">
        <v>1</v>
      </c>
      <c r="T70" s="20">
        <v>5</v>
      </c>
    </row>
    <row r="71" spans="4:20" ht="28.8" x14ac:dyDescent="0.3">
      <c r="D71" s="25">
        <v>10.1</v>
      </c>
      <c r="E71" s="26" t="s">
        <v>123</v>
      </c>
      <c r="F71" s="62" t="str">
        <f ca="1">IF(TaskTable[[#This Row],[WBS Level]]=2,TaskTable[[#This Row],[PHASE]],OFFSET(TaskTable[[#This Row],[MAIN PHASE]],-1,0))</f>
        <v>Pre Live Checklist/Preparation</v>
      </c>
      <c r="G71" s="26" t="str">
        <f ca="1">IF(TaskTable[[#This Row],[WBS Level]]=3,TaskTable[[#This Row],[PHASE]],IF(TaskTable[[#This Row],[WBS Level]]&lt;3,"NONE",OFFSET(TaskTable[[#This Row],[SP-1]],-1,0)))</f>
        <v>Install and configure all Hardwares</v>
      </c>
      <c r="H71" s="26" t="str">
        <f ca="1">IF(TaskTable[[#This Row],[WBS Level]]=4,TaskTable[[#This Row],[PHASE]],IF(TaskTable[[#This Row],[WBS Level]]&lt;4,"NONE",OFFSET(TaskTable[[#This Row],[SP-2]],-1,0)))</f>
        <v>NONE</v>
      </c>
      <c r="I71" s="26" t="str">
        <f ca="1">IF(TaskTable[[#This Row],[WBS Level]]=5,TaskTable[[#This Row],[PHASE]],IF(TaskTable[[#This Row],[WBS Level]]&lt;5,"NONE",OFFSET(TaskTable[[#This Row],[SP-3]],-1,0)))</f>
        <v>NONE</v>
      </c>
      <c r="J71" s="26" t="str">
        <f ca="1">IF(TaskTable[[#This Row],[WBS Level]]=6,TaskTable[[#This Row],[PHASE]],IF(TaskTable[[#This Row],[WBS Level]]&lt;6,"NONE",OFFSET(TaskTable[[#This Row],[SP-4]],-1,0)))</f>
        <v>NONE</v>
      </c>
      <c r="M71" s="20">
        <f>LEN(TaskTable[WBS])-LEN(SUBSTITUTE(TaskTable[WBS],".",""))+2</f>
        <v>3</v>
      </c>
      <c r="N71" s="22">
        <v>43962</v>
      </c>
      <c r="O71" s="22">
        <v>43966</v>
      </c>
      <c r="P71" s="20">
        <v>5</v>
      </c>
      <c r="Q71" s="20" t="s">
        <v>12</v>
      </c>
      <c r="R71" s="59">
        <f>IF(TaskTable[[#This Row],[STATUS]]="COMPLETE",1,"")</f>
        <v>1</v>
      </c>
      <c r="S71" s="66">
        <v>1</v>
      </c>
      <c r="T71" s="20">
        <v>5</v>
      </c>
    </row>
    <row r="72" spans="4:20" ht="28.8" x14ac:dyDescent="0.3">
      <c r="D72" s="24" t="s">
        <v>203</v>
      </c>
      <c r="E72" s="26" t="s">
        <v>118</v>
      </c>
      <c r="F72" s="62" t="str">
        <f ca="1">IF(TaskTable[[#This Row],[WBS Level]]=2,TaskTable[[#This Row],[PHASE]],OFFSET(TaskTable[[#This Row],[MAIN PHASE]],-1,0))</f>
        <v>Pre Live Checklist/Preparation</v>
      </c>
      <c r="G72" s="26" t="str">
        <f ca="1">IF(TaskTable[[#This Row],[WBS Level]]=3,TaskTable[[#This Row],[PHASE]],IF(TaskTable[[#This Row],[WBS Level]]&lt;3,"NONE",OFFSET(TaskTable[[#This Row],[SP-1]],-1,0)))</f>
        <v>Install and configure all Hardwares</v>
      </c>
      <c r="H72" s="26" t="str">
        <f ca="1">IF(TaskTable[[#This Row],[WBS Level]]=4,TaskTable[[#This Row],[PHASE]],IF(TaskTable[[#This Row],[WBS Level]]&lt;4,"NONE",OFFSET(TaskTable[[#This Row],[SP-2]],-1,0)))</f>
        <v>PDTs</v>
      </c>
      <c r="I72" s="26" t="str">
        <f ca="1">IF(TaskTable[[#This Row],[WBS Level]]=5,TaskTable[[#This Row],[PHASE]],IF(TaskTable[[#This Row],[WBS Level]]&lt;5,"NONE",OFFSET(TaskTable[[#This Row],[SP-3]],-1,0)))</f>
        <v>NONE</v>
      </c>
      <c r="J72" s="26" t="str">
        <f ca="1">IF(TaskTable[[#This Row],[WBS Level]]=6,TaskTable[[#This Row],[PHASE]],IF(TaskTable[[#This Row],[WBS Level]]&lt;6,"NONE",OFFSET(TaskTable[[#This Row],[SP-4]],-1,0)))</f>
        <v>NONE</v>
      </c>
      <c r="M72" s="20">
        <f>LEN(TaskTable[WBS])-LEN(SUBSTITUTE(TaskTable[WBS],".",""))+2</f>
        <v>4</v>
      </c>
      <c r="N72" s="22">
        <v>43962</v>
      </c>
      <c r="O72" s="22">
        <v>43966</v>
      </c>
      <c r="P72" s="20">
        <v>5</v>
      </c>
      <c r="Q72" s="20" t="s">
        <v>12</v>
      </c>
      <c r="R72" s="59">
        <f>IF(TaskTable[[#This Row],[STATUS]]="COMPLETE",1,"")</f>
        <v>1</v>
      </c>
      <c r="S72" s="66">
        <v>1</v>
      </c>
      <c r="T72" s="20">
        <v>5</v>
      </c>
    </row>
    <row r="73" spans="4:20" ht="28.8" x14ac:dyDescent="0.3">
      <c r="D73" s="24" t="s">
        <v>204</v>
      </c>
      <c r="E73" s="26" t="s">
        <v>119</v>
      </c>
      <c r="F73" s="62" t="str">
        <f ca="1">IF(TaskTable[[#This Row],[WBS Level]]=2,TaskTable[[#This Row],[PHASE]],OFFSET(TaskTable[[#This Row],[MAIN PHASE]],-1,0))</f>
        <v>Pre Live Checklist/Preparation</v>
      </c>
      <c r="G73" s="26" t="str">
        <f ca="1">IF(TaskTable[[#This Row],[WBS Level]]=3,TaskTable[[#This Row],[PHASE]],IF(TaskTable[[#This Row],[WBS Level]]&lt;3,"NONE",OFFSET(TaskTable[[#This Row],[SP-1]],-1,0)))</f>
        <v>Install and configure all Hardwares</v>
      </c>
      <c r="H73" s="26" t="str">
        <f ca="1">IF(TaskTable[[#This Row],[WBS Level]]=4,TaskTable[[#This Row],[PHASE]],IF(TaskTable[[#This Row],[WBS Level]]&lt;4,"NONE",OFFSET(TaskTable[[#This Row],[SP-2]],-1,0)))</f>
        <v>LAN Receipt Printer for Picker</v>
      </c>
      <c r="I73" s="26" t="str">
        <f ca="1">IF(TaskTable[[#This Row],[WBS Level]]=5,TaskTable[[#This Row],[PHASE]],IF(TaskTable[[#This Row],[WBS Level]]&lt;5,"NONE",OFFSET(TaskTable[[#This Row],[SP-3]],-1,0)))</f>
        <v>NONE</v>
      </c>
      <c r="J73" s="26" t="str">
        <f ca="1">IF(TaskTable[[#This Row],[WBS Level]]=6,TaskTable[[#This Row],[PHASE]],IF(TaskTable[[#This Row],[WBS Level]]&lt;6,"NONE",OFFSET(TaskTable[[#This Row],[SP-4]],-1,0)))</f>
        <v>NONE</v>
      </c>
      <c r="M73" s="20">
        <f>LEN(TaskTable[WBS])-LEN(SUBSTITUTE(TaskTable[WBS],".",""))+2</f>
        <v>4</v>
      </c>
      <c r="N73" s="22">
        <v>43962</v>
      </c>
      <c r="O73" s="22">
        <v>43966</v>
      </c>
      <c r="P73" s="20">
        <v>5</v>
      </c>
      <c r="Q73" s="20"/>
      <c r="R73" s="59" t="str">
        <f>IF(TaskTable[[#This Row],[STATUS]]="COMPLETE",1,"")</f>
        <v/>
      </c>
      <c r="S73" s="66">
        <v>1</v>
      </c>
      <c r="T73" s="20">
        <v>5</v>
      </c>
    </row>
    <row r="74" spans="4:20" ht="28.8" x14ac:dyDescent="0.3">
      <c r="D74" s="24" t="s">
        <v>205</v>
      </c>
      <c r="E74" s="26" t="s">
        <v>120</v>
      </c>
      <c r="F74" s="62" t="str">
        <f ca="1">IF(TaskTable[[#This Row],[WBS Level]]=2,TaskTable[[#This Row],[PHASE]],OFFSET(TaskTable[[#This Row],[MAIN PHASE]],-1,0))</f>
        <v>Pre Live Checklist/Preparation</v>
      </c>
      <c r="G74" s="26" t="str">
        <f ca="1">IF(TaskTable[[#This Row],[WBS Level]]=3,TaskTable[[#This Row],[PHASE]],IF(TaskTable[[#This Row],[WBS Level]]&lt;3,"NONE",OFFSET(TaskTable[[#This Row],[SP-1]],-1,0)))</f>
        <v>Install and configure all Hardwares</v>
      </c>
      <c r="H74" s="26" t="str">
        <f ca="1">IF(TaskTable[[#This Row],[WBS Level]]=4,TaskTable[[#This Row],[PHASE]],IF(TaskTable[[#This Row],[WBS Level]]&lt;4,"NONE",OFFSET(TaskTable[[#This Row],[SP-2]],-1,0)))</f>
        <v>Dedicated Barter POS</v>
      </c>
      <c r="I74" s="26" t="str">
        <f ca="1">IF(TaskTable[[#This Row],[WBS Level]]=5,TaskTable[[#This Row],[PHASE]],IF(TaskTable[[#This Row],[WBS Level]]&lt;5,"NONE",OFFSET(TaskTable[[#This Row],[SP-3]],-1,0)))</f>
        <v>NONE</v>
      </c>
      <c r="J74" s="26" t="str">
        <f ca="1">IF(TaskTable[[#This Row],[WBS Level]]=6,TaskTable[[#This Row],[PHASE]],IF(TaskTable[[#This Row],[WBS Level]]&lt;6,"NONE",OFFSET(TaskTable[[#This Row],[SP-4]],-1,0)))</f>
        <v>NONE</v>
      </c>
      <c r="M74" s="20">
        <f>LEN(TaskTable[WBS])-LEN(SUBSTITUTE(TaskTable[WBS],".",""))+2</f>
        <v>4</v>
      </c>
      <c r="N74" s="22">
        <v>43962</v>
      </c>
      <c r="O74" s="22">
        <v>43966</v>
      </c>
      <c r="P74" s="20">
        <v>5</v>
      </c>
      <c r="Q74" s="20" t="s">
        <v>12</v>
      </c>
      <c r="R74" s="59">
        <f>IF(TaskTable[[#This Row],[STATUS]]="COMPLETE",1,"")</f>
        <v>1</v>
      </c>
      <c r="S74" s="66">
        <v>1</v>
      </c>
      <c r="T74" s="20">
        <v>5</v>
      </c>
    </row>
    <row r="75" spans="4:20" ht="43.2" x14ac:dyDescent="0.3">
      <c r="D75" s="24" t="s">
        <v>206</v>
      </c>
      <c r="E75" s="26" t="s">
        <v>124</v>
      </c>
      <c r="F75" s="62" t="str">
        <f ca="1">IF(TaskTable[[#This Row],[WBS Level]]=2,TaskTable[[#This Row],[PHASE]],OFFSET(TaskTable[[#This Row],[MAIN PHASE]],-1,0))</f>
        <v>Pre Live Checklist/Preparation</v>
      </c>
      <c r="G75" s="26" t="str">
        <f ca="1">IF(TaskTable[[#This Row],[WBS Level]]=3,TaskTable[[#This Row],[PHASE]],IF(TaskTable[[#This Row],[WBS Level]]&lt;3,"NONE",OFFSET(TaskTable[[#This Row],[SP-1]],-1,0)))</f>
        <v>Install and configure all Hardwares</v>
      </c>
      <c r="H75" s="26" t="str">
        <f ca="1">IF(TaskTable[[#This Row],[WBS Level]]=4,TaskTable[[#This Row],[PHASE]],IF(TaskTable[[#This Row],[WBS Level]]&lt;4,"NONE",OFFSET(TaskTable[[#This Row],[SP-2]],-1,0)))</f>
        <v>Double check all Hardwares if working</v>
      </c>
      <c r="I75" s="26" t="str">
        <f ca="1">IF(TaskTable[[#This Row],[WBS Level]]=5,TaskTable[[#This Row],[PHASE]],IF(TaskTable[[#This Row],[WBS Level]]&lt;5,"NONE",OFFSET(TaskTable[[#This Row],[SP-3]],-1,0)))</f>
        <v>NONE</v>
      </c>
      <c r="J75" s="26" t="str">
        <f ca="1">IF(TaskTable[[#This Row],[WBS Level]]=6,TaskTable[[#This Row],[PHASE]],IF(TaskTable[[#This Row],[WBS Level]]&lt;6,"NONE",OFFSET(TaskTable[[#This Row],[SP-4]],-1,0)))</f>
        <v>NONE</v>
      </c>
      <c r="M75" s="20">
        <f>LEN(TaskTable[WBS])-LEN(SUBSTITUTE(TaskTable[WBS],".",""))+2</f>
        <v>4</v>
      </c>
      <c r="N75" s="22">
        <v>43962</v>
      </c>
      <c r="O75" s="22">
        <v>43966</v>
      </c>
      <c r="P75" s="20">
        <v>5</v>
      </c>
      <c r="Q75" s="20" t="s">
        <v>12</v>
      </c>
      <c r="R75" s="59">
        <f>IF(TaskTable[[#This Row],[STATUS]]="COMPLETE",1,"")</f>
        <v>1</v>
      </c>
      <c r="S75" s="66">
        <v>1</v>
      </c>
      <c r="T75" s="20">
        <v>5</v>
      </c>
    </row>
    <row r="76" spans="4:20" ht="43.2" x14ac:dyDescent="0.3">
      <c r="D76" s="24" t="s">
        <v>207</v>
      </c>
      <c r="E76" s="26" t="s">
        <v>125</v>
      </c>
      <c r="F76" s="62" t="str">
        <f ca="1">IF(TaskTable[[#This Row],[WBS Level]]=2,TaskTable[[#This Row],[PHASE]],OFFSET(TaskTable[[#This Row],[MAIN PHASE]],-1,0))</f>
        <v>Pre Live Checklist/Preparation</v>
      </c>
      <c r="G76" s="26" t="str">
        <f ca="1">IF(TaskTable[[#This Row],[WBS Level]]=3,TaskTable[[#This Row],[PHASE]],IF(TaskTable[[#This Row],[WBS Level]]&lt;3,"NONE",OFFSET(TaskTable[[#This Row],[SP-1]],-1,0)))</f>
        <v>Install and configure all Hardwares</v>
      </c>
      <c r="H76" s="26" t="str">
        <f ca="1">IF(TaskTable[[#This Row],[WBS Level]]=4,TaskTable[[#This Row],[PHASE]],IF(TaskTable[[#This Row],[WBS Level]]&lt;4,"NONE",OFFSET(TaskTable[[#This Row],[SP-2]],-1,0)))</f>
        <v>Check if all Hardwares if working</v>
      </c>
      <c r="I76" s="26" t="str">
        <f ca="1">IF(TaskTable[[#This Row],[WBS Level]]=5,TaskTable[[#This Row],[PHASE]],IF(TaskTable[[#This Row],[WBS Level]]&lt;5,"NONE",OFFSET(TaskTable[[#This Row],[SP-3]],-1,0)))</f>
        <v>NONE</v>
      </c>
      <c r="J76" s="26" t="str">
        <f ca="1">IF(TaskTable[[#This Row],[WBS Level]]=6,TaskTable[[#This Row],[PHASE]],IF(TaskTable[[#This Row],[WBS Level]]&lt;6,"NONE",OFFSET(TaskTable[[#This Row],[SP-4]],-1,0)))</f>
        <v>NONE</v>
      </c>
      <c r="M76" s="20">
        <f>LEN(TaskTable[WBS])-LEN(SUBSTITUTE(TaskTable[WBS],".",""))+2</f>
        <v>4</v>
      </c>
      <c r="N76" s="22">
        <v>43962</v>
      </c>
      <c r="O76" s="22">
        <v>43966</v>
      </c>
      <c r="P76" s="20">
        <v>5</v>
      </c>
      <c r="Q76" s="20" t="s">
        <v>12</v>
      </c>
      <c r="R76" s="59">
        <f>IF(TaskTable[[#This Row],[STATUS]]="COMPLETE",1,"")</f>
        <v>1</v>
      </c>
      <c r="S76" s="66">
        <v>1</v>
      </c>
      <c r="T76" s="20">
        <v>5</v>
      </c>
    </row>
    <row r="77" spans="4:20" ht="28.8" x14ac:dyDescent="0.3">
      <c r="D77" s="24" t="s">
        <v>208</v>
      </c>
      <c r="E77" s="26" t="s">
        <v>126</v>
      </c>
      <c r="F77" s="62" t="str">
        <f ca="1">IF(TaskTable[[#This Row],[WBS Level]]=2,TaskTable[[#This Row],[PHASE]],OFFSET(TaskTable[[#This Row],[MAIN PHASE]],-1,0))</f>
        <v>Pre Live Checklist/Preparation</v>
      </c>
      <c r="G77" s="26" t="str">
        <f ca="1">IF(TaskTable[[#This Row],[WBS Level]]=3,TaskTable[[#This Row],[PHASE]],IF(TaskTable[[#This Row],[WBS Level]]&lt;3,"NONE",OFFSET(TaskTable[[#This Row],[SP-1]],-1,0)))</f>
        <v>Install and configure all Hardwares</v>
      </c>
      <c r="H77" s="26" t="str">
        <f ca="1">IF(TaskTable[[#This Row],[WBS Level]]=4,TaskTable[[#This Row],[PHASE]],IF(TaskTable[[#This Row],[WBS Level]]&lt;4,"NONE",OFFSET(TaskTable[[#This Row],[SP-2]],-1,0)))</f>
        <v>PDTs and Printer</v>
      </c>
      <c r="I77" s="26" t="str">
        <f ca="1">IF(TaskTable[[#This Row],[WBS Level]]=5,TaskTable[[#This Row],[PHASE]],IF(TaskTable[[#This Row],[WBS Level]]&lt;5,"NONE",OFFSET(TaskTable[[#This Row],[SP-3]],-1,0)))</f>
        <v>NONE</v>
      </c>
      <c r="J77" s="26" t="str">
        <f ca="1">IF(TaskTable[[#This Row],[WBS Level]]=6,TaskTable[[#This Row],[PHASE]],IF(TaskTable[[#This Row],[WBS Level]]&lt;6,"NONE",OFFSET(TaskTable[[#This Row],[SP-4]],-1,0)))</f>
        <v>NONE</v>
      </c>
      <c r="M77" s="20">
        <f>LEN(TaskTable[WBS])-LEN(SUBSTITUTE(TaskTable[WBS],".",""))+2</f>
        <v>4</v>
      </c>
      <c r="N77" s="22">
        <v>43962</v>
      </c>
      <c r="O77" s="22">
        <v>43966</v>
      </c>
      <c r="P77" s="20">
        <v>5</v>
      </c>
      <c r="Q77" s="20" t="s">
        <v>12</v>
      </c>
      <c r="R77" s="59">
        <f>IF(TaskTable[[#This Row],[STATUS]]="COMPLETE",1,"")</f>
        <v>1</v>
      </c>
      <c r="S77" s="66">
        <v>1</v>
      </c>
      <c r="T77" s="20">
        <v>5</v>
      </c>
    </row>
    <row r="78" spans="4:20" ht="28.8" x14ac:dyDescent="0.3">
      <c r="D78" s="24" t="s">
        <v>209</v>
      </c>
      <c r="E78" s="26" t="s">
        <v>127</v>
      </c>
      <c r="F78" s="62" t="str">
        <f ca="1">IF(TaskTable[[#This Row],[WBS Level]]=2,TaskTable[[#This Row],[PHASE]],OFFSET(TaskTable[[#This Row],[MAIN PHASE]],-1,0))</f>
        <v>Pre Live Checklist/Preparation</v>
      </c>
      <c r="G78" s="26" t="str">
        <f ca="1">IF(TaskTable[[#This Row],[WBS Level]]=3,TaskTable[[#This Row],[PHASE]],IF(TaskTable[[#This Row],[WBS Level]]&lt;3,"NONE",OFFSET(TaskTable[[#This Row],[SP-1]],-1,0)))</f>
        <v>Install and configure all Hardwares</v>
      </c>
      <c r="H78" s="26" t="str">
        <f ca="1">IF(TaskTable[[#This Row],[WBS Level]]=4,TaskTable[[#This Row],[PHASE]],IF(TaskTable[[#This Row],[WBS Level]]&lt;4,"NONE",OFFSET(TaskTable[[#This Row],[SP-2]],-1,0)))</f>
        <v>POS</v>
      </c>
      <c r="I78" s="26" t="str">
        <f ca="1">IF(TaskTable[[#This Row],[WBS Level]]=5,TaskTable[[#This Row],[PHASE]],IF(TaskTable[[#This Row],[WBS Level]]&lt;5,"NONE",OFFSET(TaskTable[[#This Row],[SP-3]],-1,0)))</f>
        <v>NONE</v>
      </c>
      <c r="J78" s="26" t="str">
        <f ca="1">IF(TaskTable[[#This Row],[WBS Level]]=6,TaskTable[[#This Row],[PHASE]],IF(TaskTable[[#This Row],[WBS Level]]&lt;6,"NONE",OFFSET(TaskTable[[#This Row],[SP-4]],-1,0)))</f>
        <v>NONE</v>
      </c>
      <c r="M78" s="20">
        <f>LEN(TaskTable[WBS])-LEN(SUBSTITUTE(TaskTable[WBS],".",""))+2</f>
        <v>4</v>
      </c>
      <c r="N78" s="22">
        <v>43962</v>
      </c>
      <c r="O78" s="22">
        <v>43966</v>
      </c>
      <c r="P78" s="20">
        <v>5</v>
      </c>
      <c r="Q78" s="20" t="s">
        <v>12</v>
      </c>
      <c r="R78" s="59">
        <f>IF(TaskTable[[#This Row],[STATUS]]="COMPLETE",1,"")</f>
        <v>1</v>
      </c>
      <c r="S78" s="66">
        <v>1</v>
      </c>
      <c r="T78" s="20">
        <v>5</v>
      </c>
    </row>
    <row r="79" spans="4:20" ht="43.2" x14ac:dyDescent="0.3">
      <c r="D79" s="24" t="s">
        <v>210</v>
      </c>
      <c r="E79" s="26" t="s">
        <v>128</v>
      </c>
      <c r="F79" s="62" t="str">
        <f ca="1">IF(TaskTable[[#This Row],[WBS Level]]=2,TaskTable[[#This Row],[PHASE]],OFFSET(TaskTable[[#This Row],[MAIN PHASE]],-1,0))</f>
        <v>Pre Live Checklist/Preparation</v>
      </c>
      <c r="G79" s="26" t="str">
        <f ca="1">IF(TaskTable[[#This Row],[WBS Level]]=3,TaskTable[[#This Row],[PHASE]],IF(TaskTable[[#This Row],[WBS Level]]&lt;3,"NONE",OFFSET(TaskTable[[#This Row],[SP-1]],-1,0)))</f>
        <v>Install and configure all Hardwares</v>
      </c>
      <c r="H79" s="26" t="str">
        <f ca="1">IF(TaskTable[[#This Row],[WBS Level]]=4,TaskTable[[#This Row],[PHASE]],IF(TaskTable[[#This Row],[WBS Level]]&lt;4,"NONE",OFFSET(TaskTable[[#This Row],[SP-2]],-1,0)))</f>
        <v>Wifi speed and availability in entire Stores</v>
      </c>
      <c r="I79" s="26" t="str">
        <f ca="1">IF(TaskTable[[#This Row],[WBS Level]]=5,TaskTable[[#This Row],[PHASE]],IF(TaskTable[[#This Row],[WBS Level]]&lt;5,"NONE",OFFSET(TaskTable[[#This Row],[SP-3]],-1,0)))</f>
        <v>NONE</v>
      </c>
      <c r="J79" s="26" t="str">
        <f ca="1">IF(TaskTable[[#This Row],[WBS Level]]=6,TaskTable[[#This Row],[PHASE]],IF(TaskTable[[#This Row],[WBS Level]]&lt;6,"NONE",OFFSET(TaskTable[[#This Row],[SP-4]],-1,0)))</f>
        <v>NONE</v>
      </c>
      <c r="M79" s="20">
        <f>LEN(TaskTable[WBS])-LEN(SUBSTITUTE(TaskTable[WBS],".",""))+2</f>
        <v>4</v>
      </c>
      <c r="N79" s="22">
        <v>43962</v>
      </c>
      <c r="O79" s="22">
        <v>43966</v>
      </c>
      <c r="P79" s="20">
        <v>5</v>
      </c>
      <c r="Q79" s="20" t="s">
        <v>12</v>
      </c>
      <c r="R79" s="59">
        <f>IF(TaskTable[[#This Row],[STATUS]]="COMPLETE",1,"")</f>
        <v>1</v>
      </c>
      <c r="S79" s="66">
        <v>1</v>
      </c>
      <c r="T79" s="20">
        <v>5</v>
      </c>
    </row>
    <row r="80" spans="4:20" ht="43.2" x14ac:dyDescent="0.3">
      <c r="D80" s="24" t="s">
        <v>211</v>
      </c>
      <c r="E80" s="26" t="s">
        <v>129</v>
      </c>
      <c r="F80" s="62" t="str">
        <f ca="1">IF(TaskTable[[#This Row],[WBS Level]]=2,TaskTable[[#This Row],[PHASE]],OFFSET(TaskTable[[#This Row],[MAIN PHASE]],-1,0))</f>
        <v>Pre Live Checklist/Preparation</v>
      </c>
      <c r="G80" s="26" t="str">
        <f ca="1">IF(TaskTable[[#This Row],[WBS Level]]=3,TaskTable[[#This Row],[PHASE]],IF(TaskTable[[#This Row],[WBS Level]]&lt;3,"NONE",OFFSET(TaskTable[[#This Row],[SP-1]],-1,0)))</f>
        <v>Install and configure all Hardwares</v>
      </c>
      <c r="H80" s="26" t="str">
        <f ca="1">IF(TaskTable[[#This Row],[WBS Level]]=4,TaskTable[[#This Row],[PHASE]],IF(TaskTable[[#This Row],[WBS Level]]&lt;4,"NONE",OFFSET(TaskTable[[#This Row],[SP-2]],-1,0)))</f>
        <v>Double check and stress test Middleware</v>
      </c>
      <c r="I80" s="26" t="str">
        <f ca="1">IF(TaskTable[[#This Row],[WBS Level]]=5,TaskTable[[#This Row],[PHASE]],IF(TaskTable[[#This Row],[WBS Level]]&lt;5,"NONE",OFFSET(TaskTable[[#This Row],[SP-3]],-1,0)))</f>
        <v>NONE</v>
      </c>
      <c r="J80" s="26" t="str">
        <f ca="1">IF(TaskTable[[#This Row],[WBS Level]]=6,TaskTable[[#This Row],[PHASE]],IF(TaskTable[[#This Row],[WBS Level]]&lt;6,"NONE",OFFSET(TaskTable[[#This Row],[SP-4]],-1,0)))</f>
        <v>NONE</v>
      </c>
      <c r="M80" s="20">
        <f>LEN(TaskTable[WBS])-LEN(SUBSTITUTE(TaskTable[WBS],".",""))+2</f>
        <v>4</v>
      </c>
      <c r="N80" s="22">
        <v>43962</v>
      </c>
      <c r="O80" s="22">
        <v>43966</v>
      </c>
      <c r="P80" s="20">
        <v>5</v>
      </c>
      <c r="Q80" s="20" t="s">
        <v>12</v>
      </c>
      <c r="R80" s="59">
        <f>IF(TaskTable[[#This Row],[STATUS]]="COMPLETE",1,"")</f>
        <v>1</v>
      </c>
      <c r="S80" s="66">
        <v>1</v>
      </c>
      <c r="T80" s="20">
        <v>5</v>
      </c>
    </row>
    <row r="81" spans="4:20" ht="28.8" x14ac:dyDescent="0.3">
      <c r="D81" s="24" t="s">
        <v>212</v>
      </c>
      <c r="E81" s="26" t="s">
        <v>130</v>
      </c>
      <c r="F81" s="62" t="str">
        <f ca="1">IF(TaskTable[[#This Row],[WBS Level]]=2,TaskTable[[#This Row],[PHASE]],OFFSET(TaskTable[[#This Row],[MAIN PHASE]],-1,0))</f>
        <v>Pre Live Checklist/Preparation</v>
      </c>
      <c r="G81" s="26" t="str">
        <f ca="1">IF(TaskTable[[#This Row],[WBS Level]]=3,TaskTable[[#This Row],[PHASE]],IF(TaskTable[[#This Row],[WBS Level]]&lt;3,"NONE",OFFSET(TaskTable[[#This Row],[SP-1]],-1,0)))</f>
        <v>Install and configure all Hardwares</v>
      </c>
      <c r="H81" s="26" t="str">
        <f ca="1">IF(TaskTable[[#This Row],[WBS Level]]=4,TaskTable[[#This Row],[PHASE]],IF(TaskTable[[#This Row],[WBS Level]]&lt;4,"NONE",OFFSET(TaskTable[[#This Row],[SP-2]],-1,0)))</f>
        <v>Checklist</v>
      </c>
      <c r="I81" s="26" t="str">
        <f ca="1">IF(TaskTable[[#This Row],[WBS Level]]=5,TaskTable[[#This Row],[PHASE]],IF(TaskTable[[#This Row],[WBS Level]]&lt;5,"NONE",OFFSET(TaskTable[[#This Row],[SP-3]],-1,0)))</f>
        <v>NONE</v>
      </c>
      <c r="J81" s="26" t="str">
        <f ca="1">IF(TaskTable[[#This Row],[WBS Level]]=6,TaskTable[[#This Row],[PHASE]],IF(TaskTable[[#This Row],[WBS Level]]&lt;6,"NONE",OFFSET(TaskTable[[#This Row],[SP-4]],-1,0)))</f>
        <v>NONE</v>
      </c>
      <c r="M81" s="20">
        <f>LEN(TaskTable[WBS])-LEN(SUBSTITUTE(TaskTable[WBS],".",""))+2</f>
        <v>4</v>
      </c>
      <c r="N81" s="22">
        <v>43962</v>
      </c>
      <c r="O81" s="22">
        <v>43966</v>
      </c>
      <c r="P81" s="20">
        <v>5</v>
      </c>
      <c r="Q81" s="20" t="s">
        <v>12</v>
      </c>
      <c r="R81" s="59">
        <f>IF(TaskTable[[#This Row],[STATUS]]="COMPLETE",1,"")</f>
        <v>1</v>
      </c>
      <c r="S81" s="66">
        <v>1</v>
      </c>
      <c r="T81" s="20">
        <v>5</v>
      </c>
    </row>
    <row r="82" spans="4:20" ht="28.8" x14ac:dyDescent="0.3">
      <c r="D82" s="24" t="s">
        <v>213</v>
      </c>
      <c r="E82" s="26" t="s">
        <v>131</v>
      </c>
      <c r="F82" s="62" t="str">
        <f ca="1">IF(TaskTable[[#This Row],[WBS Level]]=2,TaskTable[[#This Row],[PHASE]],OFFSET(TaskTable[[#This Row],[MAIN PHASE]],-1,0))</f>
        <v>Pre Live Checklist/Preparation</v>
      </c>
      <c r="G82" s="26" t="str">
        <f ca="1">IF(TaskTable[[#This Row],[WBS Level]]=3,TaskTable[[#This Row],[PHASE]],IF(TaskTable[[#This Row],[WBS Level]]&lt;3,"NONE",OFFSET(TaskTable[[#This Row],[SP-1]],-1,0)))</f>
        <v>Install and configure all Hardwares</v>
      </c>
      <c r="H82" s="26" t="str">
        <f ca="1">IF(TaskTable[[#This Row],[WBS Level]]=4,TaskTable[[#This Row],[PHASE]],IF(TaskTable[[#This Row],[WBS Level]]&lt;4,"NONE",OFFSET(TaskTable[[#This Row],[SP-2]],-1,0)))</f>
        <v>Do we have Pickers?</v>
      </c>
      <c r="I82" s="26" t="str">
        <f ca="1">IF(TaskTable[[#This Row],[WBS Level]]=5,TaskTable[[#This Row],[PHASE]],IF(TaskTable[[#This Row],[WBS Level]]&lt;5,"NONE",OFFSET(TaskTable[[#This Row],[SP-3]],-1,0)))</f>
        <v>NONE</v>
      </c>
      <c r="J82" s="26" t="str">
        <f ca="1">IF(TaskTable[[#This Row],[WBS Level]]=6,TaskTable[[#This Row],[PHASE]],IF(TaskTable[[#This Row],[WBS Level]]&lt;6,"NONE",OFFSET(TaskTable[[#This Row],[SP-4]],-1,0)))</f>
        <v>NONE</v>
      </c>
      <c r="M82" s="20">
        <f>LEN(TaskTable[WBS])-LEN(SUBSTITUTE(TaskTable[WBS],".",""))+2</f>
        <v>4</v>
      </c>
      <c r="N82" s="22">
        <v>43962</v>
      </c>
      <c r="O82" s="22">
        <v>43966</v>
      </c>
      <c r="P82" s="20">
        <v>5</v>
      </c>
      <c r="Q82" s="20"/>
      <c r="R82" s="59" t="str">
        <f>IF(TaskTable[[#This Row],[STATUS]]="COMPLETE",1,"")</f>
        <v/>
      </c>
      <c r="S82" s="66">
        <v>1</v>
      </c>
      <c r="T82" s="20">
        <v>5</v>
      </c>
    </row>
    <row r="83" spans="4:20" ht="43.2" x14ac:dyDescent="0.3">
      <c r="D83" s="24" t="s">
        <v>214</v>
      </c>
      <c r="E83" s="26" t="s">
        <v>132</v>
      </c>
      <c r="F83" s="62" t="str">
        <f ca="1">IF(TaskTable[[#This Row],[WBS Level]]=2,TaskTable[[#This Row],[PHASE]],OFFSET(TaskTable[[#This Row],[MAIN PHASE]],-1,0))</f>
        <v>Pre Live Checklist/Preparation</v>
      </c>
      <c r="G83" s="26" t="str">
        <f ca="1">IF(TaskTable[[#This Row],[WBS Level]]=3,TaskTable[[#This Row],[PHASE]],IF(TaskTable[[#This Row],[WBS Level]]&lt;3,"NONE",OFFSET(TaskTable[[#This Row],[SP-1]],-1,0)))</f>
        <v>Install and configure all Hardwares</v>
      </c>
      <c r="H83" s="26" t="str">
        <f ca="1">IF(TaskTable[[#This Row],[WBS Level]]=4,TaskTable[[#This Row],[PHASE]],IF(TaskTable[[#This Row],[WBS Level]]&lt;4,"NONE",OFFSET(TaskTable[[#This Row],[SP-2]],-1,0)))</f>
        <v>Do we have central contact or lines?</v>
      </c>
      <c r="I83" s="26" t="str">
        <f ca="1">IF(TaskTable[[#This Row],[WBS Level]]=5,TaskTable[[#This Row],[PHASE]],IF(TaskTable[[#This Row],[WBS Level]]&lt;5,"NONE",OFFSET(TaskTable[[#This Row],[SP-3]],-1,0)))</f>
        <v>NONE</v>
      </c>
      <c r="J83" s="26" t="str">
        <f ca="1">IF(TaskTable[[#This Row],[WBS Level]]=6,TaskTable[[#This Row],[PHASE]],IF(TaskTable[[#This Row],[WBS Level]]&lt;6,"NONE",OFFSET(TaskTable[[#This Row],[SP-4]],-1,0)))</f>
        <v>NONE</v>
      </c>
      <c r="M83" s="20">
        <f>LEN(TaskTable[WBS])-LEN(SUBSTITUTE(TaskTable[WBS],".",""))+2</f>
        <v>4</v>
      </c>
      <c r="N83" s="22">
        <v>43962</v>
      </c>
      <c r="O83" s="22">
        <v>43966</v>
      </c>
      <c r="P83" s="20">
        <v>5</v>
      </c>
      <c r="Q83" s="20"/>
      <c r="R83" s="59" t="str">
        <f>IF(TaskTable[[#This Row],[STATUS]]="COMPLETE",1,"")</f>
        <v/>
      </c>
      <c r="S83" s="66">
        <v>1</v>
      </c>
      <c r="T83" s="20">
        <v>5</v>
      </c>
    </row>
    <row r="84" spans="4:20" ht="28.8" x14ac:dyDescent="0.3">
      <c r="D84" s="24" t="s">
        <v>215</v>
      </c>
      <c r="E84" s="26" t="s">
        <v>133</v>
      </c>
      <c r="F84" s="62" t="str">
        <f ca="1">IF(TaskTable[[#This Row],[WBS Level]]=2,TaskTable[[#This Row],[PHASE]],OFFSET(TaskTable[[#This Row],[MAIN PHASE]],-1,0))</f>
        <v>Pre Live Checklist/Preparation</v>
      </c>
      <c r="G84" s="26" t="str">
        <f ca="1">IF(TaskTable[[#This Row],[WBS Level]]=3,TaskTable[[#This Row],[PHASE]],IF(TaskTable[[#This Row],[WBS Level]]&lt;3,"NONE",OFFSET(TaskTable[[#This Row],[SP-1]],-1,0)))</f>
        <v>Install and configure all Hardwares</v>
      </c>
      <c r="H84" s="26" t="str">
        <f ca="1">IF(TaskTable[[#This Row],[WBS Level]]=4,TaskTable[[#This Row],[PHASE]],IF(TaskTable[[#This Row],[WBS Level]]&lt;4,"NONE",OFFSET(TaskTable[[#This Row],[SP-2]],-1,0)))</f>
        <v>Do we have Checker?</v>
      </c>
      <c r="I84" s="26" t="str">
        <f ca="1">IF(TaskTable[[#This Row],[WBS Level]]=5,TaskTable[[#This Row],[PHASE]],IF(TaskTable[[#This Row],[WBS Level]]&lt;5,"NONE",OFFSET(TaskTable[[#This Row],[SP-3]],-1,0)))</f>
        <v>NONE</v>
      </c>
      <c r="J84" s="26" t="str">
        <f ca="1">IF(TaskTable[[#This Row],[WBS Level]]=6,TaskTable[[#This Row],[PHASE]],IF(TaskTable[[#This Row],[WBS Level]]&lt;6,"NONE",OFFSET(TaskTable[[#This Row],[SP-4]],-1,0)))</f>
        <v>NONE</v>
      </c>
      <c r="M84" s="20">
        <f>LEN(TaskTable[WBS])-LEN(SUBSTITUTE(TaskTable[WBS],".",""))+2</f>
        <v>4</v>
      </c>
      <c r="N84" s="22">
        <v>43962</v>
      </c>
      <c r="O84" s="22">
        <v>43966</v>
      </c>
      <c r="P84" s="20">
        <v>5</v>
      </c>
      <c r="Q84" s="20"/>
      <c r="R84" s="59" t="str">
        <f>IF(TaskTable[[#This Row],[STATUS]]="COMPLETE",1,"")</f>
        <v/>
      </c>
      <c r="S84" s="66">
        <v>1</v>
      </c>
      <c r="T84" s="20">
        <v>5</v>
      </c>
    </row>
    <row r="85" spans="4:20" ht="43.2" x14ac:dyDescent="0.3">
      <c r="D85" s="24" t="s">
        <v>216</v>
      </c>
      <c r="E85" s="26" t="s">
        <v>134</v>
      </c>
      <c r="F85" s="62" t="str">
        <f ca="1">IF(TaskTable[[#This Row],[WBS Level]]=2,TaskTable[[#This Row],[PHASE]],OFFSET(TaskTable[[#This Row],[MAIN PHASE]],-1,0))</f>
        <v>Pre Live Checklist/Preparation</v>
      </c>
      <c r="G85" s="26" t="str">
        <f ca="1">IF(TaskTable[[#This Row],[WBS Level]]=3,TaskTable[[#This Row],[PHASE]],IF(TaskTable[[#This Row],[WBS Level]]&lt;3,"NONE",OFFSET(TaskTable[[#This Row],[SP-1]],-1,0)))</f>
        <v>Install and configure all Hardwares</v>
      </c>
      <c r="H85" s="26" t="str">
        <f ca="1">IF(TaskTable[[#This Row],[WBS Level]]=4,TaskTable[[#This Row],[PHASE]],IF(TaskTable[[#This Row],[WBS Level]]&lt;4,"NONE",OFFSET(TaskTable[[#This Row],[SP-2]],-1,0)))</f>
        <v>Do we have Delivery vehicle and driver?</v>
      </c>
      <c r="I85" s="26" t="str">
        <f ca="1">IF(TaskTable[[#This Row],[WBS Level]]=5,TaskTable[[#This Row],[PHASE]],IF(TaskTable[[#This Row],[WBS Level]]&lt;5,"NONE",OFFSET(TaskTable[[#This Row],[SP-3]],-1,0)))</f>
        <v>NONE</v>
      </c>
      <c r="J85" s="26" t="str">
        <f ca="1">IF(TaskTable[[#This Row],[WBS Level]]=6,TaskTable[[#This Row],[PHASE]],IF(TaskTable[[#This Row],[WBS Level]]&lt;6,"NONE",OFFSET(TaskTable[[#This Row],[SP-4]],-1,0)))</f>
        <v>NONE</v>
      </c>
      <c r="M85" s="20">
        <f>LEN(TaskTable[WBS])-LEN(SUBSTITUTE(TaskTable[WBS],".",""))+2</f>
        <v>4</v>
      </c>
      <c r="N85" s="22">
        <v>43962</v>
      </c>
      <c r="O85" s="22">
        <v>43966</v>
      </c>
      <c r="P85" s="20">
        <v>5</v>
      </c>
      <c r="Q85" s="20"/>
      <c r="R85" s="59" t="str">
        <f>IF(TaskTable[[#This Row],[STATUS]]="COMPLETE",1,"")</f>
        <v/>
      </c>
      <c r="S85" s="66">
        <v>1</v>
      </c>
      <c r="T85" s="20">
        <v>5</v>
      </c>
    </row>
    <row r="86" spans="4:20" ht="57.6" x14ac:dyDescent="0.3">
      <c r="D86" s="24" t="s">
        <v>217</v>
      </c>
      <c r="E86" s="26" t="s">
        <v>135</v>
      </c>
      <c r="F86" s="62" t="str">
        <f ca="1">IF(TaskTable[[#This Row],[WBS Level]]=2,TaskTable[[#This Row],[PHASE]],OFFSET(TaskTable[[#This Row],[MAIN PHASE]],-1,0))</f>
        <v>Pre Live Checklist/Preparation</v>
      </c>
      <c r="G86" s="26" t="str">
        <f ca="1">IF(TaskTable[[#This Row],[WBS Level]]=3,TaskTable[[#This Row],[PHASE]],IF(TaskTable[[#This Row],[WBS Level]]&lt;3,"NONE",OFFSET(TaskTable[[#This Row],[SP-1]],-1,0)))</f>
        <v>Install and configure all Hardwares</v>
      </c>
      <c r="H86" s="26" t="str">
        <f ca="1">IF(TaskTable[[#This Row],[WBS Level]]=4,TaskTable[[#This Row],[PHASE]],IF(TaskTable[[#This Row],[WBS Level]]&lt;4,"NONE",OFFSET(TaskTable[[#This Row],[SP-2]],-1,0)))</f>
        <v>Do we have dedicated lanes/section for Pickup?</v>
      </c>
      <c r="I86" s="26" t="str">
        <f ca="1">IF(TaskTable[[#This Row],[WBS Level]]=5,TaskTable[[#This Row],[PHASE]],IF(TaskTable[[#This Row],[WBS Level]]&lt;5,"NONE",OFFSET(TaskTable[[#This Row],[SP-3]],-1,0)))</f>
        <v>NONE</v>
      </c>
      <c r="J86" s="26" t="str">
        <f ca="1">IF(TaskTable[[#This Row],[WBS Level]]=6,TaskTable[[#This Row],[PHASE]],IF(TaskTable[[#This Row],[WBS Level]]&lt;6,"NONE",OFFSET(TaskTable[[#This Row],[SP-4]],-1,0)))</f>
        <v>NONE</v>
      </c>
      <c r="M86" s="20">
        <f>LEN(TaskTable[WBS])-LEN(SUBSTITUTE(TaskTable[WBS],".",""))+2</f>
        <v>4</v>
      </c>
      <c r="N86" s="22">
        <v>43962</v>
      </c>
      <c r="O86" s="22">
        <v>43966</v>
      </c>
      <c r="P86" s="20">
        <v>5</v>
      </c>
      <c r="Q86" s="20"/>
      <c r="R86" s="59" t="str">
        <f>IF(TaskTable[[#This Row],[STATUS]]="COMPLETE",1,"")</f>
        <v/>
      </c>
      <c r="S86" s="66">
        <v>1</v>
      </c>
      <c r="T86" s="20">
        <v>5</v>
      </c>
    </row>
    <row r="87" spans="4:20" ht="72" x14ac:dyDescent="0.3">
      <c r="D87" s="24" t="s">
        <v>218</v>
      </c>
      <c r="E87" s="26" t="s">
        <v>136</v>
      </c>
      <c r="F87" s="62" t="str">
        <f ca="1">IF(TaskTable[[#This Row],[WBS Level]]=2,TaskTable[[#This Row],[PHASE]],OFFSET(TaskTable[[#This Row],[MAIN PHASE]],-1,0))</f>
        <v>Pre Live Checklist/Preparation</v>
      </c>
      <c r="G87" s="26" t="str">
        <f ca="1">IF(TaskTable[[#This Row],[WBS Level]]=3,TaskTable[[#This Row],[PHASE]],IF(TaskTable[[#This Row],[WBS Level]]&lt;3,"NONE",OFFSET(TaskTable[[#This Row],[SP-1]],-1,0)))</f>
        <v>Install and configure all Hardwares</v>
      </c>
      <c r="H87" s="26" t="str">
        <f ca="1">IF(TaskTable[[#This Row],[WBS Level]]=4,TaskTable[[#This Row],[PHASE]],IF(TaskTable[[#This Row],[WBS Level]]&lt;4,"NONE",OFFSET(TaskTable[[#This Row],[SP-2]],-1,0)))</f>
        <v>Do we have dedicated resource for Money remittances?</v>
      </c>
      <c r="I87" s="26" t="str">
        <f ca="1">IF(TaskTable[[#This Row],[WBS Level]]=5,TaskTable[[#This Row],[PHASE]],IF(TaskTable[[#This Row],[WBS Level]]&lt;5,"NONE",OFFSET(TaskTable[[#This Row],[SP-3]],-1,0)))</f>
        <v>NONE</v>
      </c>
      <c r="J87" s="26" t="str">
        <f ca="1">IF(TaskTable[[#This Row],[WBS Level]]=6,TaskTable[[#This Row],[PHASE]],IF(TaskTable[[#This Row],[WBS Level]]&lt;6,"NONE",OFFSET(TaskTable[[#This Row],[SP-4]],-1,0)))</f>
        <v>NONE</v>
      </c>
      <c r="M87" s="20">
        <f>LEN(TaskTable[WBS])-LEN(SUBSTITUTE(TaskTable[WBS],".",""))+2</f>
        <v>4</v>
      </c>
      <c r="N87" s="22">
        <v>43962</v>
      </c>
      <c r="O87" s="22">
        <v>43966</v>
      </c>
      <c r="P87" s="20">
        <v>5</v>
      </c>
      <c r="Q87" s="20"/>
      <c r="R87" s="59" t="str">
        <f>IF(TaskTable[[#This Row],[STATUS]]="COMPLETE",1,"")</f>
        <v/>
      </c>
      <c r="S87" s="66">
        <v>1</v>
      </c>
      <c r="T87" s="20">
        <v>5</v>
      </c>
    </row>
    <row r="88" spans="4:20" x14ac:dyDescent="0.3">
      <c r="D88" s="24">
        <v>11</v>
      </c>
      <c r="E88" s="26" t="s">
        <v>137</v>
      </c>
      <c r="F88" s="62" t="str">
        <f ca="1">IF(TaskTable[[#This Row],[WBS Level]]=2,TaskTable[[#This Row],[PHASE]],OFFSET(TaskTable[[#This Row],[MAIN PHASE]],-1,0))</f>
        <v>Dry Run</v>
      </c>
      <c r="G88" s="26" t="str">
        <f ca="1">IF(TaskTable[[#This Row],[WBS Level]]=3,TaskTable[[#This Row],[PHASE]],IF(TaskTable[[#This Row],[WBS Level]]&lt;3,"NONE",OFFSET(TaskTable[[#This Row],[SP-1]],-1,0)))</f>
        <v>NONE</v>
      </c>
      <c r="H88" s="26" t="str">
        <f ca="1">IF(TaskTable[[#This Row],[WBS Level]]=4,TaskTable[[#This Row],[PHASE]],IF(TaskTable[[#This Row],[WBS Level]]&lt;4,"NONE",OFFSET(TaskTable[[#This Row],[SP-2]],-1,0)))</f>
        <v>NONE</v>
      </c>
      <c r="I88" s="26" t="str">
        <f ca="1">IF(TaskTable[[#This Row],[WBS Level]]=5,TaskTable[[#This Row],[PHASE]],IF(TaskTable[[#This Row],[WBS Level]]&lt;5,"NONE",OFFSET(TaskTable[[#This Row],[SP-3]],-1,0)))</f>
        <v>NONE</v>
      </c>
      <c r="J88" s="26" t="str">
        <f ca="1">IF(TaskTable[[#This Row],[WBS Level]]=6,TaskTable[[#This Row],[PHASE]],IF(TaskTable[[#This Row],[WBS Level]]&lt;6,"NONE",OFFSET(TaskTable[[#This Row],[SP-4]],-1,0)))</f>
        <v>NONE</v>
      </c>
      <c r="K88" s="20" t="s">
        <v>138</v>
      </c>
      <c r="M88" s="20">
        <f>LEN(TaskTable[WBS])-LEN(SUBSTITUTE(TaskTable[WBS],".",""))+2</f>
        <v>2</v>
      </c>
      <c r="N88" s="22">
        <v>43962</v>
      </c>
      <c r="O88" s="22">
        <v>43977</v>
      </c>
      <c r="P88" s="20">
        <v>12</v>
      </c>
      <c r="Q88" s="20" t="s">
        <v>12</v>
      </c>
      <c r="R88" s="59">
        <f>IF(TaskTable[[#This Row],[STATUS]]="COMPLETE",1,"")</f>
        <v>1</v>
      </c>
      <c r="S88" s="66">
        <v>1</v>
      </c>
      <c r="T88" s="20">
        <v>12</v>
      </c>
    </row>
    <row r="89" spans="4:20" ht="28.8" x14ac:dyDescent="0.3">
      <c r="D89" s="25">
        <v>11.1</v>
      </c>
      <c r="E89" s="26" t="s">
        <v>139</v>
      </c>
      <c r="F89" s="62" t="str">
        <f ca="1">IF(TaskTable[[#This Row],[WBS Level]]=2,TaskTable[[#This Row],[PHASE]],OFFSET(TaskTable[[#This Row],[MAIN PHASE]],-1,0))</f>
        <v>Dry Run</v>
      </c>
      <c r="G89" s="26" t="str">
        <f ca="1">IF(TaskTable[[#This Row],[WBS Level]]=3,TaskTable[[#This Row],[PHASE]],IF(TaskTable[[#This Row],[WBS Level]]&lt;3,"NONE",OFFSET(TaskTable[[#This Row],[SP-1]],-1,0)))</f>
        <v>Setup of Hardware and Connectivity</v>
      </c>
      <c r="H89" s="26" t="str">
        <f ca="1">IF(TaskTable[[#This Row],[WBS Level]]=4,TaskTable[[#This Row],[PHASE]],IF(TaskTable[[#This Row],[WBS Level]]&lt;4,"NONE",OFFSET(TaskTable[[#This Row],[SP-2]],-1,0)))</f>
        <v>NONE</v>
      </c>
      <c r="I89" s="26" t="str">
        <f ca="1">IF(TaskTable[[#This Row],[WBS Level]]=5,TaskTable[[#This Row],[PHASE]],IF(TaskTable[[#This Row],[WBS Level]]&lt;5,"NONE",OFFSET(TaskTable[[#This Row],[SP-3]],-1,0)))</f>
        <v>NONE</v>
      </c>
      <c r="J89" s="26" t="str">
        <f ca="1">IF(TaskTable[[#This Row],[WBS Level]]=6,TaskTable[[#This Row],[PHASE]],IF(TaskTable[[#This Row],[WBS Level]]&lt;6,"NONE",OFFSET(TaskTable[[#This Row],[SP-4]],-1,0)))</f>
        <v>NONE</v>
      </c>
      <c r="M89" s="20">
        <f>LEN(TaskTable[WBS])-LEN(SUBSTITUTE(TaskTable[WBS],".",""))+2</f>
        <v>3</v>
      </c>
      <c r="N89" s="22">
        <v>43962</v>
      </c>
      <c r="O89" s="22">
        <v>43966</v>
      </c>
      <c r="P89" s="20">
        <v>5</v>
      </c>
      <c r="Q89" s="20" t="s">
        <v>12</v>
      </c>
      <c r="R89" s="59">
        <f>IF(TaskTable[[#This Row],[STATUS]]="COMPLETE",1,"")</f>
        <v>1</v>
      </c>
      <c r="S89" s="66">
        <v>1</v>
      </c>
      <c r="T89" s="20">
        <v>5</v>
      </c>
    </row>
    <row r="90" spans="4:20" ht="28.8" x14ac:dyDescent="0.3">
      <c r="D90" s="24" t="s">
        <v>219</v>
      </c>
      <c r="E90" s="26" t="s">
        <v>140</v>
      </c>
      <c r="F90" s="62" t="str">
        <f ca="1">IF(TaskTable[[#This Row],[WBS Level]]=2,TaskTable[[#This Row],[PHASE]],OFFSET(TaskTable[[#This Row],[MAIN PHASE]],-1,0))</f>
        <v>Dry Run</v>
      </c>
      <c r="G90" s="26" t="str">
        <f ca="1">IF(TaskTable[[#This Row],[WBS Level]]=3,TaskTable[[#This Row],[PHASE]],IF(TaskTable[[#This Row],[WBS Level]]&lt;3,"NONE",OFFSET(TaskTable[[#This Row],[SP-1]],-1,0)))</f>
        <v>Setup of Hardware and Connectivity</v>
      </c>
      <c r="H90" s="26" t="str">
        <f ca="1">IF(TaskTable[[#This Row],[WBS Level]]=4,TaskTable[[#This Row],[PHASE]],IF(TaskTable[[#This Row],[WBS Level]]&lt;4,"NONE",OFFSET(TaskTable[[#This Row],[SP-2]],-1,0)))</f>
        <v>Setup of Barter Suki Integration</v>
      </c>
      <c r="I90" s="26" t="str">
        <f ca="1">IF(TaskTable[[#This Row],[WBS Level]]=5,TaskTable[[#This Row],[PHASE]],IF(TaskTable[[#This Row],[WBS Level]]&lt;5,"NONE",OFFSET(TaskTable[[#This Row],[SP-3]],-1,0)))</f>
        <v>NONE</v>
      </c>
      <c r="J90" s="26" t="str">
        <f ca="1">IF(TaskTable[[#This Row],[WBS Level]]=6,TaskTable[[#This Row],[PHASE]],IF(TaskTable[[#This Row],[WBS Level]]&lt;6,"NONE",OFFSET(TaskTable[[#This Row],[SP-4]],-1,0)))</f>
        <v>NONE</v>
      </c>
      <c r="M90" s="20">
        <f>LEN(TaskTable[WBS])-LEN(SUBSTITUTE(TaskTable[WBS],".",""))+2</f>
        <v>4</v>
      </c>
      <c r="N90" s="22">
        <v>43962</v>
      </c>
      <c r="O90" s="22">
        <v>43966</v>
      </c>
      <c r="P90" s="20">
        <v>5</v>
      </c>
      <c r="Q90" s="20" t="s">
        <v>12</v>
      </c>
      <c r="R90" s="59">
        <f>IF(TaskTable[[#This Row],[STATUS]]="COMPLETE",1,"")</f>
        <v>1</v>
      </c>
      <c r="S90" s="66">
        <v>1</v>
      </c>
      <c r="T90" s="20">
        <v>5</v>
      </c>
    </row>
    <row r="91" spans="4:20" ht="43.2" x14ac:dyDescent="0.3">
      <c r="D91" s="24" t="s">
        <v>220</v>
      </c>
      <c r="E91" s="26" t="s">
        <v>141</v>
      </c>
      <c r="F91" s="62" t="str">
        <f ca="1">IF(TaskTable[[#This Row],[WBS Level]]=2,TaskTable[[#This Row],[PHASE]],OFFSET(TaskTable[[#This Row],[MAIN PHASE]],-1,0))</f>
        <v>Dry Run</v>
      </c>
      <c r="G91" s="26" t="str">
        <f ca="1">IF(TaskTable[[#This Row],[WBS Level]]=3,TaskTable[[#This Row],[PHASE]],IF(TaskTable[[#This Row],[WBS Level]]&lt;3,"NONE",OFFSET(TaskTable[[#This Row],[SP-1]],-1,0)))</f>
        <v>Setup of Hardware and Connectivity</v>
      </c>
      <c r="H91" s="26" t="str">
        <f ca="1">IF(TaskTable[[#This Row],[WBS Level]]=4,TaskTable[[#This Row],[PHASE]],IF(TaskTable[[#This Row],[WBS Level]]&lt;4,"NONE",OFFSET(TaskTable[[#This Row],[SP-2]],-1,0)))</f>
        <v>Setup Picker-Checker-Driver Apps</v>
      </c>
      <c r="I91" s="26" t="str">
        <f ca="1">IF(TaskTable[[#This Row],[WBS Level]]=5,TaskTable[[#This Row],[PHASE]],IF(TaskTable[[#This Row],[WBS Level]]&lt;5,"NONE",OFFSET(TaskTable[[#This Row],[SP-3]],-1,0)))</f>
        <v>NONE</v>
      </c>
      <c r="J91" s="26" t="str">
        <f ca="1">IF(TaskTable[[#This Row],[WBS Level]]=6,TaskTable[[#This Row],[PHASE]],IF(TaskTable[[#This Row],[WBS Level]]&lt;6,"NONE",OFFSET(TaskTable[[#This Row],[SP-4]],-1,0)))</f>
        <v>NONE</v>
      </c>
      <c r="M91" s="20">
        <f>LEN(TaskTable[WBS])-LEN(SUBSTITUTE(TaskTable[WBS],".",""))+2</f>
        <v>4</v>
      </c>
      <c r="N91" s="22">
        <v>43962</v>
      </c>
      <c r="O91" s="22">
        <v>43966</v>
      </c>
      <c r="P91" s="20">
        <v>5</v>
      </c>
      <c r="Q91" s="20" t="s">
        <v>12</v>
      </c>
      <c r="R91" s="59">
        <f>IF(TaskTable[[#This Row],[STATUS]]="COMPLETE",1,"")</f>
        <v>1</v>
      </c>
      <c r="S91" s="66">
        <v>1</v>
      </c>
      <c r="T91" s="20">
        <v>5</v>
      </c>
    </row>
    <row r="92" spans="4:20" ht="57.6" x14ac:dyDescent="0.3">
      <c r="D92" s="24" t="s">
        <v>221</v>
      </c>
      <c r="E92" s="26" t="s">
        <v>142</v>
      </c>
      <c r="F92" s="62" t="str">
        <f ca="1">IF(TaskTable[[#This Row],[WBS Level]]=2,TaskTable[[#This Row],[PHASE]],OFFSET(TaskTable[[#This Row],[MAIN PHASE]],-1,0))</f>
        <v>Dry Run</v>
      </c>
      <c r="G92" s="26" t="str">
        <f ca="1">IF(TaskTable[[#This Row],[WBS Level]]=3,TaskTable[[#This Row],[PHASE]],IF(TaskTable[[#This Row],[WBS Level]]&lt;3,"NONE",OFFSET(TaskTable[[#This Row],[SP-1]],-1,0)))</f>
        <v>Setup of Hardware and Connectivity</v>
      </c>
      <c r="H92" s="26" t="str">
        <f ca="1">IF(TaskTable[[#This Row],[WBS Level]]=4,TaskTable[[#This Row],[PHASE]],IF(TaskTable[[#This Row],[WBS Level]]&lt;4,"NONE",OFFSET(TaskTable[[#This Row],[SP-2]],-1,0)))</f>
        <v>Onboard assigned resources for Picker-Checker-Driver</v>
      </c>
      <c r="I92" s="26" t="str">
        <f ca="1">IF(TaskTable[[#This Row],[WBS Level]]=5,TaskTable[[#This Row],[PHASE]],IF(TaskTable[[#This Row],[WBS Level]]&lt;5,"NONE",OFFSET(TaskTable[[#This Row],[SP-3]],-1,0)))</f>
        <v>NONE</v>
      </c>
      <c r="J92" s="26" t="str">
        <f ca="1">IF(TaskTable[[#This Row],[WBS Level]]=6,TaskTable[[#This Row],[PHASE]],IF(TaskTable[[#This Row],[WBS Level]]&lt;6,"NONE",OFFSET(TaskTable[[#This Row],[SP-4]],-1,0)))</f>
        <v>NONE</v>
      </c>
      <c r="M92" s="20">
        <f>LEN(TaskTable[WBS])-LEN(SUBSTITUTE(TaskTable[WBS],".",""))+2</f>
        <v>4</v>
      </c>
      <c r="N92" s="22">
        <v>43962</v>
      </c>
      <c r="O92" s="22">
        <v>43966</v>
      </c>
      <c r="P92" s="20">
        <v>5</v>
      </c>
      <c r="Q92" s="20" t="s">
        <v>12</v>
      </c>
      <c r="R92" s="59">
        <f>IF(TaskTable[[#This Row],[STATUS]]="COMPLETE",1,"")</f>
        <v>1</v>
      </c>
      <c r="S92" s="66">
        <v>1</v>
      </c>
      <c r="T92" s="20">
        <v>5</v>
      </c>
    </row>
    <row r="93" spans="4:20" ht="28.8" x14ac:dyDescent="0.3">
      <c r="D93" s="24" t="s">
        <v>222</v>
      </c>
      <c r="E93" s="26" t="s">
        <v>143</v>
      </c>
      <c r="F93" s="62" t="str">
        <f ca="1">IF(TaskTable[[#This Row],[WBS Level]]=2,TaskTable[[#This Row],[PHASE]],OFFSET(TaskTable[[#This Row],[MAIN PHASE]],-1,0))</f>
        <v>Dry Run</v>
      </c>
      <c r="G93" s="26" t="str">
        <f ca="1">IF(TaskTable[[#This Row],[WBS Level]]=3,TaskTable[[#This Row],[PHASE]],IF(TaskTable[[#This Row],[WBS Level]]&lt;3,"NONE",OFFSET(TaskTable[[#This Row],[SP-1]],-1,0)))</f>
        <v>Setup of Hardware and Connectivity</v>
      </c>
      <c r="H93" s="26" t="str">
        <f ca="1">IF(TaskTable[[#This Row],[WBS Level]]=4,TaskTable[[#This Row],[PHASE]],IF(TaskTable[[#This Row],[WBS Level]]&lt;4,"NONE",OFFSET(TaskTable[[#This Row],[SP-2]],-1,0)))</f>
        <v>Goods Fill Rate</v>
      </c>
      <c r="I93" s="26" t="str">
        <f ca="1">IF(TaskTable[[#This Row],[WBS Level]]=5,TaskTable[[#This Row],[PHASE]],IF(TaskTable[[#This Row],[WBS Level]]&lt;5,"NONE",OFFSET(TaskTable[[#This Row],[SP-3]],-1,0)))</f>
        <v>NONE</v>
      </c>
      <c r="J93" s="26" t="str">
        <f ca="1">IF(TaskTable[[#This Row],[WBS Level]]=6,TaskTable[[#This Row],[PHASE]],IF(TaskTable[[#This Row],[WBS Level]]&lt;6,"NONE",OFFSET(TaskTable[[#This Row],[SP-4]],-1,0)))</f>
        <v>NONE</v>
      </c>
      <c r="M93" s="20">
        <f>LEN(TaskTable[WBS])-LEN(SUBSTITUTE(TaskTable[WBS],".",""))+2</f>
        <v>4</v>
      </c>
      <c r="N93" s="22">
        <v>43962</v>
      </c>
      <c r="O93" s="22">
        <v>43966</v>
      </c>
      <c r="P93" s="20">
        <v>5</v>
      </c>
      <c r="Q93" s="20" t="s">
        <v>12</v>
      </c>
      <c r="R93" s="59">
        <f>IF(TaskTable[[#This Row],[STATUS]]="COMPLETE",1,"")</f>
        <v>1</v>
      </c>
      <c r="S93" s="66">
        <v>1</v>
      </c>
      <c r="T93" s="20">
        <v>5</v>
      </c>
    </row>
    <row r="94" spans="4:20" ht="28.8" x14ac:dyDescent="0.3">
      <c r="D94" s="24" t="s">
        <v>223</v>
      </c>
      <c r="E94" s="26" t="s">
        <v>144</v>
      </c>
      <c r="F94" s="62" t="str">
        <f ca="1">IF(TaskTable[[#This Row],[WBS Level]]=2,TaskTable[[#This Row],[PHASE]],OFFSET(TaskTable[[#This Row],[MAIN PHASE]],-1,0))</f>
        <v>Dry Run</v>
      </c>
      <c r="G94" s="26" t="str">
        <f ca="1">IF(TaskTable[[#This Row],[WBS Level]]=3,TaskTable[[#This Row],[PHASE]],IF(TaskTable[[#This Row],[WBS Level]]&lt;3,"NONE",OFFSET(TaskTable[[#This Row],[SP-1]],-1,0)))</f>
        <v>Setup of Hardware and Connectivity</v>
      </c>
      <c r="H94" s="26" t="str">
        <f ca="1">IF(TaskTable[[#This Row],[WBS Level]]=4,TaskTable[[#This Row],[PHASE]],IF(TaskTable[[#This Row],[WBS Level]]&lt;4,"NONE",OFFSET(TaskTable[[#This Row],[SP-2]],-1,0)))</f>
        <v>Data re-synching</v>
      </c>
      <c r="I94" s="26" t="str">
        <f ca="1">IF(TaskTable[[#This Row],[WBS Level]]=5,TaskTable[[#This Row],[PHASE]],IF(TaskTable[[#This Row],[WBS Level]]&lt;5,"NONE",OFFSET(TaskTable[[#This Row],[SP-3]],-1,0)))</f>
        <v>NONE</v>
      </c>
      <c r="J94" s="26" t="str">
        <f ca="1">IF(TaskTable[[#This Row],[WBS Level]]=6,TaskTable[[#This Row],[PHASE]],IF(TaskTable[[#This Row],[WBS Level]]&lt;6,"NONE",OFFSET(TaskTable[[#This Row],[SP-4]],-1,0)))</f>
        <v>NONE</v>
      </c>
      <c r="M94" s="20">
        <f>LEN(TaskTable[WBS])-LEN(SUBSTITUTE(TaskTable[WBS],".",""))+2</f>
        <v>4</v>
      </c>
      <c r="N94" s="22">
        <v>43962</v>
      </c>
      <c r="O94" s="22">
        <v>43966</v>
      </c>
      <c r="P94" s="20">
        <v>5</v>
      </c>
      <c r="Q94" s="20" t="s">
        <v>12</v>
      </c>
      <c r="R94" s="59">
        <f>IF(TaskTable[[#This Row],[STATUS]]="COMPLETE",1,"")</f>
        <v>1</v>
      </c>
      <c r="S94" s="66">
        <v>1</v>
      </c>
      <c r="T94" s="20">
        <v>5</v>
      </c>
    </row>
    <row r="95" spans="4:20" ht="43.2" x14ac:dyDescent="0.3">
      <c r="D95" s="24" t="s">
        <v>224</v>
      </c>
      <c r="E95" s="26" t="s">
        <v>145</v>
      </c>
      <c r="F95" s="62" t="str">
        <f ca="1">IF(TaskTable[[#This Row],[WBS Level]]=2,TaskTable[[#This Row],[PHASE]],OFFSET(TaskTable[[#This Row],[MAIN PHASE]],-1,0))</f>
        <v>Dry Run</v>
      </c>
      <c r="G95" s="26" t="str">
        <f ca="1">IF(TaskTable[[#This Row],[WBS Level]]=3,TaskTable[[#This Row],[PHASE]],IF(TaskTable[[#This Row],[WBS Level]]&lt;3,"NONE",OFFSET(TaskTable[[#This Row],[SP-1]],-1,0)))</f>
        <v>Setup of Hardware and Connectivity</v>
      </c>
      <c r="H95" s="26" t="str">
        <f ca="1">IF(TaskTable[[#This Row],[WBS Level]]=4,TaskTable[[#This Row],[PHASE]],IF(TaskTable[[#This Row],[WBS Level]]&lt;4,"NONE",OFFSET(TaskTable[[#This Row],[SP-2]],-1,0)))</f>
        <v>Trial Run (Targeted Customers)</v>
      </c>
      <c r="I95" s="26" t="str">
        <f ca="1">IF(TaskTable[[#This Row],[WBS Level]]=5,TaskTable[[#This Row],[PHASE]],IF(TaskTable[[#This Row],[WBS Level]]&lt;5,"NONE",OFFSET(TaskTable[[#This Row],[SP-3]],-1,0)))</f>
        <v>NONE</v>
      </c>
      <c r="J95" s="26" t="str">
        <f ca="1">IF(TaskTable[[#This Row],[WBS Level]]=6,TaskTable[[#This Row],[PHASE]],IF(TaskTable[[#This Row],[WBS Level]]&lt;6,"NONE",OFFSET(TaskTable[[#This Row],[SP-4]],-1,0)))</f>
        <v>NONE</v>
      </c>
      <c r="M95" s="20">
        <f>LEN(TaskTable[WBS])-LEN(SUBSTITUTE(TaskTable[WBS],".",""))+2</f>
        <v>4</v>
      </c>
      <c r="N95" s="22">
        <v>43976</v>
      </c>
      <c r="O95" s="22">
        <v>43977</v>
      </c>
      <c r="P95" s="20">
        <v>2</v>
      </c>
      <c r="Q95" s="20" t="s">
        <v>12</v>
      </c>
      <c r="R95" s="59">
        <f>IF(TaskTable[[#This Row],[STATUS]]="COMPLETE",1,"")</f>
        <v>1</v>
      </c>
      <c r="S95" s="66">
        <v>1</v>
      </c>
      <c r="T95" s="20">
        <v>2</v>
      </c>
    </row>
    <row r="96" spans="4:20" ht="28.8" x14ac:dyDescent="0.3">
      <c r="D96" s="24" t="s">
        <v>225</v>
      </c>
      <c r="E96" s="26" t="s">
        <v>146</v>
      </c>
      <c r="F96" s="62" t="str">
        <f ca="1">IF(TaskTable[[#This Row],[WBS Level]]=2,TaskTable[[#This Row],[PHASE]],OFFSET(TaskTable[[#This Row],[MAIN PHASE]],-1,0))</f>
        <v>Dry Run</v>
      </c>
      <c r="G96" s="26" t="str">
        <f ca="1">IF(TaskTable[[#This Row],[WBS Level]]=3,TaskTable[[#This Row],[PHASE]],IF(TaskTable[[#This Row],[WBS Level]]&lt;3,"NONE",OFFSET(TaskTable[[#This Row],[SP-1]],-1,0)))</f>
        <v>Setup of Hardware and Connectivity</v>
      </c>
      <c r="H96" s="26" t="str">
        <f ca="1">IF(TaskTable[[#This Row],[WBS Level]]=4,TaskTable[[#This Row],[PHASE]],IF(TaskTable[[#This Row],[WBS Level]]&lt;4,"NONE",OFFSET(TaskTable[[#This Row],[SP-2]],-1,0)))</f>
        <v>Hypercare</v>
      </c>
      <c r="I96" s="26" t="str">
        <f ca="1">IF(TaskTable[[#This Row],[WBS Level]]=5,TaskTable[[#This Row],[PHASE]],IF(TaskTable[[#This Row],[WBS Level]]&lt;5,"NONE",OFFSET(TaskTable[[#This Row],[SP-3]],-1,0)))</f>
        <v>NONE</v>
      </c>
      <c r="J96" s="26" t="str">
        <f ca="1">IF(TaskTable[[#This Row],[WBS Level]]=6,TaskTable[[#This Row],[PHASE]],IF(TaskTable[[#This Row],[WBS Level]]&lt;6,"NONE",OFFSET(TaskTable[[#This Row],[SP-4]],-1,0)))</f>
        <v>NONE</v>
      </c>
      <c r="M96" s="20">
        <f>LEN(TaskTable[WBS])-LEN(SUBSTITUTE(TaskTable[WBS],".",""))+2</f>
        <v>4</v>
      </c>
      <c r="N96" s="22">
        <v>43962</v>
      </c>
      <c r="O96" s="22">
        <v>43977</v>
      </c>
      <c r="P96" s="20">
        <v>16</v>
      </c>
      <c r="Q96" s="20" t="s">
        <v>12</v>
      </c>
      <c r="R96" s="59">
        <f>IF(TaskTable[[#This Row],[STATUS]]="COMPLETE",1,"")</f>
        <v>1</v>
      </c>
      <c r="S96" s="66">
        <v>1</v>
      </c>
      <c r="T96" s="20">
        <v>12</v>
      </c>
    </row>
    <row r="97" spans="4:20" ht="43.2" x14ac:dyDescent="0.3">
      <c r="D97" s="24">
        <v>12</v>
      </c>
      <c r="E97" s="26" t="s">
        <v>147</v>
      </c>
      <c r="F97" s="62" t="str">
        <f ca="1">IF(TaskTable[[#This Row],[WBS Level]]=2,TaskTable[[#This Row],[PHASE]],OFFSET(TaskTable[[#This Row],[MAIN PHASE]],-1,0))</f>
        <v>Marketing Advertisements/Promotions</v>
      </c>
      <c r="G97" s="26" t="str">
        <f ca="1">IF(TaskTable[[#This Row],[WBS Level]]=3,TaskTable[[#This Row],[PHASE]],IF(TaskTable[[#This Row],[WBS Level]]&lt;3,"NONE",OFFSET(TaskTable[[#This Row],[SP-1]],-1,0)))</f>
        <v>NONE</v>
      </c>
      <c r="H97" s="26" t="str">
        <f ca="1">IF(TaskTable[[#This Row],[WBS Level]]=4,TaskTable[[#This Row],[PHASE]],IF(TaskTable[[#This Row],[WBS Level]]&lt;4,"NONE",OFFSET(TaskTable[[#This Row],[SP-2]],-1,0)))</f>
        <v>NONE</v>
      </c>
      <c r="I97" s="26" t="str">
        <f ca="1">IF(TaskTable[[#This Row],[WBS Level]]=5,TaskTable[[#This Row],[PHASE]],IF(TaskTable[[#This Row],[WBS Level]]&lt;5,"NONE",OFFSET(TaskTable[[#This Row],[SP-3]],-1,0)))</f>
        <v>NONE</v>
      </c>
      <c r="J97" s="26" t="str">
        <f ca="1">IF(TaskTable[[#This Row],[WBS Level]]=6,TaskTable[[#This Row],[PHASE]],IF(TaskTable[[#This Row],[WBS Level]]&lt;6,"NONE",OFFSET(TaskTable[[#This Row],[SP-4]],-1,0)))</f>
        <v>NONE</v>
      </c>
      <c r="K97" s="20" t="s">
        <v>148</v>
      </c>
      <c r="M97" s="20">
        <f>LEN(TaskTable[WBS])-LEN(SUBSTITUTE(TaskTable[WBS],".",""))+2</f>
        <v>2</v>
      </c>
      <c r="N97" s="22">
        <v>43979</v>
      </c>
      <c r="O97" s="22">
        <v>43980</v>
      </c>
      <c r="P97" s="20">
        <v>2</v>
      </c>
      <c r="Q97" s="20" t="s">
        <v>12</v>
      </c>
      <c r="R97" s="59">
        <f>IF(TaskTable[[#This Row],[STATUS]]="COMPLETE",1,"")</f>
        <v>1</v>
      </c>
      <c r="S97" s="66">
        <v>1</v>
      </c>
      <c r="T97" s="20">
        <v>2</v>
      </c>
    </row>
    <row r="98" spans="4:20" ht="43.2" x14ac:dyDescent="0.3">
      <c r="D98" s="25">
        <v>12.1</v>
      </c>
      <c r="E98" s="26" t="s">
        <v>149</v>
      </c>
      <c r="F98" s="62" t="str">
        <f ca="1">IF(TaskTable[[#This Row],[WBS Level]]=2,TaskTable[[#This Row],[PHASE]],OFFSET(TaskTable[[#This Row],[MAIN PHASE]],-1,0))</f>
        <v>Marketing Advertisements/Promotions</v>
      </c>
      <c r="G98" s="26" t="str">
        <f ca="1">IF(TaskTable[[#This Row],[WBS Level]]=3,TaskTable[[#This Row],[PHASE]],IF(TaskTable[[#This Row],[WBS Level]]&lt;3,"NONE",OFFSET(TaskTable[[#This Row],[SP-1]],-1,0)))</f>
        <v>Flyers</v>
      </c>
      <c r="H98" s="26" t="str">
        <f ca="1">IF(TaskTable[[#This Row],[WBS Level]]=4,TaskTable[[#This Row],[PHASE]],IF(TaskTable[[#This Row],[WBS Level]]&lt;4,"NONE",OFFSET(TaskTable[[#This Row],[SP-2]],-1,0)))</f>
        <v>NONE</v>
      </c>
      <c r="I98" s="26" t="str">
        <f ca="1">IF(TaskTable[[#This Row],[WBS Level]]=5,TaskTable[[#This Row],[PHASE]],IF(TaskTable[[#This Row],[WBS Level]]&lt;5,"NONE",OFFSET(TaskTable[[#This Row],[SP-3]],-1,0)))</f>
        <v>NONE</v>
      </c>
      <c r="J98" s="26" t="str">
        <f ca="1">IF(TaskTable[[#This Row],[WBS Level]]=6,TaskTable[[#This Row],[PHASE]],IF(TaskTable[[#This Row],[WBS Level]]&lt;6,"NONE",OFFSET(TaskTable[[#This Row],[SP-4]],-1,0)))</f>
        <v>NONE</v>
      </c>
      <c r="M98" s="20">
        <f>LEN(TaskTable[WBS])-LEN(SUBSTITUTE(TaskTable[WBS],".",""))+2</f>
        <v>3</v>
      </c>
      <c r="N98" s="22">
        <v>43979</v>
      </c>
      <c r="O98" s="22">
        <v>43980</v>
      </c>
      <c r="P98" s="20">
        <v>2</v>
      </c>
      <c r="Q98" s="20" t="s">
        <v>12</v>
      </c>
      <c r="R98" s="59">
        <f>IF(TaskTable[[#This Row],[STATUS]]="COMPLETE",1,"")</f>
        <v>1</v>
      </c>
      <c r="S98" s="66">
        <v>1</v>
      </c>
      <c r="T98" s="20">
        <v>2</v>
      </c>
    </row>
    <row r="99" spans="4:20" ht="43.2" x14ac:dyDescent="0.3">
      <c r="D99" s="24" t="s">
        <v>226</v>
      </c>
      <c r="E99" s="26" t="s">
        <v>150</v>
      </c>
      <c r="F99" s="62" t="str">
        <f ca="1">IF(TaskTable[[#This Row],[WBS Level]]=2,TaskTable[[#This Row],[PHASE]],OFFSET(TaskTable[[#This Row],[MAIN PHASE]],-1,0))</f>
        <v>Marketing Advertisements/Promotions</v>
      </c>
      <c r="G99" s="26" t="str">
        <f ca="1">IF(TaskTable[[#This Row],[WBS Level]]=3,TaskTable[[#This Row],[PHASE]],IF(TaskTable[[#This Row],[WBS Level]]&lt;3,"NONE",OFFSET(TaskTable[[#This Row],[SP-1]],-1,0)))</f>
        <v>Flyers</v>
      </c>
      <c r="H99" s="26" t="str">
        <f ca="1">IF(TaskTable[[#This Row],[WBS Level]]=4,TaskTable[[#This Row],[PHASE]],IF(TaskTable[[#This Row],[WBS Level]]&lt;4,"NONE",OFFSET(TaskTable[[#This Row],[SP-2]],-1,0)))</f>
        <v>Social Sites (Organique)</v>
      </c>
      <c r="I99" s="26" t="str">
        <f ca="1">IF(TaskTable[[#This Row],[WBS Level]]=5,TaskTable[[#This Row],[PHASE]],IF(TaskTable[[#This Row],[WBS Level]]&lt;5,"NONE",OFFSET(TaskTable[[#This Row],[SP-3]],-1,0)))</f>
        <v>NONE</v>
      </c>
      <c r="J99" s="26" t="str">
        <f ca="1">IF(TaskTable[[#This Row],[WBS Level]]=6,TaskTable[[#This Row],[PHASE]],IF(TaskTable[[#This Row],[WBS Level]]&lt;6,"NONE",OFFSET(TaskTable[[#This Row],[SP-4]],-1,0)))</f>
        <v>NONE</v>
      </c>
      <c r="M99" s="20">
        <f>LEN(TaskTable[WBS])-LEN(SUBSTITUTE(TaskTable[WBS],".",""))+2</f>
        <v>4</v>
      </c>
      <c r="N99" s="22">
        <v>43979</v>
      </c>
      <c r="O99" s="22">
        <v>43980</v>
      </c>
      <c r="P99" s="20">
        <v>2</v>
      </c>
      <c r="Q99" s="20" t="s">
        <v>12</v>
      </c>
      <c r="R99" s="59">
        <f>IF(TaskTable[[#This Row],[STATUS]]="COMPLETE",1,"")</f>
        <v>1</v>
      </c>
      <c r="S99" s="66">
        <v>1</v>
      </c>
      <c r="T99" s="20">
        <v>2</v>
      </c>
    </row>
    <row r="100" spans="4:20" ht="43.2" x14ac:dyDescent="0.3">
      <c r="D100" s="24" t="s">
        <v>227</v>
      </c>
      <c r="E100" s="26" t="s">
        <v>151</v>
      </c>
      <c r="F100" s="62" t="str">
        <f ca="1">IF(TaskTable[[#This Row],[WBS Level]]=2,TaskTable[[#This Row],[PHASE]],OFFSET(TaskTable[[#This Row],[MAIN PHASE]],-1,0))</f>
        <v>Marketing Advertisements/Promotions</v>
      </c>
      <c r="G100" s="26" t="str">
        <f ca="1">IF(TaskTable[[#This Row],[WBS Level]]=3,TaskTable[[#This Row],[PHASE]],IF(TaskTable[[#This Row],[WBS Level]]&lt;3,"NONE",OFFSET(TaskTable[[#This Row],[SP-1]],-1,0)))</f>
        <v>Flyers</v>
      </c>
      <c r="H100" s="26" t="str">
        <f ca="1">IF(TaskTable[[#This Row],[WBS Level]]=4,TaskTable[[#This Row],[PHASE]],IF(TaskTable[[#This Row],[WBS Level]]&lt;4,"NONE",OFFSET(TaskTable[[#This Row],[SP-2]],-1,0)))</f>
        <v>Freebies/GCs</v>
      </c>
      <c r="I100" s="26" t="str">
        <f ca="1">IF(TaskTable[[#This Row],[WBS Level]]=5,TaskTable[[#This Row],[PHASE]],IF(TaskTable[[#This Row],[WBS Level]]&lt;5,"NONE",OFFSET(TaskTable[[#This Row],[SP-3]],-1,0)))</f>
        <v>NONE</v>
      </c>
      <c r="J100" s="26" t="str">
        <f ca="1">IF(TaskTable[[#This Row],[WBS Level]]=6,TaskTable[[#This Row],[PHASE]],IF(TaskTable[[#This Row],[WBS Level]]&lt;6,"NONE",OFFSET(TaskTable[[#This Row],[SP-4]],-1,0)))</f>
        <v>NONE</v>
      </c>
      <c r="M100" s="20">
        <f>LEN(TaskTable[WBS])-LEN(SUBSTITUTE(TaskTable[WBS],".",""))+2</f>
        <v>4</v>
      </c>
      <c r="N100" s="22">
        <v>43979</v>
      </c>
      <c r="O100" s="22">
        <v>43980</v>
      </c>
      <c r="P100" s="20">
        <v>2</v>
      </c>
      <c r="Q100" s="20" t="s">
        <v>12</v>
      </c>
      <c r="R100" s="59">
        <f>IF(TaskTable[[#This Row],[STATUS]]="COMPLETE",1,"")</f>
        <v>1</v>
      </c>
      <c r="S100" s="66">
        <v>1</v>
      </c>
      <c r="T100" s="20">
        <v>2</v>
      </c>
    </row>
    <row r="101" spans="4:20" x14ac:dyDescent="0.3">
      <c r="D101" s="24">
        <v>13</v>
      </c>
      <c r="E101" s="26" t="s">
        <v>152</v>
      </c>
      <c r="F101" s="62" t="str">
        <f ca="1">IF(TaskTable[[#This Row],[WBS Level]]=2,TaskTable[[#This Row],[PHASE]],OFFSET(TaskTable[[#This Row],[MAIN PHASE]],-1,0))</f>
        <v xml:space="preserve">Go Live </v>
      </c>
      <c r="G101" s="26" t="str">
        <f ca="1">IF(TaskTable[[#This Row],[WBS Level]]=3,TaskTable[[#This Row],[PHASE]],IF(TaskTable[[#This Row],[WBS Level]]&lt;3,"NONE",OFFSET(TaskTable[[#This Row],[SP-1]],-1,0)))</f>
        <v>NONE</v>
      </c>
      <c r="H101" s="26" t="str">
        <f ca="1">IF(TaskTable[[#This Row],[WBS Level]]=4,TaskTable[[#This Row],[PHASE]],IF(TaskTable[[#This Row],[WBS Level]]&lt;4,"NONE",OFFSET(TaskTable[[#This Row],[SP-2]],-1,0)))</f>
        <v>NONE</v>
      </c>
      <c r="I101" s="26" t="str">
        <f ca="1">IF(TaskTable[[#This Row],[WBS Level]]=5,TaskTable[[#This Row],[PHASE]],IF(TaskTable[[#This Row],[WBS Level]]&lt;5,"NONE",OFFSET(TaskTable[[#This Row],[SP-3]],-1,0)))</f>
        <v>NONE</v>
      </c>
      <c r="J101" s="26" t="str">
        <f ca="1">IF(TaskTable[[#This Row],[WBS Level]]=6,TaskTable[[#This Row],[PHASE]],IF(TaskTable[[#This Row],[WBS Level]]&lt;6,"NONE",OFFSET(TaskTable[[#This Row],[SP-4]],-1,0)))</f>
        <v>NONE</v>
      </c>
      <c r="K101" s="20" t="s">
        <v>153</v>
      </c>
      <c r="M101" s="20">
        <f>LEN(TaskTable[WBS])-LEN(SUBSTITUTE(TaskTable[WBS],".",""))+2</f>
        <v>2</v>
      </c>
      <c r="N101" s="22">
        <v>43966</v>
      </c>
      <c r="O101" s="22">
        <v>44172</v>
      </c>
      <c r="P101" s="20">
        <v>147</v>
      </c>
      <c r="Q101" s="20"/>
      <c r="R101" s="59" t="str">
        <f>IF(TaskTable[[#This Row],[STATUS]]="COMPLETE",1,"")</f>
        <v/>
      </c>
      <c r="S101" s="66">
        <v>1</v>
      </c>
      <c r="T101" s="20">
        <v>147</v>
      </c>
    </row>
    <row r="102" spans="4:20" x14ac:dyDescent="0.3">
      <c r="D102" s="24">
        <v>13.1</v>
      </c>
      <c r="F102" s="62" t="str">
        <f ca="1">IF(TaskTable[[#This Row],[WBS Level]]=2,TaskTable[[#This Row],[PHASE]],OFFSET(TaskTable[[#This Row],[MAIN PHASE]],-1,0))</f>
        <v xml:space="preserve">Go Live </v>
      </c>
      <c r="G102" s="26">
        <f ca="1">IF(TaskTable[[#This Row],[WBS Level]]=3,TaskTable[[#This Row],[PHASE]],IF(TaskTable[[#This Row],[WBS Level]]&lt;3,"NONE",OFFSET(TaskTable[[#This Row],[SP-1]],-1,0)))</f>
        <v>0</v>
      </c>
      <c r="H102" s="26" t="str">
        <f ca="1">IF(TaskTable[[#This Row],[WBS Level]]=4,TaskTable[[#This Row],[PHASE]],IF(TaskTable[[#This Row],[WBS Level]]&lt;4,"NONE",OFFSET(TaskTable[[#This Row],[SP-2]],-1,0)))</f>
        <v>NONE</v>
      </c>
      <c r="I102" s="26" t="str">
        <f ca="1">IF(TaskTable[[#This Row],[WBS Level]]=5,TaskTable[[#This Row],[PHASE]],IF(TaskTable[[#This Row],[WBS Level]]&lt;5,"NONE",OFFSET(TaskTable[[#This Row],[SP-3]],-1,0)))</f>
        <v>NONE</v>
      </c>
      <c r="J102" s="26" t="str">
        <f ca="1">IF(TaskTable[[#This Row],[WBS Level]]=6,TaskTable[[#This Row],[PHASE]],IF(TaskTable[[#This Row],[WBS Level]]&lt;6,"NONE",OFFSET(TaskTable[[#This Row],[SP-4]],-1,0)))</f>
        <v>NONE</v>
      </c>
      <c r="M102" s="20">
        <f>LEN(TaskTable[WBS])-LEN(SUBSTITUTE(TaskTable[WBS],".",""))+2</f>
        <v>3</v>
      </c>
      <c r="N102" s="22"/>
      <c r="O102" s="22"/>
      <c r="P102" s="20"/>
      <c r="Q102" s="20"/>
      <c r="R102" s="59" t="str">
        <f>IF(TaskTable[[#This Row],[STATUS]]="COMPLETE",1,"")</f>
        <v/>
      </c>
      <c r="S102" s="66"/>
      <c r="T102" s="20"/>
    </row>
    <row r="103" spans="4:20" x14ac:dyDescent="0.3">
      <c r="D103" s="24">
        <v>13.2</v>
      </c>
      <c r="F103" s="62" t="str">
        <f ca="1">IF(TaskTable[[#This Row],[WBS Level]]=2,TaskTable[[#This Row],[PHASE]],OFFSET(TaskTable[[#This Row],[MAIN PHASE]],-1,0))</f>
        <v xml:space="preserve">Go Live </v>
      </c>
      <c r="G103" s="122">
        <f ca="1">IF(TaskTable[[#This Row],[WBS Level]]=3,TaskTable[[#This Row],[PHASE]],IF(TaskTable[[#This Row],[WBS Level]]&lt;3,"NONE",OFFSET(TaskTable[[#This Row],[SP-1]],-1,0)))</f>
        <v>0</v>
      </c>
      <c r="H103" s="122" t="str">
        <f ca="1">IF(TaskTable[[#This Row],[WBS Level]]=4,TaskTable[[#This Row],[PHASE]],IF(TaskTable[[#This Row],[WBS Level]]&lt;4,"NONE",OFFSET(TaskTable[[#This Row],[SP-2]],-1,0)))</f>
        <v>NONE</v>
      </c>
      <c r="I103" s="122" t="str">
        <f ca="1">IF(TaskTable[[#This Row],[WBS Level]]=5,TaskTable[[#This Row],[PHASE]],IF(TaskTable[[#This Row],[WBS Level]]&lt;5,"NONE",OFFSET(TaskTable[[#This Row],[SP-3]],-1,0)))</f>
        <v>NONE</v>
      </c>
      <c r="J103" s="122" t="str">
        <f ca="1">IF(TaskTable[[#This Row],[WBS Level]]=6,TaskTable[[#This Row],[PHASE]],IF(TaskTable[[#This Row],[WBS Level]]&lt;6,"NONE",OFFSET(TaskTable[[#This Row],[SP-4]],-1,0)))</f>
        <v>NONE</v>
      </c>
      <c r="M103" s="123">
        <f>LEN(TaskTable[WBS])-LEN(SUBSTITUTE(TaskTable[WBS],".",""))+2</f>
        <v>3</v>
      </c>
      <c r="N103" s="22"/>
      <c r="O103" s="22"/>
      <c r="P103" s="20"/>
      <c r="Q103" s="20"/>
      <c r="R103" s="59" t="str">
        <f>IF(TaskTable[[#This Row],[STATUS]]="COMPLETE",1,"")</f>
        <v/>
      </c>
      <c r="S103" s="66"/>
      <c r="T103" s="20"/>
    </row>
  </sheetData>
  <mergeCells count="8">
    <mergeCell ref="V1:X1"/>
    <mergeCell ref="Z1:AB1"/>
    <mergeCell ref="AD1:AH1"/>
    <mergeCell ref="AP2:AP3"/>
    <mergeCell ref="AL2:AL3"/>
    <mergeCell ref="AM2:AM3"/>
    <mergeCell ref="AN2:AN3"/>
    <mergeCell ref="AO2:AO3"/>
  </mergeCells>
  <phoneticPr fontId="29" type="noConversion"/>
  <pageMargins left="0.7" right="0.7" top="0.75" bottom="0.75" header="0.3" footer="0.3"/>
  <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B1:O31"/>
  <sheetViews>
    <sheetView zoomScale="70" zoomScaleNormal="70" workbookViewId="0">
      <selection activeCell="F16" sqref="F16"/>
    </sheetView>
  </sheetViews>
  <sheetFormatPr defaultColWidth="9.109375" defaultRowHeight="14.4" x14ac:dyDescent="0.3"/>
  <cols>
    <col min="1" max="1" width="9.109375" style="20"/>
    <col min="2" max="2" width="23.33203125" style="26" customWidth="1"/>
    <col min="3" max="3" width="14" style="20" customWidth="1"/>
    <col min="4" max="4" width="34.44140625" style="26" customWidth="1"/>
    <col min="5" max="5" width="0.88671875" style="20" customWidth="1"/>
    <col min="6" max="7" width="53.33203125" style="120" customWidth="1"/>
    <col min="8" max="8" width="14" style="20" bestFit="1" customWidth="1"/>
    <col min="9" max="9" width="57.5546875" style="120" customWidth="1"/>
    <col min="10" max="10" width="20" style="20" customWidth="1"/>
    <col min="11" max="11" width="21" style="20" customWidth="1"/>
    <col min="12" max="13" width="15.44140625" style="20" customWidth="1"/>
    <col min="14" max="14" width="10.44140625" style="20" customWidth="1"/>
    <col min="15" max="15" width="30.44140625" style="20" customWidth="1"/>
    <col min="16" max="16" width="23.33203125" style="20" customWidth="1"/>
    <col min="17" max="16384" width="9.109375" style="20"/>
  </cols>
  <sheetData>
    <row r="1" spans="2:15" ht="25.95" customHeight="1" x14ac:dyDescent="0.3"/>
    <row r="2" spans="2:15" x14ac:dyDescent="0.3">
      <c r="B2" s="255" t="s">
        <v>286</v>
      </c>
      <c r="C2" s="252" t="s">
        <v>287</v>
      </c>
      <c r="D2" s="255" t="s">
        <v>288</v>
      </c>
      <c r="F2" s="255" t="s">
        <v>289</v>
      </c>
      <c r="G2" s="255" t="s">
        <v>290</v>
      </c>
      <c r="H2" s="252" t="s">
        <v>291</v>
      </c>
      <c r="I2" s="255" t="s">
        <v>292</v>
      </c>
      <c r="J2" s="255" t="s">
        <v>293</v>
      </c>
      <c r="K2" s="252" t="s">
        <v>294</v>
      </c>
      <c r="L2" s="252" t="s">
        <v>295</v>
      </c>
      <c r="M2" s="252" t="s">
        <v>296</v>
      </c>
      <c r="N2" s="252" t="s">
        <v>269</v>
      </c>
      <c r="O2" s="258" t="s">
        <v>297</v>
      </c>
    </row>
    <row r="3" spans="2:15" x14ac:dyDescent="0.3">
      <c r="B3" s="256"/>
      <c r="C3" s="253"/>
      <c r="D3" s="256"/>
      <c r="F3" s="256"/>
      <c r="G3" s="256"/>
      <c r="H3" s="253"/>
      <c r="I3" s="256"/>
      <c r="J3" s="253"/>
      <c r="K3" s="253"/>
      <c r="L3" s="253"/>
      <c r="M3" s="253"/>
      <c r="N3" s="253"/>
      <c r="O3" s="259"/>
    </row>
    <row r="4" spans="2:15" x14ac:dyDescent="0.3">
      <c r="B4" s="257"/>
      <c r="C4" s="254"/>
      <c r="D4" s="257"/>
      <c r="F4" s="257"/>
      <c r="G4" s="257"/>
      <c r="H4" s="254"/>
      <c r="I4" s="257"/>
      <c r="J4" s="254"/>
      <c r="K4" s="254"/>
      <c r="L4" s="254"/>
      <c r="M4" s="254"/>
      <c r="N4" s="254"/>
      <c r="O4" s="259"/>
    </row>
    <row r="27" spans="6:9" x14ac:dyDescent="0.3">
      <c r="I27" s="162"/>
    </row>
    <row r="31" spans="6:9" x14ac:dyDescent="0.3">
      <c r="F31" s="162"/>
      <c r="G31" s="162"/>
    </row>
  </sheetData>
  <mergeCells count="13">
    <mergeCell ref="O2:O4"/>
    <mergeCell ref="I2:I4"/>
    <mergeCell ref="J2:J4"/>
    <mergeCell ref="K2:K4"/>
    <mergeCell ref="L2:L4"/>
    <mergeCell ref="M2:M4"/>
    <mergeCell ref="N2:N4"/>
    <mergeCell ref="H2:H4"/>
    <mergeCell ref="B2:B4"/>
    <mergeCell ref="C2:C4"/>
    <mergeCell ref="D2:D4"/>
    <mergeCell ref="F2:F4"/>
    <mergeCell ref="G2:G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K155"/>
  <sheetViews>
    <sheetView workbookViewId="0">
      <selection activeCell="L1" sqref="L1:XFD1048576"/>
    </sheetView>
  </sheetViews>
  <sheetFormatPr defaultColWidth="0" defaultRowHeight="14.4" x14ac:dyDescent="0.3"/>
  <cols>
    <col min="1" max="1" width="4.6640625" customWidth="1"/>
    <col min="2" max="2" width="22" style="114" customWidth="1"/>
    <col min="3" max="3" width="24.5546875" bestFit="1" customWidth="1"/>
    <col min="4" max="4" width="17.33203125" style="20" bestFit="1" customWidth="1"/>
    <col min="5" max="5" width="17.33203125" bestFit="1" customWidth="1"/>
    <col min="6" max="6" width="8.6640625" bestFit="1" customWidth="1"/>
    <col min="7" max="7" width="8.88671875" style="20" bestFit="1" customWidth="1"/>
    <col min="8" max="8" width="11.88671875" bestFit="1" customWidth="1"/>
    <col min="9" max="9" width="20.44140625" bestFit="1" customWidth="1"/>
    <col min="10" max="10" width="16.109375" bestFit="1" customWidth="1"/>
    <col min="11" max="11" width="4.33203125" customWidth="1"/>
    <col min="12" max="16384" width="9.109375" hidden="1"/>
  </cols>
  <sheetData>
    <row r="1" spans="2:10" ht="22.2" customHeight="1" x14ac:dyDescent="0.3"/>
    <row r="2" spans="2:10" x14ac:dyDescent="0.3">
      <c r="B2" s="260" t="s">
        <v>264</v>
      </c>
      <c r="C2" s="252" t="s">
        <v>265</v>
      </c>
      <c r="D2" s="252" t="s">
        <v>266</v>
      </c>
      <c r="E2" s="252" t="s">
        <v>267</v>
      </c>
      <c r="F2" s="252" t="s">
        <v>268</v>
      </c>
      <c r="G2" s="252" t="s">
        <v>269</v>
      </c>
      <c r="H2" s="252" t="s">
        <v>270</v>
      </c>
      <c r="I2" s="252" t="s">
        <v>271</v>
      </c>
      <c r="J2" s="252" t="s">
        <v>272</v>
      </c>
    </row>
    <row r="3" spans="2:10" x14ac:dyDescent="0.3">
      <c r="B3" s="261"/>
      <c r="C3" s="253"/>
      <c r="D3" s="253"/>
      <c r="E3" s="253"/>
      <c r="F3" s="253"/>
      <c r="G3" s="253"/>
      <c r="H3" s="253"/>
      <c r="I3" s="253"/>
      <c r="J3" s="253"/>
    </row>
    <row r="4" spans="2:10" x14ac:dyDescent="0.3">
      <c r="B4" s="262"/>
      <c r="C4" s="254"/>
      <c r="D4" s="254"/>
      <c r="E4" s="254"/>
      <c r="F4" s="254"/>
      <c r="G4" s="254"/>
      <c r="H4" s="254"/>
      <c r="I4" s="254"/>
      <c r="J4" s="254"/>
    </row>
    <row r="5" spans="2:10" x14ac:dyDescent="0.3">
      <c r="B5" s="109"/>
      <c r="C5" s="110"/>
      <c r="D5" s="111"/>
      <c r="E5" s="111"/>
      <c r="F5" s="109"/>
      <c r="G5" s="112"/>
      <c r="H5" s="109"/>
      <c r="I5" s="113"/>
      <c r="J5" s="109"/>
    </row>
    <row r="6" spans="2:10" x14ac:dyDescent="0.3">
      <c r="B6" s="113"/>
      <c r="C6" s="110"/>
      <c r="D6" s="111"/>
      <c r="E6" s="111"/>
      <c r="F6" s="109"/>
      <c r="G6" s="112"/>
      <c r="H6" s="109"/>
      <c r="I6" s="113"/>
      <c r="J6" s="113"/>
    </row>
    <row r="7" spans="2:10" x14ac:dyDescent="0.3">
      <c r="B7" s="113"/>
      <c r="C7" s="110"/>
      <c r="D7" s="111"/>
      <c r="E7" s="111"/>
      <c r="F7" s="109"/>
      <c r="G7" s="112"/>
      <c r="H7" s="109"/>
      <c r="I7" s="113"/>
      <c r="J7" s="113"/>
    </row>
    <row r="8" spans="2:10" x14ac:dyDescent="0.3">
      <c r="B8" s="113"/>
      <c r="C8" s="110"/>
      <c r="D8" s="111"/>
      <c r="E8" s="111"/>
      <c r="F8" s="109"/>
      <c r="G8" s="112"/>
      <c r="H8" s="109"/>
      <c r="I8" s="113"/>
      <c r="J8" s="113"/>
    </row>
    <row r="9" spans="2:10" x14ac:dyDescent="0.3">
      <c r="B9" s="109"/>
      <c r="C9" s="110"/>
      <c r="D9" s="111"/>
      <c r="E9" s="111"/>
      <c r="F9" s="109"/>
      <c r="G9" s="112"/>
      <c r="H9" s="109"/>
      <c r="I9" s="109"/>
      <c r="J9" s="109"/>
    </row>
    <row r="10" spans="2:10" x14ac:dyDescent="0.3">
      <c r="B10" s="109"/>
      <c r="C10" s="110"/>
      <c r="D10" s="111"/>
      <c r="E10" s="111"/>
      <c r="F10" s="109"/>
      <c r="G10" s="112"/>
      <c r="H10" s="109"/>
      <c r="I10" s="109"/>
      <c r="J10" s="109"/>
    </row>
    <row r="11" spans="2:10" x14ac:dyDescent="0.3">
      <c r="B11" s="109"/>
      <c r="C11" s="110"/>
      <c r="D11" s="111"/>
      <c r="E11" s="111"/>
      <c r="F11" s="109"/>
      <c r="G11" s="112"/>
      <c r="H11" s="109"/>
      <c r="I11" s="109"/>
      <c r="J11" s="109"/>
    </row>
    <row r="12" spans="2:10" x14ac:dyDescent="0.3">
      <c r="B12" s="109"/>
      <c r="C12" s="110"/>
      <c r="D12" s="111"/>
      <c r="E12" s="111"/>
      <c r="F12" s="109"/>
      <c r="G12" s="112"/>
      <c r="H12" s="109"/>
      <c r="I12" s="109"/>
      <c r="J12" s="109"/>
    </row>
    <row r="13" spans="2:10" x14ac:dyDescent="0.3">
      <c r="B13" s="109"/>
      <c r="C13" s="110"/>
      <c r="D13" s="111"/>
      <c r="E13" s="111"/>
      <c r="F13" s="109"/>
      <c r="G13" s="112"/>
      <c r="H13" s="109"/>
      <c r="I13" s="109"/>
      <c r="J13" s="109"/>
    </row>
    <row r="14" spans="2:10" x14ac:dyDescent="0.3">
      <c r="B14" s="109"/>
      <c r="C14" s="110"/>
      <c r="D14" s="111"/>
      <c r="E14" s="111"/>
      <c r="F14" s="109"/>
      <c r="G14" s="112"/>
      <c r="H14" s="109"/>
      <c r="I14" s="109"/>
      <c r="J14" s="109"/>
    </row>
    <row r="15" spans="2:10" x14ac:dyDescent="0.3">
      <c r="B15" s="109"/>
      <c r="C15" s="110"/>
      <c r="D15" s="111"/>
      <c r="E15" s="111"/>
      <c r="F15" s="109"/>
      <c r="G15" s="112"/>
      <c r="H15" s="109"/>
      <c r="I15" s="109"/>
      <c r="J15" s="109"/>
    </row>
    <row r="16" spans="2:10" x14ac:dyDescent="0.3">
      <c r="B16" s="109"/>
      <c r="C16" s="110"/>
      <c r="D16" s="111"/>
      <c r="E16" s="111"/>
      <c r="F16" s="109"/>
      <c r="G16" s="112"/>
      <c r="H16" s="109"/>
      <c r="I16" s="109"/>
      <c r="J16" s="109"/>
    </row>
    <row r="17" spans="2:10" x14ac:dyDescent="0.3">
      <c r="B17" s="109"/>
      <c r="C17" s="110"/>
      <c r="D17" s="111"/>
      <c r="E17" s="111"/>
      <c r="F17" s="109"/>
      <c r="G17" s="112"/>
      <c r="H17" s="109"/>
      <c r="I17" s="109"/>
      <c r="J17" s="109"/>
    </row>
    <row r="18" spans="2:10" x14ac:dyDescent="0.3">
      <c r="B18" s="109"/>
      <c r="C18" s="110"/>
      <c r="D18" s="111"/>
      <c r="E18" s="111"/>
      <c r="F18" s="109"/>
      <c r="G18" s="112"/>
      <c r="H18" s="109"/>
      <c r="I18" s="109"/>
      <c r="J18" s="109"/>
    </row>
    <row r="19" spans="2:10" x14ac:dyDescent="0.3">
      <c r="B19" s="109"/>
      <c r="C19" s="110"/>
      <c r="D19" s="111"/>
      <c r="E19" s="111"/>
      <c r="F19" s="109"/>
      <c r="G19" s="112"/>
      <c r="H19" s="109"/>
      <c r="I19" s="109"/>
      <c r="J19" s="109"/>
    </row>
    <row r="20" spans="2:10" x14ac:dyDescent="0.3">
      <c r="B20" s="109"/>
      <c r="C20" s="110"/>
      <c r="D20" s="111"/>
      <c r="E20" s="111"/>
      <c r="F20" s="109"/>
      <c r="G20" s="112"/>
      <c r="H20" s="109"/>
      <c r="I20" s="109"/>
      <c r="J20" s="109"/>
    </row>
    <row r="21" spans="2:10" x14ac:dyDescent="0.3">
      <c r="B21" s="109"/>
      <c r="C21" s="110"/>
      <c r="D21" s="111"/>
      <c r="E21" s="111"/>
      <c r="F21" s="109"/>
      <c r="G21" s="112"/>
      <c r="H21" s="109"/>
      <c r="I21" s="109"/>
      <c r="J21" s="109"/>
    </row>
    <row r="22" spans="2:10" x14ac:dyDescent="0.3">
      <c r="B22" s="109"/>
      <c r="C22" s="110"/>
      <c r="D22" s="111"/>
      <c r="E22" s="111"/>
      <c r="F22" s="109"/>
      <c r="G22" s="112"/>
      <c r="H22" s="109"/>
      <c r="I22" s="109"/>
      <c r="J22" s="109"/>
    </row>
    <row r="23" spans="2:10" x14ac:dyDescent="0.3">
      <c r="B23" s="109"/>
      <c r="C23" s="110"/>
      <c r="D23" s="111"/>
      <c r="E23" s="111"/>
      <c r="F23" s="109"/>
      <c r="G23" s="112"/>
      <c r="H23" s="109"/>
      <c r="I23" s="109"/>
      <c r="J23" s="109"/>
    </row>
    <row r="24" spans="2:10" x14ac:dyDescent="0.3">
      <c r="B24" s="109"/>
      <c r="C24" s="110"/>
      <c r="D24" s="111"/>
      <c r="E24" s="111"/>
      <c r="F24" s="109"/>
      <c r="G24" s="112"/>
      <c r="H24" s="109"/>
      <c r="I24" s="109"/>
      <c r="J24" s="109"/>
    </row>
    <row r="25" spans="2:10" x14ac:dyDescent="0.3">
      <c r="B25" s="109"/>
      <c r="C25" s="110"/>
      <c r="D25" s="111"/>
      <c r="E25" s="111"/>
      <c r="F25" s="109"/>
      <c r="G25" s="112"/>
      <c r="H25" s="109"/>
      <c r="I25" s="109"/>
      <c r="J25" s="109"/>
    </row>
    <row r="26" spans="2:10" x14ac:dyDescent="0.3">
      <c r="B26" s="109"/>
      <c r="C26" s="110"/>
      <c r="D26" s="111"/>
      <c r="E26" s="111"/>
      <c r="F26" s="109"/>
      <c r="G26" s="112"/>
      <c r="H26" s="109"/>
      <c r="I26" s="109"/>
      <c r="J26" s="109"/>
    </row>
    <row r="27" spans="2:10" x14ac:dyDescent="0.3">
      <c r="B27" s="109"/>
      <c r="C27" s="110"/>
      <c r="D27" s="111"/>
      <c r="E27" s="111"/>
      <c r="F27" s="109"/>
      <c r="G27" s="112"/>
      <c r="H27" s="109"/>
      <c r="I27" s="109"/>
      <c r="J27" s="109"/>
    </row>
    <row r="28" spans="2:10" x14ac:dyDescent="0.3">
      <c r="B28" s="109"/>
      <c r="C28" s="110"/>
      <c r="D28" s="111"/>
      <c r="E28" s="111"/>
      <c r="F28" s="109"/>
      <c r="G28" s="112"/>
      <c r="H28" s="109"/>
      <c r="I28" s="109"/>
      <c r="J28" s="109"/>
    </row>
    <row r="29" spans="2:10" x14ac:dyDescent="0.3">
      <c r="B29" s="109"/>
      <c r="C29" s="110"/>
      <c r="D29" s="111"/>
      <c r="E29" s="111"/>
      <c r="F29" s="109"/>
      <c r="G29" s="112"/>
      <c r="H29" s="109"/>
      <c r="I29" s="109"/>
      <c r="J29" s="109"/>
    </row>
    <row r="30" spans="2:10" x14ac:dyDescent="0.3">
      <c r="B30" s="109"/>
      <c r="C30" s="110"/>
      <c r="D30" s="111"/>
      <c r="E30" s="111"/>
      <c r="F30" s="109"/>
      <c r="G30" s="112"/>
      <c r="H30" s="109"/>
      <c r="I30" s="109"/>
      <c r="J30" s="109"/>
    </row>
    <row r="31" spans="2:10" x14ac:dyDescent="0.3">
      <c r="B31" s="109"/>
      <c r="C31" s="110"/>
      <c r="D31" s="111"/>
      <c r="E31" s="111"/>
      <c r="F31" s="109"/>
      <c r="G31" s="112"/>
      <c r="H31" s="109"/>
      <c r="I31" s="109"/>
      <c r="J31" s="109"/>
    </row>
    <row r="32" spans="2:10" x14ac:dyDescent="0.3">
      <c r="B32" s="109"/>
      <c r="C32" s="110"/>
      <c r="D32" s="111"/>
      <c r="E32" s="111"/>
      <c r="F32" s="109"/>
      <c r="G32" s="112"/>
      <c r="H32" s="109"/>
      <c r="I32" s="109"/>
      <c r="J32" s="109"/>
    </row>
    <row r="33" spans="2:10" x14ac:dyDescent="0.3">
      <c r="B33" s="109"/>
      <c r="C33" s="110"/>
      <c r="D33" s="111"/>
      <c r="E33" s="111"/>
      <c r="F33" s="109"/>
      <c r="G33" s="112"/>
      <c r="H33" s="109"/>
      <c r="I33" s="109"/>
      <c r="J33" s="109"/>
    </row>
    <row r="34" spans="2:10" x14ac:dyDescent="0.3">
      <c r="B34" s="109"/>
      <c r="C34" s="110"/>
      <c r="D34" s="111"/>
      <c r="E34" s="111"/>
      <c r="F34" s="109"/>
      <c r="G34" s="112"/>
      <c r="H34" s="109"/>
      <c r="I34" s="109"/>
      <c r="J34" s="109"/>
    </row>
    <row r="35" spans="2:10" x14ac:dyDescent="0.3">
      <c r="B35" s="109"/>
      <c r="C35" s="110"/>
      <c r="D35" s="111"/>
      <c r="E35" s="111"/>
      <c r="F35" s="109"/>
      <c r="G35" s="112"/>
      <c r="H35" s="109"/>
      <c r="I35" s="109"/>
      <c r="J35" s="109"/>
    </row>
    <row r="36" spans="2:10" x14ac:dyDescent="0.3">
      <c r="B36" s="109"/>
      <c r="C36" s="110"/>
      <c r="D36" s="111"/>
      <c r="E36" s="111"/>
      <c r="F36" s="109"/>
      <c r="G36" s="112"/>
      <c r="H36" s="109"/>
      <c r="I36" s="109"/>
      <c r="J36" s="109"/>
    </row>
    <row r="37" spans="2:10" x14ac:dyDescent="0.3">
      <c r="B37" s="109"/>
      <c r="C37" s="110"/>
      <c r="D37" s="111"/>
      <c r="E37" s="111"/>
      <c r="F37" s="109"/>
      <c r="G37" s="112"/>
      <c r="H37" s="109"/>
      <c r="I37" s="109"/>
      <c r="J37" s="109"/>
    </row>
    <row r="38" spans="2:10" x14ac:dyDescent="0.3">
      <c r="B38" s="109"/>
      <c r="C38" s="110"/>
      <c r="D38" s="111"/>
      <c r="E38" s="111"/>
      <c r="F38" s="109"/>
      <c r="G38" s="112"/>
      <c r="H38" s="109"/>
      <c r="I38" s="109"/>
      <c r="J38" s="109"/>
    </row>
    <row r="39" spans="2:10" x14ac:dyDescent="0.3">
      <c r="B39" s="109"/>
      <c r="C39" s="110"/>
      <c r="D39" s="111"/>
      <c r="E39" s="111"/>
      <c r="F39" s="109"/>
      <c r="G39" s="112"/>
      <c r="H39" s="109"/>
      <c r="I39" s="109"/>
      <c r="J39" s="109"/>
    </row>
    <row r="40" spans="2:10" x14ac:dyDescent="0.3">
      <c r="B40" s="109"/>
      <c r="C40" s="110"/>
      <c r="D40" s="111"/>
      <c r="E40" s="111"/>
      <c r="F40" s="109"/>
      <c r="G40" s="112"/>
      <c r="H40" s="109"/>
      <c r="I40" s="109"/>
      <c r="J40" s="109"/>
    </row>
    <row r="41" spans="2:10" x14ac:dyDescent="0.3">
      <c r="B41" s="109"/>
      <c r="C41" s="110"/>
      <c r="D41" s="111"/>
      <c r="E41" s="111"/>
      <c r="F41" s="109"/>
      <c r="G41" s="112"/>
      <c r="H41" s="109"/>
      <c r="I41" s="109"/>
      <c r="J41" s="109"/>
    </row>
    <row r="42" spans="2:10" x14ac:dyDescent="0.3">
      <c r="B42" s="109"/>
      <c r="C42" s="110"/>
      <c r="D42" s="111"/>
      <c r="E42" s="111"/>
      <c r="F42" s="109"/>
      <c r="G42" s="112"/>
      <c r="H42" s="109"/>
      <c r="I42" s="109"/>
      <c r="J42" s="109"/>
    </row>
    <row r="43" spans="2:10" x14ac:dyDescent="0.3">
      <c r="B43" s="109"/>
      <c r="C43" s="110"/>
      <c r="D43" s="111"/>
      <c r="E43" s="111"/>
      <c r="F43" s="109"/>
      <c r="G43" s="112"/>
      <c r="H43" s="109"/>
      <c r="I43" s="109"/>
      <c r="J43" s="109"/>
    </row>
    <row r="44" spans="2:10" x14ac:dyDescent="0.3">
      <c r="B44" s="109"/>
      <c r="C44" s="110"/>
      <c r="D44" s="111"/>
      <c r="E44" s="111"/>
      <c r="F44" s="109"/>
      <c r="G44" s="112"/>
      <c r="H44" s="109"/>
      <c r="I44" s="109"/>
      <c r="J44" s="109"/>
    </row>
    <row r="45" spans="2:10" x14ac:dyDescent="0.3">
      <c r="B45" s="109"/>
      <c r="C45" s="110"/>
      <c r="D45" s="111"/>
      <c r="E45" s="111"/>
      <c r="F45" s="109"/>
      <c r="G45" s="112"/>
      <c r="H45" s="109"/>
      <c r="I45" s="109"/>
      <c r="J45" s="109"/>
    </row>
    <row r="46" spans="2:10" x14ac:dyDescent="0.3">
      <c r="B46" s="109"/>
      <c r="C46" s="110"/>
      <c r="D46" s="111"/>
      <c r="E46" s="111"/>
      <c r="F46" s="109"/>
      <c r="G46" s="112"/>
      <c r="H46" s="109"/>
      <c r="I46" s="109"/>
      <c r="J46" s="109"/>
    </row>
    <row r="47" spans="2:10" x14ac:dyDescent="0.3">
      <c r="B47" s="109"/>
      <c r="C47" s="110"/>
      <c r="D47" s="111"/>
      <c r="E47" s="111"/>
      <c r="F47" s="109"/>
      <c r="G47" s="112"/>
      <c r="H47" s="109"/>
      <c r="I47" s="109"/>
      <c r="J47" s="109"/>
    </row>
    <row r="48" spans="2:10" x14ac:dyDescent="0.3">
      <c r="B48" s="109"/>
      <c r="C48" s="110"/>
      <c r="D48" s="111"/>
      <c r="E48" s="111"/>
      <c r="F48" s="109"/>
      <c r="G48" s="112"/>
      <c r="H48" s="109"/>
      <c r="I48" s="109"/>
      <c r="J48" s="109"/>
    </row>
    <row r="49" spans="2:10" x14ac:dyDescent="0.3">
      <c r="B49" s="109"/>
      <c r="C49" s="110"/>
      <c r="D49" s="111"/>
      <c r="E49" s="111"/>
      <c r="F49" s="109"/>
      <c r="G49" s="112"/>
      <c r="H49" s="109"/>
      <c r="I49" s="109"/>
      <c r="J49" s="109"/>
    </row>
    <row r="50" spans="2:10" x14ac:dyDescent="0.3">
      <c r="B50" s="109"/>
      <c r="C50" s="110"/>
      <c r="D50" s="111"/>
      <c r="E50" s="111"/>
      <c r="F50" s="109"/>
      <c r="G50" s="112"/>
      <c r="H50" s="109"/>
      <c r="I50" s="109"/>
      <c r="J50" s="109"/>
    </row>
    <row r="51" spans="2:10" x14ac:dyDescent="0.3">
      <c r="B51" s="109"/>
      <c r="C51" s="110"/>
      <c r="D51" s="111"/>
      <c r="E51" s="111"/>
      <c r="F51" s="109"/>
      <c r="G51" s="112"/>
      <c r="H51" s="109"/>
      <c r="I51" s="109"/>
      <c r="J51" s="109"/>
    </row>
    <row r="52" spans="2:10" x14ac:dyDescent="0.3">
      <c r="B52" s="109"/>
      <c r="C52" s="110"/>
      <c r="D52" s="111"/>
      <c r="E52" s="111"/>
      <c r="F52" s="109"/>
      <c r="G52" s="112"/>
      <c r="H52" s="109"/>
      <c r="I52" s="109"/>
      <c r="J52" s="109"/>
    </row>
    <row r="53" spans="2:10" x14ac:dyDescent="0.3">
      <c r="B53" s="109"/>
      <c r="C53" s="110"/>
      <c r="D53" s="111"/>
      <c r="E53" s="111"/>
      <c r="F53" s="109"/>
      <c r="G53" s="112"/>
      <c r="H53" s="109"/>
      <c r="I53" s="109"/>
      <c r="J53" s="109"/>
    </row>
    <row r="54" spans="2:10" x14ac:dyDescent="0.3">
      <c r="B54" s="109"/>
      <c r="C54" s="110"/>
      <c r="D54" s="111"/>
      <c r="E54" s="111"/>
      <c r="F54" s="109"/>
      <c r="G54" s="112"/>
      <c r="H54" s="109"/>
      <c r="I54" s="109"/>
      <c r="J54" s="109"/>
    </row>
    <row r="55" spans="2:10" x14ac:dyDescent="0.3">
      <c r="B55" s="109"/>
      <c r="C55" s="110"/>
      <c r="D55" s="111"/>
      <c r="E55" s="111"/>
      <c r="F55" s="109"/>
      <c r="G55" s="112"/>
      <c r="H55" s="109"/>
      <c r="I55" s="109"/>
      <c r="J55" s="109"/>
    </row>
    <row r="56" spans="2:10" x14ac:dyDescent="0.3">
      <c r="B56" s="109"/>
      <c r="C56" s="110"/>
      <c r="D56" s="111"/>
      <c r="E56" s="111"/>
      <c r="F56" s="109"/>
      <c r="G56" s="112"/>
      <c r="H56" s="109"/>
      <c r="I56" s="109"/>
      <c r="J56" s="109"/>
    </row>
    <row r="57" spans="2:10" x14ac:dyDescent="0.3">
      <c r="B57" s="109"/>
      <c r="C57" s="110"/>
      <c r="D57" s="111"/>
      <c r="E57" s="111"/>
      <c r="F57" s="109"/>
      <c r="G57" s="112"/>
      <c r="H57" s="109"/>
      <c r="I57" s="109"/>
      <c r="J57" s="109"/>
    </row>
    <row r="58" spans="2:10" x14ac:dyDescent="0.3">
      <c r="B58" s="109"/>
      <c r="C58" s="110"/>
      <c r="D58" s="111"/>
      <c r="E58" s="111"/>
      <c r="F58" s="109"/>
      <c r="G58" s="112"/>
      <c r="H58" s="109"/>
      <c r="I58" s="109"/>
      <c r="J58" s="109"/>
    </row>
    <row r="59" spans="2:10" x14ac:dyDescent="0.3">
      <c r="B59" s="109"/>
      <c r="C59" s="110"/>
      <c r="D59" s="111"/>
      <c r="E59" s="111"/>
      <c r="F59" s="109"/>
      <c r="G59" s="112"/>
      <c r="H59" s="109"/>
      <c r="I59" s="109"/>
      <c r="J59" s="109"/>
    </row>
    <row r="60" spans="2:10" x14ac:dyDescent="0.3">
      <c r="B60" s="109"/>
      <c r="C60" s="110"/>
      <c r="D60" s="111"/>
      <c r="E60" s="111"/>
      <c r="F60" s="109"/>
      <c r="G60" s="112"/>
      <c r="H60" s="109"/>
      <c r="I60" s="109"/>
      <c r="J60" s="109"/>
    </row>
    <row r="61" spans="2:10" x14ac:dyDescent="0.3">
      <c r="B61" s="109"/>
      <c r="C61" s="110"/>
      <c r="D61" s="111"/>
      <c r="E61" s="111"/>
      <c r="F61" s="109"/>
      <c r="G61" s="112"/>
      <c r="H61" s="109"/>
      <c r="I61" s="109"/>
      <c r="J61" s="109"/>
    </row>
    <row r="62" spans="2:10" x14ac:dyDescent="0.3">
      <c r="B62" s="109"/>
      <c r="C62" s="110"/>
      <c r="D62" s="111"/>
      <c r="E62" s="111"/>
      <c r="F62" s="109"/>
      <c r="G62" s="112"/>
      <c r="H62" s="109"/>
      <c r="I62" s="109"/>
      <c r="J62" s="109"/>
    </row>
    <row r="63" spans="2:10" x14ac:dyDescent="0.3">
      <c r="B63" s="109"/>
      <c r="C63" s="110"/>
      <c r="D63" s="111"/>
      <c r="E63" s="111"/>
      <c r="F63" s="109"/>
      <c r="G63" s="112"/>
      <c r="H63" s="109"/>
      <c r="I63" s="109"/>
      <c r="J63" s="109"/>
    </row>
    <row r="64" spans="2:10" x14ac:dyDescent="0.3">
      <c r="B64" s="109"/>
      <c r="C64" s="110"/>
      <c r="D64" s="111"/>
      <c r="E64" s="111"/>
      <c r="F64" s="109"/>
      <c r="G64" s="112"/>
      <c r="H64" s="109"/>
      <c r="I64" s="109"/>
      <c r="J64" s="109"/>
    </row>
    <row r="65" spans="2:10" x14ac:dyDescent="0.3">
      <c r="B65" s="109"/>
      <c r="C65" s="110"/>
      <c r="D65" s="111"/>
      <c r="E65" s="111"/>
      <c r="F65" s="109"/>
      <c r="G65" s="112"/>
      <c r="H65" s="109"/>
      <c r="I65" s="109"/>
      <c r="J65" s="109"/>
    </row>
    <row r="66" spans="2:10" x14ac:dyDescent="0.3">
      <c r="B66" s="109"/>
      <c r="C66" s="110"/>
      <c r="D66" s="111"/>
      <c r="E66" s="111"/>
      <c r="F66" s="109"/>
      <c r="G66" s="112"/>
      <c r="H66" s="109"/>
      <c r="I66" s="109"/>
      <c r="J66" s="109"/>
    </row>
    <row r="67" spans="2:10" x14ac:dyDescent="0.3">
      <c r="B67" s="109"/>
      <c r="C67" s="110"/>
      <c r="D67" s="111"/>
      <c r="E67" s="111"/>
      <c r="F67" s="109"/>
      <c r="G67" s="112"/>
      <c r="H67" s="109"/>
      <c r="I67" s="109"/>
      <c r="J67" s="109"/>
    </row>
    <row r="68" spans="2:10" x14ac:dyDescent="0.3">
      <c r="B68" s="109"/>
      <c r="C68" s="110"/>
      <c r="D68" s="111"/>
      <c r="E68" s="111"/>
      <c r="F68" s="109"/>
      <c r="G68" s="112"/>
      <c r="H68" s="109"/>
      <c r="I68" s="109"/>
      <c r="J68" s="109"/>
    </row>
    <row r="69" spans="2:10" x14ac:dyDescent="0.3">
      <c r="B69" s="109"/>
      <c r="C69" s="110"/>
      <c r="D69" s="111"/>
      <c r="E69" s="111"/>
      <c r="F69" s="109"/>
      <c r="G69" s="112"/>
      <c r="H69" s="109"/>
      <c r="I69" s="109"/>
      <c r="J69" s="109"/>
    </row>
    <row r="70" spans="2:10" x14ac:dyDescent="0.3">
      <c r="B70" s="109"/>
      <c r="C70" s="110"/>
      <c r="D70" s="111"/>
      <c r="E70" s="111"/>
      <c r="F70" s="109"/>
      <c r="G70" s="112"/>
      <c r="H70" s="109"/>
      <c r="I70" s="109"/>
      <c r="J70" s="109"/>
    </row>
    <row r="71" spans="2:10" x14ac:dyDescent="0.3">
      <c r="B71" s="109"/>
      <c r="C71" s="110"/>
      <c r="D71" s="111"/>
      <c r="E71" s="111"/>
      <c r="F71" s="109"/>
      <c r="G71" s="112"/>
      <c r="H71" s="109"/>
      <c r="I71" s="109"/>
      <c r="J71" s="109"/>
    </row>
    <row r="72" spans="2:10" x14ac:dyDescent="0.3">
      <c r="B72" s="109"/>
      <c r="C72" s="110"/>
      <c r="D72" s="111"/>
      <c r="E72" s="111"/>
      <c r="F72" s="109"/>
      <c r="G72" s="112"/>
      <c r="H72" s="109"/>
      <c r="I72" s="109"/>
      <c r="J72" s="109"/>
    </row>
    <row r="73" spans="2:10" x14ac:dyDescent="0.3">
      <c r="B73" s="109"/>
      <c r="C73" s="110"/>
      <c r="D73" s="111"/>
      <c r="E73" s="111"/>
      <c r="F73" s="109"/>
      <c r="G73" s="112"/>
      <c r="H73" s="109"/>
      <c r="I73" s="109"/>
      <c r="J73" s="109"/>
    </row>
    <row r="74" spans="2:10" x14ac:dyDescent="0.3">
      <c r="B74" s="109"/>
      <c r="C74" s="110"/>
      <c r="D74" s="111"/>
      <c r="E74" s="111"/>
      <c r="F74" s="109"/>
      <c r="G74" s="112"/>
      <c r="H74" s="109"/>
      <c r="I74" s="109"/>
      <c r="J74" s="109"/>
    </row>
    <row r="75" spans="2:10" x14ac:dyDescent="0.3">
      <c r="B75" s="109"/>
      <c r="C75" s="110"/>
      <c r="D75" s="111"/>
      <c r="E75" s="111"/>
      <c r="F75" s="109"/>
      <c r="G75" s="112"/>
      <c r="H75" s="109"/>
      <c r="I75" s="109"/>
      <c r="J75" s="109"/>
    </row>
    <row r="76" spans="2:10" x14ac:dyDescent="0.3">
      <c r="B76" s="109"/>
      <c r="C76" s="110"/>
      <c r="D76" s="111"/>
      <c r="E76" s="111"/>
      <c r="F76" s="109"/>
      <c r="G76" s="112"/>
      <c r="H76" s="109"/>
      <c r="I76" s="109"/>
      <c r="J76" s="109"/>
    </row>
    <row r="77" spans="2:10" x14ac:dyDescent="0.3">
      <c r="B77" s="109"/>
      <c r="C77" s="110"/>
      <c r="D77" s="111"/>
      <c r="E77" s="111"/>
      <c r="F77" s="109"/>
      <c r="G77" s="112"/>
      <c r="H77" s="109"/>
      <c r="I77" s="109"/>
      <c r="J77" s="109"/>
    </row>
    <row r="78" spans="2:10" x14ac:dyDescent="0.3">
      <c r="B78" s="109"/>
      <c r="C78" s="110"/>
      <c r="D78" s="111"/>
      <c r="E78" s="111"/>
      <c r="F78" s="109"/>
      <c r="G78" s="112"/>
      <c r="H78" s="109"/>
      <c r="I78" s="109"/>
      <c r="J78" s="109"/>
    </row>
    <row r="79" spans="2:10" x14ac:dyDescent="0.3">
      <c r="B79" s="109"/>
      <c r="C79" s="110"/>
      <c r="D79" s="111"/>
      <c r="E79" s="111"/>
      <c r="F79" s="109"/>
      <c r="G79" s="112"/>
      <c r="H79" s="109"/>
      <c r="I79" s="109"/>
      <c r="J79" s="109"/>
    </row>
    <row r="80" spans="2:10" x14ac:dyDescent="0.3">
      <c r="B80" s="109"/>
      <c r="C80" s="110"/>
      <c r="D80" s="111"/>
      <c r="E80" s="111"/>
      <c r="F80" s="109"/>
      <c r="G80" s="112"/>
      <c r="H80" s="109"/>
      <c r="I80" s="109"/>
      <c r="J80" s="109"/>
    </row>
    <row r="81" spans="2:10" x14ac:dyDescent="0.3">
      <c r="B81" s="109"/>
      <c r="C81" s="110"/>
      <c r="D81" s="111"/>
      <c r="E81" s="111"/>
      <c r="F81" s="109"/>
      <c r="G81" s="112"/>
      <c r="H81" s="109"/>
      <c r="I81" s="109"/>
      <c r="J81" s="109"/>
    </row>
    <row r="82" spans="2:10" x14ac:dyDescent="0.3">
      <c r="B82" s="109"/>
      <c r="C82" s="110"/>
      <c r="D82" s="111"/>
      <c r="E82" s="111"/>
      <c r="F82" s="109"/>
      <c r="G82" s="112"/>
      <c r="H82" s="109"/>
      <c r="I82" s="109"/>
      <c r="J82" s="109"/>
    </row>
    <row r="83" spans="2:10" x14ac:dyDescent="0.3">
      <c r="B83" s="109"/>
      <c r="C83" s="110"/>
      <c r="D83" s="111"/>
      <c r="E83" s="111"/>
      <c r="F83" s="109"/>
      <c r="G83" s="112"/>
      <c r="H83" s="109"/>
      <c r="I83" s="109"/>
      <c r="J83" s="109"/>
    </row>
    <row r="84" spans="2:10" x14ac:dyDescent="0.3">
      <c r="B84" s="109"/>
      <c r="C84" s="110"/>
      <c r="D84" s="111"/>
      <c r="E84" s="111"/>
      <c r="F84" s="109"/>
      <c r="G84" s="112"/>
      <c r="H84" s="109"/>
      <c r="I84" s="109"/>
      <c r="J84" s="109"/>
    </row>
    <row r="85" spans="2:10" x14ac:dyDescent="0.3">
      <c r="B85" s="109"/>
      <c r="C85" s="110"/>
      <c r="D85" s="111"/>
      <c r="E85" s="111"/>
      <c r="F85" s="109"/>
      <c r="G85" s="112"/>
      <c r="H85" s="109"/>
      <c r="I85" s="109"/>
      <c r="J85" s="109"/>
    </row>
    <row r="86" spans="2:10" x14ac:dyDescent="0.3">
      <c r="B86" s="109"/>
      <c r="C86" s="110"/>
      <c r="D86" s="111"/>
      <c r="E86" s="111"/>
      <c r="F86" s="109"/>
      <c r="G86" s="112"/>
      <c r="H86" s="109"/>
      <c r="I86" s="109"/>
      <c r="J86" s="109"/>
    </row>
    <row r="87" spans="2:10" x14ac:dyDescent="0.3">
      <c r="B87" s="109"/>
      <c r="C87" s="110"/>
      <c r="D87" s="111"/>
      <c r="E87" s="111"/>
      <c r="F87" s="109"/>
      <c r="G87" s="112"/>
      <c r="H87" s="109"/>
      <c r="I87" s="109"/>
      <c r="J87" s="109"/>
    </row>
    <row r="88" spans="2:10" x14ac:dyDescent="0.3">
      <c r="B88" s="109"/>
      <c r="C88" s="110"/>
      <c r="D88" s="111"/>
      <c r="E88" s="111"/>
      <c r="F88" s="109"/>
      <c r="G88" s="112"/>
      <c r="H88" s="109"/>
      <c r="I88" s="109"/>
      <c r="J88" s="109"/>
    </row>
    <row r="89" spans="2:10" x14ac:dyDescent="0.3">
      <c r="B89" s="109"/>
      <c r="C89" s="110"/>
      <c r="D89" s="111"/>
      <c r="E89" s="111"/>
      <c r="F89" s="109"/>
      <c r="G89" s="112"/>
      <c r="H89" s="109"/>
      <c r="I89" s="109"/>
      <c r="J89" s="109"/>
    </row>
    <row r="90" spans="2:10" x14ac:dyDescent="0.3">
      <c r="B90" s="109"/>
      <c r="C90" s="110"/>
      <c r="D90" s="111"/>
      <c r="E90" s="111"/>
      <c r="F90" s="109"/>
      <c r="G90" s="112"/>
      <c r="H90" s="109"/>
      <c r="I90" s="109"/>
      <c r="J90" s="109"/>
    </row>
    <row r="91" spans="2:10" x14ac:dyDescent="0.3">
      <c r="B91" s="109"/>
      <c r="C91" s="110"/>
      <c r="D91" s="111"/>
      <c r="E91" s="111"/>
      <c r="F91" s="109"/>
      <c r="G91" s="112"/>
      <c r="H91" s="109"/>
      <c r="I91" s="109"/>
      <c r="J91" s="109"/>
    </row>
    <row r="92" spans="2:10" x14ac:dyDescent="0.3">
      <c r="B92" s="109"/>
      <c r="C92" s="110"/>
      <c r="D92" s="111"/>
      <c r="E92" s="111"/>
      <c r="F92" s="109"/>
      <c r="G92" s="112"/>
      <c r="H92" s="109"/>
      <c r="I92" s="109"/>
      <c r="J92" s="109"/>
    </row>
    <row r="93" spans="2:10" x14ac:dyDescent="0.3">
      <c r="B93" s="109"/>
      <c r="C93" s="110"/>
      <c r="D93" s="111"/>
      <c r="E93" s="111"/>
      <c r="F93" s="109"/>
      <c r="G93" s="112"/>
      <c r="H93" s="109"/>
      <c r="I93" s="109"/>
      <c r="J93" s="109"/>
    </row>
    <row r="94" spans="2:10" x14ac:dyDescent="0.3">
      <c r="B94" s="109"/>
      <c r="C94" s="110"/>
      <c r="D94" s="111"/>
      <c r="E94" s="111"/>
      <c r="F94" s="109"/>
      <c r="G94" s="112"/>
      <c r="H94" s="109"/>
      <c r="I94" s="109"/>
      <c r="J94" s="109"/>
    </row>
    <row r="95" spans="2:10" x14ac:dyDescent="0.3">
      <c r="B95" s="109"/>
      <c r="C95" s="110"/>
      <c r="D95" s="111"/>
      <c r="E95" s="111"/>
      <c r="F95" s="109"/>
      <c r="G95" s="112"/>
      <c r="H95" s="109"/>
      <c r="I95" s="109"/>
      <c r="J95" s="109"/>
    </row>
    <row r="96" spans="2:10" x14ac:dyDescent="0.3">
      <c r="B96" s="109"/>
      <c r="C96" s="110"/>
      <c r="D96" s="111"/>
      <c r="E96" s="111"/>
      <c r="F96" s="109"/>
      <c r="G96" s="112"/>
      <c r="H96" s="109"/>
      <c r="I96" s="109"/>
      <c r="J96" s="109"/>
    </row>
    <row r="97" spans="2:10" x14ac:dyDescent="0.3">
      <c r="B97" s="109"/>
      <c r="C97" s="110"/>
      <c r="D97" s="111"/>
      <c r="E97" s="111"/>
      <c r="F97" s="109"/>
      <c r="G97" s="112"/>
      <c r="H97" s="109"/>
      <c r="I97" s="109"/>
      <c r="J97" s="109"/>
    </row>
    <row r="98" spans="2:10" x14ac:dyDescent="0.3">
      <c r="B98" s="109"/>
      <c r="C98" s="110"/>
      <c r="D98" s="111"/>
      <c r="E98" s="111"/>
      <c r="F98" s="109"/>
      <c r="G98" s="112"/>
      <c r="H98" s="109"/>
      <c r="I98" s="109"/>
      <c r="J98" s="109"/>
    </row>
    <row r="99" spans="2:10" x14ac:dyDescent="0.3">
      <c r="B99" s="109"/>
      <c r="C99" s="110"/>
      <c r="D99" s="111"/>
      <c r="E99" s="111"/>
      <c r="F99" s="109"/>
      <c r="G99" s="112"/>
      <c r="H99" s="109"/>
      <c r="I99" s="109"/>
      <c r="J99" s="109"/>
    </row>
    <row r="100" spans="2:10" x14ac:dyDescent="0.3">
      <c r="B100" s="109"/>
      <c r="C100" s="110"/>
      <c r="D100" s="111"/>
      <c r="E100" s="111"/>
      <c r="F100" s="109"/>
      <c r="G100" s="112"/>
      <c r="H100" s="109"/>
      <c r="I100" s="109"/>
      <c r="J100" s="109"/>
    </row>
    <row r="101" spans="2:10" x14ac:dyDescent="0.3">
      <c r="B101" s="109"/>
      <c r="C101" s="110"/>
      <c r="D101" s="111"/>
      <c r="E101" s="111"/>
      <c r="F101" s="109"/>
      <c r="G101" s="112"/>
      <c r="H101" s="109"/>
      <c r="I101" s="109"/>
      <c r="J101" s="109"/>
    </row>
    <row r="102" spans="2:10" x14ac:dyDescent="0.3">
      <c r="B102" s="109"/>
      <c r="C102" s="110"/>
      <c r="D102" s="111"/>
      <c r="E102" s="111"/>
      <c r="F102" s="109"/>
      <c r="G102" s="112"/>
      <c r="H102" s="109"/>
      <c r="I102" s="109"/>
      <c r="J102" s="109"/>
    </row>
    <row r="103" spans="2:10" x14ac:dyDescent="0.3">
      <c r="B103" s="109"/>
      <c r="C103" s="110"/>
      <c r="D103" s="111"/>
      <c r="E103" s="111"/>
      <c r="F103" s="109"/>
      <c r="G103" s="112"/>
      <c r="H103" s="109"/>
      <c r="I103" s="109"/>
      <c r="J103" s="109"/>
    </row>
    <row r="104" spans="2:10" x14ac:dyDescent="0.3">
      <c r="B104" s="109"/>
      <c r="C104" s="110"/>
      <c r="D104" s="111"/>
      <c r="E104" s="111"/>
      <c r="F104" s="109"/>
      <c r="G104" s="112"/>
      <c r="H104" s="109"/>
      <c r="I104" s="109"/>
      <c r="J104" s="109"/>
    </row>
    <row r="105" spans="2:10" x14ac:dyDescent="0.3">
      <c r="B105" s="109"/>
      <c r="C105" s="110"/>
      <c r="D105" s="111"/>
      <c r="E105" s="111"/>
      <c r="F105" s="109"/>
      <c r="G105" s="112"/>
      <c r="H105" s="109"/>
      <c r="I105" s="109"/>
      <c r="J105" s="109"/>
    </row>
    <row r="106" spans="2:10" x14ac:dyDescent="0.3">
      <c r="B106" s="109"/>
      <c r="C106" s="110"/>
      <c r="D106" s="111"/>
      <c r="E106" s="111"/>
      <c r="F106" s="109"/>
      <c r="G106" s="112"/>
      <c r="H106" s="109"/>
      <c r="I106" s="109"/>
      <c r="J106" s="109"/>
    </row>
    <row r="107" spans="2:10" x14ac:dyDescent="0.3">
      <c r="B107" s="109"/>
      <c r="C107" s="110"/>
      <c r="D107" s="111"/>
      <c r="E107" s="111"/>
      <c r="F107" s="109"/>
      <c r="G107" s="112"/>
      <c r="H107" s="109"/>
      <c r="I107" s="109"/>
      <c r="J107" s="109"/>
    </row>
    <row r="108" spans="2:10" x14ac:dyDescent="0.3">
      <c r="B108" s="109"/>
      <c r="C108" s="110"/>
      <c r="D108" s="111"/>
      <c r="E108" s="111"/>
      <c r="F108" s="109"/>
      <c r="G108" s="112"/>
      <c r="H108" s="109"/>
      <c r="I108" s="109"/>
      <c r="J108" s="109"/>
    </row>
    <row r="109" spans="2:10" x14ac:dyDescent="0.3">
      <c r="B109" s="109"/>
      <c r="C109" s="110"/>
      <c r="D109" s="111"/>
      <c r="E109" s="111"/>
      <c r="F109" s="109"/>
      <c r="G109" s="112"/>
      <c r="H109" s="109"/>
      <c r="I109" s="109"/>
      <c r="J109" s="109"/>
    </row>
    <row r="110" spans="2:10" x14ac:dyDescent="0.3">
      <c r="B110" s="109"/>
      <c r="C110" s="110"/>
      <c r="D110" s="111"/>
      <c r="E110" s="111"/>
      <c r="F110" s="109"/>
      <c r="G110" s="112"/>
      <c r="H110" s="109"/>
      <c r="I110" s="109"/>
      <c r="J110" s="109"/>
    </row>
    <row r="111" spans="2:10" x14ac:dyDescent="0.3">
      <c r="B111" s="109"/>
      <c r="C111" s="110"/>
      <c r="D111" s="111"/>
      <c r="E111" s="111"/>
      <c r="F111" s="109"/>
      <c r="G111" s="112"/>
      <c r="H111" s="109"/>
      <c r="I111" s="109"/>
      <c r="J111" s="109"/>
    </row>
    <row r="112" spans="2:10" x14ac:dyDescent="0.3">
      <c r="B112" s="109"/>
      <c r="C112" s="110"/>
      <c r="D112" s="111"/>
      <c r="E112" s="111"/>
      <c r="F112" s="109"/>
      <c r="G112" s="112"/>
      <c r="H112" s="109"/>
      <c r="I112" s="109"/>
      <c r="J112" s="109"/>
    </row>
    <row r="113" spans="2:10" x14ac:dyDescent="0.3">
      <c r="B113" s="109"/>
      <c r="C113" s="110"/>
      <c r="D113" s="111"/>
      <c r="E113" s="111"/>
      <c r="F113" s="109"/>
      <c r="G113" s="112"/>
      <c r="H113" s="109"/>
      <c r="I113" s="109"/>
      <c r="J113" s="109"/>
    </row>
    <row r="114" spans="2:10" x14ac:dyDescent="0.3">
      <c r="B114" s="109"/>
      <c r="C114" s="110"/>
      <c r="D114" s="111"/>
      <c r="E114" s="111"/>
      <c r="F114" s="109"/>
      <c r="G114" s="112"/>
      <c r="H114" s="109"/>
      <c r="I114" s="109"/>
      <c r="J114" s="109"/>
    </row>
    <row r="115" spans="2:10" x14ac:dyDescent="0.3">
      <c r="B115" s="109"/>
      <c r="C115" s="110"/>
      <c r="D115" s="111"/>
      <c r="E115" s="111"/>
      <c r="F115" s="109"/>
      <c r="G115" s="112"/>
      <c r="H115" s="109"/>
      <c r="I115" s="109"/>
      <c r="J115" s="109"/>
    </row>
    <row r="116" spans="2:10" x14ac:dyDescent="0.3">
      <c r="B116" s="109"/>
      <c r="C116" s="110"/>
      <c r="D116" s="111"/>
      <c r="E116" s="111"/>
      <c r="F116" s="109"/>
      <c r="G116" s="112"/>
      <c r="H116" s="109"/>
      <c r="I116" s="109"/>
      <c r="J116" s="109"/>
    </row>
    <row r="117" spans="2:10" x14ac:dyDescent="0.3">
      <c r="B117" s="109"/>
      <c r="C117" s="110"/>
      <c r="D117" s="111"/>
      <c r="E117" s="111"/>
      <c r="F117" s="109"/>
      <c r="G117" s="112"/>
      <c r="H117" s="109"/>
      <c r="I117" s="109"/>
      <c r="J117" s="109"/>
    </row>
    <row r="118" spans="2:10" x14ac:dyDescent="0.3">
      <c r="B118" s="109"/>
      <c r="C118" s="110"/>
      <c r="D118" s="111"/>
      <c r="E118" s="111"/>
      <c r="F118" s="109"/>
      <c r="G118" s="112"/>
      <c r="H118" s="109"/>
      <c r="I118" s="109"/>
      <c r="J118" s="109"/>
    </row>
    <row r="119" spans="2:10" x14ac:dyDescent="0.3">
      <c r="B119" s="109"/>
      <c r="C119" s="110"/>
      <c r="D119" s="111"/>
      <c r="E119" s="111"/>
      <c r="F119" s="109"/>
      <c r="G119" s="112"/>
      <c r="H119" s="109"/>
      <c r="I119" s="109"/>
      <c r="J119" s="109"/>
    </row>
    <row r="120" spans="2:10" x14ac:dyDescent="0.3">
      <c r="B120" s="109"/>
      <c r="C120" s="110"/>
      <c r="D120" s="111"/>
      <c r="E120" s="111"/>
      <c r="F120" s="109"/>
      <c r="G120" s="112"/>
      <c r="H120" s="109"/>
      <c r="I120" s="109"/>
      <c r="J120" s="109"/>
    </row>
    <row r="121" spans="2:10" x14ac:dyDescent="0.3">
      <c r="B121" s="109"/>
      <c r="C121" s="110"/>
      <c r="D121" s="111"/>
      <c r="E121" s="111"/>
      <c r="F121" s="109"/>
      <c r="G121" s="112"/>
      <c r="H121" s="109"/>
      <c r="I121" s="109"/>
      <c r="J121" s="109"/>
    </row>
    <row r="122" spans="2:10" x14ac:dyDescent="0.3">
      <c r="B122" s="109"/>
      <c r="C122" s="110"/>
      <c r="D122" s="111"/>
      <c r="E122" s="111"/>
      <c r="F122" s="109"/>
      <c r="G122" s="112"/>
      <c r="H122" s="109"/>
      <c r="I122" s="109"/>
      <c r="J122" s="109"/>
    </row>
    <row r="123" spans="2:10" x14ac:dyDescent="0.3">
      <c r="B123" s="109"/>
      <c r="C123" s="110"/>
      <c r="D123" s="111"/>
      <c r="E123" s="111"/>
      <c r="F123" s="109"/>
      <c r="G123" s="112"/>
      <c r="H123" s="109"/>
      <c r="I123" s="109"/>
      <c r="J123" s="109"/>
    </row>
    <row r="124" spans="2:10" x14ac:dyDescent="0.3">
      <c r="B124" s="109"/>
      <c r="C124" s="110"/>
      <c r="D124" s="111"/>
      <c r="E124" s="111"/>
      <c r="F124" s="109"/>
      <c r="G124" s="112"/>
      <c r="H124" s="109"/>
      <c r="I124" s="109"/>
      <c r="J124" s="109"/>
    </row>
    <row r="125" spans="2:10" x14ac:dyDescent="0.3">
      <c r="B125" s="109"/>
      <c r="C125" s="110"/>
      <c r="D125" s="111"/>
      <c r="E125" s="111"/>
      <c r="F125" s="109"/>
      <c r="G125" s="112"/>
      <c r="H125" s="109"/>
      <c r="I125" s="109"/>
      <c r="J125" s="109"/>
    </row>
    <row r="126" spans="2:10" x14ac:dyDescent="0.3">
      <c r="B126" s="109"/>
      <c r="C126" s="110"/>
      <c r="D126" s="111"/>
      <c r="E126" s="111"/>
      <c r="F126" s="109"/>
      <c r="G126" s="112"/>
      <c r="H126" s="109"/>
      <c r="I126" s="109"/>
      <c r="J126" s="109"/>
    </row>
    <row r="127" spans="2:10" x14ac:dyDescent="0.3">
      <c r="B127" s="109"/>
      <c r="C127" s="110"/>
      <c r="D127" s="111"/>
      <c r="E127" s="111"/>
      <c r="F127" s="109"/>
      <c r="G127" s="112"/>
      <c r="H127" s="109"/>
      <c r="I127" s="109"/>
      <c r="J127" s="109"/>
    </row>
    <row r="128" spans="2:10" x14ac:dyDescent="0.3">
      <c r="B128" s="109"/>
      <c r="C128" s="110"/>
      <c r="D128" s="111"/>
      <c r="E128" s="111"/>
      <c r="F128" s="109"/>
      <c r="G128" s="112"/>
      <c r="H128" s="109"/>
      <c r="I128" s="109"/>
      <c r="J128" s="109"/>
    </row>
    <row r="129" spans="2:10" x14ac:dyDescent="0.3">
      <c r="B129" s="109"/>
      <c r="C129" s="110"/>
      <c r="D129" s="111"/>
      <c r="E129" s="111"/>
      <c r="F129" s="109"/>
      <c r="G129" s="112"/>
      <c r="H129" s="109"/>
      <c r="I129" s="109"/>
      <c r="J129" s="109"/>
    </row>
    <row r="130" spans="2:10" x14ac:dyDescent="0.3">
      <c r="B130" s="109"/>
      <c r="C130" s="110"/>
      <c r="D130" s="111"/>
      <c r="E130" s="111"/>
      <c r="F130" s="109"/>
      <c r="G130" s="112"/>
      <c r="H130" s="109"/>
      <c r="I130" s="109"/>
      <c r="J130" s="109"/>
    </row>
    <row r="131" spans="2:10" x14ac:dyDescent="0.3">
      <c r="B131" s="109"/>
      <c r="C131" s="110"/>
      <c r="D131" s="111"/>
      <c r="E131" s="111"/>
      <c r="F131" s="109"/>
      <c r="G131" s="112"/>
      <c r="H131" s="109"/>
      <c r="I131" s="109"/>
      <c r="J131" s="109"/>
    </row>
    <row r="132" spans="2:10" x14ac:dyDescent="0.3">
      <c r="B132" s="109"/>
      <c r="C132" s="110"/>
      <c r="D132" s="111"/>
      <c r="E132" s="111"/>
      <c r="F132" s="109"/>
      <c r="G132" s="112"/>
      <c r="H132" s="109"/>
      <c r="I132" s="109"/>
      <c r="J132" s="109"/>
    </row>
    <row r="133" spans="2:10" x14ac:dyDescent="0.3">
      <c r="B133" s="109"/>
      <c r="C133" s="110"/>
      <c r="D133" s="111"/>
      <c r="E133" s="111"/>
      <c r="F133" s="109"/>
      <c r="G133" s="112"/>
      <c r="H133" s="109"/>
      <c r="I133" s="109"/>
      <c r="J133" s="109"/>
    </row>
    <row r="134" spans="2:10" x14ac:dyDescent="0.3">
      <c r="B134" s="109"/>
      <c r="C134" s="110"/>
      <c r="D134" s="111"/>
      <c r="E134" s="111"/>
      <c r="F134" s="109"/>
      <c r="G134" s="112"/>
      <c r="H134" s="109"/>
      <c r="I134" s="109"/>
      <c r="J134" s="109"/>
    </row>
    <row r="135" spans="2:10" x14ac:dyDescent="0.3">
      <c r="B135" s="109"/>
      <c r="C135" s="110"/>
      <c r="D135" s="111"/>
      <c r="E135" s="111"/>
      <c r="F135" s="109"/>
      <c r="G135" s="112"/>
      <c r="H135" s="109"/>
      <c r="I135" s="109"/>
      <c r="J135" s="109"/>
    </row>
    <row r="136" spans="2:10" x14ac:dyDescent="0.3">
      <c r="B136" s="109"/>
      <c r="C136" s="110"/>
      <c r="D136" s="111"/>
      <c r="E136" s="111"/>
      <c r="F136" s="109"/>
      <c r="G136" s="112"/>
      <c r="H136" s="109"/>
      <c r="I136" s="109"/>
      <c r="J136" s="109"/>
    </row>
    <row r="137" spans="2:10" x14ac:dyDescent="0.3">
      <c r="B137" s="109"/>
      <c r="C137" s="110"/>
      <c r="D137" s="111"/>
      <c r="E137" s="111"/>
      <c r="F137" s="109"/>
      <c r="G137" s="112"/>
      <c r="H137" s="109"/>
      <c r="I137" s="109"/>
      <c r="J137" s="109"/>
    </row>
    <row r="138" spans="2:10" x14ac:dyDescent="0.3">
      <c r="B138" s="109"/>
      <c r="C138" s="110"/>
      <c r="D138" s="111"/>
      <c r="E138" s="111"/>
      <c r="F138" s="109"/>
      <c r="G138" s="112"/>
      <c r="H138" s="109"/>
      <c r="I138" s="109"/>
      <c r="J138" s="109"/>
    </row>
    <row r="139" spans="2:10" x14ac:dyDescent="0.3">
      <c r="B139" s="109"/>
      <c r="C139" s="110"/>
      <c r="D139" s="111"/>
      <c r="E139" s="111"/>
      <c r="F139" s="109"/>
      <c r="G139" s="112"/>
      <c r="H139" s="109"/>
      <c r="I139" s="109"/>
      <c r="J139" s="109"/>
    </row>
    <row r="140" spans="2:10" x14ac:dyDescent="0.3">
      <c r="B140" s="109"/>
      <c r="C140" s="110"/>
      <c r="D140" s="111"/>
      <c r="E140" s="111"/>
      <c r="F140" s="109"/>
      <c r="G140" s="112"/>
      <c r="H140" s="109"/>
      <c r="I140" s="109"/>
      <c r="J140" s="109"/>
    </row>
    <row r="141" spans="2:10" x14ac:dyDescent="0.3">
      <c r="B141" s="109"/>
      <c r="C141" s="110"/>
      <c r="D141" s="111"/>
      <c r="E141" s="111"/>
      <c r="F141" s="109"/>
      <c r="G141" s="112"/>
      <c r="H141" s="109"/>
      <c r="I141" s="109"/>
      <c r="J141" s="109"/>
    </row>
    <row r="142" spans="2:10" x14ac:dyDescent="0.3">
      <c r="B142" s="109"/>
      <c r="C142" s="110"/>
      <c r="D142" s="111"/>
      <c r="E142" s="111"/>
      <c r="F142" s="109"/>
      <c r="G142" s="112"/>
      <c r="H142" s="109"/>
      <c r="I142" s="109"/>
      <c r="J142" s="109"/>
    </row>
    <row r="143" spans="2:10" x14ac:dyDescent="0.3">
      <c r="B143" s="109"/>
      <c r="C143" s="110"/>
      <c r="D143" s="111"/>
      <c r="E143" s="111"/>
      <c r="F143" s="109"/>
      <c r="G143" s="112"/>
      <c r="H143" s="109"/>
      <c r="I143" s="109"/>
      <c r="J143" s="109"/>
    </row>
    <row r="144" spans="2:10" x14ac:dyDescent="0.3">
      <c r="B144" s="109"/>
      <c r="C144" s="110"/>
      <c r="D144" s="111"/>
      <c r="E144" s="111"/>
      <c r="F144" s="109"/>
      <c r="G144" s="112"/>
      <c r="H144" s="109"/>
      <c r="I144" s="109"/>
      <c r="J144" s="109"/>
    </row>
    <row r="145" spans="2:10" x14ac:dyDescent="0.3">
      <c r="B145" s="109"/>
      <c r="C145" s="110"/>
      <c r="D145" s="111"/>
      <c r="E145" s="111"/>
      <c r="F145" s="109"/>
      <c r="G145" s="112"/>
      <c r="H145" s="109"/>
      <c r="I145" s="109"/>
      <c r="J145" s="109"/>
    </row>
    <row r="146" spans="2:10" x14ac:dyDescent="0.3">
      <c r="B146" s="109"/>
      <c r="C146" s="110"/>
      <c r="D146" s="111"/>
      <c r="E146" s="111"/>
      <c r="F146" s="109"/>
      <c r="G146" s="112"/>
      <c r="H146" s="109"/>
      <c r="I146" s="109"/>
      <c r="J146" s="109"/>
    </row>
    <row r="147" spans="2:10" x14ac:dyDescent="0.3">
      <c r="B147" s="109"/>
      <c r="C147" s="110"/>
      <c r="D147" s="111"/>
      <c r="E147" s="111"/>
      <c r="F147" s="109"/>
      <c r="G147" s="112"/>
      <c r="H147" s="109"/>
      <c r="I147" s="109"/>
      <c r="J147" s="109"/>
    </row>
    <row r="148" spans="2:10" x14ac:dyDescent="0.3">
      <c r="B148" s="109"/>
      <c r="C148" s="110"/>
      <c r="D148" s="111"/>
      <c r="E148" s="111"/>
      <c r="F148" s="109"/>
      <c r="G148" s="112"/>
      <c r="H148" s="109"/>
      <c r="I148" s="109"/>
      <c r="J148" s="109"/>
    </row>
    <row r="149" spans="2:10" x14ac:dyDescent="0.3">
      <c r="B149" s="109"/>
      <c r="C149" s="110"/>
      <c r="D149" s="111"/>
      <c r="E149" s="111"/>
      <c r="F149" s="109"/>
      <c r="G149" s="112"/>
      <c r="H149" s="109"/>
      <c r="I149" s="109"/>
      <c r="J149" s="109"/>
    </row>
    <row r="150" spans="2:10" x14ac:dyDescent="0.3">
      <c r="B150" s="109"/>
      <c r="C150" s="110"/>
      <c r="D150" s="111"/>
      <c r="E150" s="111"/>
      <c r="F150" s="109"/>
      <c r="G150" s="112"/>
      <c r="H150" s="109"/>
      <c r="I150" s="109"/>
      <c r="J150" s="109"/>
    </row>
    <row r="151" spans="2:10" x14ac:dyDescent="0.3">
      <c r="B151" s="109"/>
      <c r="C151" s="110"/>
      <c r="D151" s="111"/>
      <c r="E151" s="111"/>
      <c r="F151" s="109"/>
      <c r="G151" s="112"/>
      <c r="H151" s="109"/>
      <c r="I151" s="109"/>
      <c r="J151" s="109"/>
    </row>
    <row r="152" spans="2:10" x14ac:dyDescent="0.3">
      <c r="B152" s="109"/>
      <c r="C152" s="110"/>
      <c r="D152" s="111"/>
      <c r="E152" s="111"/>
      <c r="F152" s="109"/>
      <c r="G152" s="112"/>
      <c r="H152" s="109"/>
      <c r="I152" s="109"/>
      <c r="J152" s="109"/>
    </row>
    <row r="153" spans="2:10" x14ac:dyDescent="0.3">
      <c r="B153" s="109"/>
      <c r="C153" s="110"/>
      <c r="D153" s="111"/>
      <c r="E153" s="111"/>
      <c r="F153" s="109"/>
      <c r="G153" s="112"/>
      <c r="H153" s="109"/>
      <c r="I153" s="109"/>
      <c r="J153" s="109"/>
    </row>
    <row r="154" spans="2:10" x14ac:dyDescent="0.3">
      <c r="B154" s="109"/>
      <c r="C154" s="110"/>
      <c r="D154" s="111"/>
      <c r="E154" s="111"/>
      <c r="F154" s="109"/>
      <c r="G154" s="112"/>
      <c r="H154" s="109"/>
      <c r="I154" s="109"/>
      <c r="J154" s="109"/>
    </row>
    <row r="155" spans="2:10" x14ac:dyDescent="0.3">
      <c r="B155" s="109"/>
      <c r="C155" s="110"/>
      <c r="D155" s="111"/>
      <c r="E155" s="111"/>
      <c r="F155" s="109"/>
      <c r="G155" s="112"/>
      <c r="H155" s="109"/>
      <c r="I155" s="109"/>
      <c r="J155" s="109"/>
    </row>
  </sheetData>
  <protectedRanges>
    <protectedRange sqref="B71:B80 B103:B111 B125:B133 B136:B144 B147:B155 B114:B122 B5:B68" name="Planning_1"/>
    <protectedRange sqref="B69:B70 B81:B102 B123:B124 B134:B135 B145:B146 B112:B113" name="Closing_1"/>
  </protectedRanges>
  <mergeCells count="9">
    <mergeCell ref="H2:H4"/>
    <mergeCell ref="I2:I4"/>
    <mergeCell ref="J2:J4"/>
    <mergeCell ref="B2:B4"/>
    <mergeCell ref="C2:C4"/>
    <mergeCell ref="D2:D4"/>
    <mergeCell ref="E2:E4"/>
    <mergeCell ref="F2:F4"/>
    <mergeCell ref="G2:G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XFC37"/>
  <sheetViews>
    <sheetView zoomScale="90" zoomScaleNormal="115" workbookViewId="0">
      <pane xSplit="2" ySplit="2" topLeftCell="C3" activePane="bottomRight" state="frozen"/>
      <selection pane="topRight" activeCell="C1" sqref="C1"/>
      <selection pane="bottomLeft" activeCell="A3" sqref="A3"/>
      <selection pane="bottomRight" activeCell="C10" sqref="C10"/>
    </sheetView>
  </sheetViews>
  <sheetFormatPr defaultColWidth="0" defaultRowHeight="14.4" x14ac:dyDescent="0.3"/>
  <cols>
    <col min="1" max="1" width="26" style="158" customWidth="1"/>
    <col min="2" max="2" width="21.33203125" style="73" customWidth="1"/>
    <col min="3" max="3" width="13" style="73" bestFit="1" customWidth="1"/>
    <col min="4" max="5" width="24.5546875" style="73" bestFit="1" customWidth="1"/>
    <col min="6" max="6" width="16.6640625" style="73" bestFit="1" customWidth="1"/>
    <col min="7" max="7" width="27" style="73" bestFit="1" customWidth="1"/>
    <col min="8" max="8" width="19.33203125" style="73" bestFit="1" customWidth="1"/>
    <col min="9" max="9" width="13.6640625" style="73" bestFit="1" customWidth="1"/>
    <col min="10" max="10" width="31.88671875" style="73" customWidth="1"/>
    <col min="11" max="11" width="1.6640625" style="74" customWidth="1"/>
    <col min="12" max="16383" width="9.109375" hidden="1"/>
    <col min="16384" max="16384" width="9.88671875" hidden="1" customWidth="1"/>
  </cols>
  <sheetData>
    <row r="1" spans="1:12" s="161" customFormat="1" ht="39.6" customHeight="1" x14ac:dyDescent="0.3">
      <c r="A1" s="158"/>
      <c r="B1" s="263" t="s">
        <v>365</v>
      </c>
      <c r="C1" s="263"/>
      <c r="D1" s="263"/>
      <c r="E1" s="263"/>
      <c r="F1" s="263"/>
      <c r="G1" s="263"/>
      <c r="H1" s="263"/>
      <c r="I1" s="263"/>
      <c r="J1" s="264"/>
      <c r="K1" s="158"/>
      <c r="L1" s="160"/>
    </row>
    <row r="2" spans="1:12" s="27" customFormat="1" ht="26.4" customHeight="1" x14ac:dyDescent="0.3">
      <c r="A2" s="159"/>
      <c r="B2" s="151" t="s">
        <v>273</v>
      </c>
      <c r="C2" s="135" t="s">
        <v>274</v>
      </c>
      <c r="D2" s="135" t="s">
        <v>281</v>
      </c>
      <c r="E2" s="135" t="s">
        <v>282</v>
      </c>
      <c r="F2" s="135" t="s">
        <v>275</v>
      </c>
      <c r="G2" s="135" t="s">
        <v>276</v>
      </c>
      <c r="H2" s="135" t="s">
        <v>283</v>
      </c>
      <c r="I2" s="135" t="s">
        <v>284</v>
      </c>
      <c r="J2" s="148" t="s">
        <v>285</v>
      </c>
      <c r="K2" s="149"/>
    </row>
    <row r="3" spans="1:12" x14ac:dyDescent="0.3">
      <c r="B3" s="152" t="s">
        <v>347</v>
      </c>
      <c r="C3" s="117" t="s">
        <v>348</v>
      </c>
      <c r="D3" s="117" t="s">
        <v>357</v>
      </c>
      <c r="E3" s="117" t="s">
        <v>358</v>
      </c>
      <c r="F3" s="117" t="s">
        <v>364</v>
      </c>
      <c r="G3" s="118"/>
      <c r="H3" s="119"/>
      <c r="I3" s="117"/>
      <c r="J3" s="145"/>
      <c r="K3" s="150"/>
    </row>
    <row r="4" spans="1:12" x14ac:dyDescent="0.3">
      <c r="B4" s="152" t="s">
        <v>349</v>
      </c>
      <c r="C4" s="117" t="s">
        <v>353</v>
      </c>
      <c r="D4" s="117" t="s">
        <v>366</v>
      </c>
      <c r="E4" s="117" t="s">
        <v>360</v>
      </c>
      <c r="F4" s="117" t="s">
        <v>1</v>
      </c>
      <c r="G4" s="118"/>
      <c r="H4" s="119"/>
      <c r="I4" s="117"/>
      <c r="J4" s="145"/>
      <c r="K4" s="150"/>
    </row>
    <row r="5" spans="1:12" x14ac:dyDescent="0.3">
      <c r="B5" s="152" t="s">
        <v>350</v>
      </c>
      <c r="C5" s="117" t="s">
        <v>354</v>
      </c>
      <c r="D5" s="117" t="s">
        <v>357</v>
      </c>
      <c r="E5" s="117" t="s">
        <v>361</v>
      </c>
      <c r="F5" s="117"/>
      <c r="G5" s="117"/>
      <c r="H5" s="119"/>
      <c r="I5" s="117"/>
      <c r="J5" s="145"/>
      <c r="K5" s="150"/>
    </row>
    <row r="6" spans="1:12" x14ac:dyDescent="0.3">
      <c r="B6" s="152" t="s">
        <v>351</v>
      </c>
      <c r="C6" s="117" t="s">
        <v>355</v>
      </c>
      <c r="D6" s="117" t="s">
        <v>357</v>
      </c>
      <c r="E6" s="117" t="s">
        <v>362</v>
      </c>
      <c r="F6" s="117"/>
      <c r="G6" s="117"/>
      <c r="H6" s="119"/>
      <c r="I6" s="117"/>
      <c r="J6" s="155"/>
      <c r="K6" s="150"/>
    </row>
    <row r="7" spans="1:12" x14ac:dyDescent="0.3">
      <c r="B7" s="153" t="s">
        <v>352</v>
      </c>
      <c r="C7" s="146" t="s">
        <v>356</v>
      </c>
      <c r="D7" s="146" t="s">
        <v>359</v>
      </c>
      <c r="E7" s="146" t="s">
        <v>363</v>
      </c>
      <c r="F7" s="146"/>
      <c r="G7" s="146"/>
      <c r="H7" s="147"/>
      <c r="I7" s="146"/>
      <c r="J7" s="156"/>
      <c r="K7" s="150"/>
    </row>
    <row r="8" spans="1:12" x14ac:dyDescent="0.3">
      <c r="B8" s="152"/>
      <c r="C8" s="117"/>
      <c r="D8" s="117"/>
      <c r="E8" s="117"/>
      <c r="F8" s="117"/>
      <c r="G8" s="117"/>
      <c r="H8" s="119"/>
      <c r="I8" s="117"/>
      <c r="J8" s="155"/>
      <c r="K8" s="150"/>
    </row>
    <row r="9" spans="1:12" x14ac:dyDescent="0.3">
      <c r="B9" s="152"/>
      <c r="C9" s="117"/>
      <c r="D9" s="117"/>
      <c r="E9" s="117"/>
      <c r="F9" s="117"/>
      <c r="G9" s="117"/>
      <c r="H9" s="119"/>
      <c r="I9" s="117"/>
      <c r="J9" s="145"/>
      <c r="K9" s="150"/>
    </row>
    <row r="10" spans="1:12" x14ac:dyDescent="0.3">
      <c r="B10" s="152"/>
      <c r="C10" s="117"/>
      <c r="D10" s="117"/>
      <c r="E10" s="117"/>
      <c r="F10" s="117"/>
      <c r="G10" s="117"/>
      <c r="H10" s="119"/>
      <c r="I10" s="117"/>
      <c r="J10" s="145"/>
      <c r="K10" s="150"/>
    </row>
    <row r="11" spans="1:12" x14ac:dyDescent="0.3">
      <c r="B11" s="152"/>
      <c r="C11" s="117"/>
      <c r="D11" s="117"/>
      <c r="E11" s="117"/>
      <c r="F11" s="117"/>
      <c r="G11" s="117"/>
      <c r="H11" s="119"/>
      <c r="I11" s="117"/>
      <c r="J11" s="145"/>
      <c r="K11" s="150"/>
    </row>
    <row r="12" spans="1:12" x14ac:dyDescent="0.3">
      <c r="B12" s="152"/>
      <c r="C12" s="117"/>
      <c r="D12" s="117"/>
      <c r="E12" s="117"/>
      <c r="F12" s="117"/>
      <c r="G12" s="117"/>
      <c r="H12" s="119"/>
      <c r="I12" s="117"/>
      <c r="J12" s="145"/>
      <c r="K12" s="150"/>
    </row>
    <row r="13" spans="1:12" x14ac:dyDescent="0.3">
      <c r="B13" s="152"/>
      <c r="C13" s="117"/>
      <c r="D13" s="117"/>
      <c r="E13" s="117"/>
      <c r="F13" s="117"/>
      <c r="G13" s="117"/>
      <c r="H13" s="119"/>
      <c r="I13" s="117"/>
      <c r="J13" s="145"/>
      <c r="K13" s="150"/>
    </row>
    <row r="14" spans="1:12" x14ac:dyDescent="0.3">
      <c r="B14" s="152"/>
      <c r="C14" s="117"/>
      <c r="D14" s="117"/>
      <c r="E14" s="117"/>
      <c r="F14" s="117"/>
      <c r="G14" s="117"/>
      <c r="H14" s="119"/>
      <c r="I14" s="117"/>
      <c r="J14" s="145"/>
      <c r="K14" s="150"/>
    </row>
    <row r="15" spans="1:12" x14ac:dyDescent="0.3">
      <c r="B15" s="152"/>
      <c r="C15" s="117"/>
      <c r="D15" s="117"/>
      <c r="E15" s="117"/>
      <c r="F15" s="117"/>
      <c r="G15" s="117"/>
      <c r="H15" s="119"/>
      <c r="I15" s="117"/>
      <c r="J15" s="145"/>
      <c r="K15" s="150"/>
    </row>
    <row r="16" spans="1:12" x14ac:dyDescent="0.3">
      <c r="B16" s="152"/>
      <c r="C16" s="117"/>
      <c r="D16" s="117"/>
      <c r="E16" s="154"/>
      <c r="F16" s="117"/>
      <c r="G16" s="117"/>
      <c r="H16" s="119"/>
      <c r="I16" s="117"/>
      <c r="J16" s="145"/>
      <c r="K16" s="150"/>
    </row>
    <row r="17" spans="2:11" x14ac:dyDescent="0.3">
      <c r="B17" s="152"/>
      <c r="C17" s="117"/>
      <c r="D17" s="117"/>
      <c r="E17" s="117"/>
      <c r="F17" s="117"/>
      <c r="G17" s="117"/>
      <c r="H17" s="119"/>
      <c r="I17" s="117"/>
      <c r="J17" s="145"/>
      <c r="K17" s="150"/>
    </row>
    <row r="18" spans="2:11" x14ac:dyDescent="0.3">
      <c r="B18" s="152"/>
      <c r="C18" s="117"/>
      <c r="D18" s="117"/>
      <c r="E18" s="117"/>
      <c r="F18" s="117"/>
      <c r="G18" s="117"/>
      <c r="H18" s="119"/>
      <c r="I18" s="117"/>
      <c r="J18" s="145"/>
      <c r="K18" s="150"/>
    </row>
    <row r="19" spans="2:11" x14ac:dyDescent="0.3">
      <c r="B19" s="152"/>
      <c r="C19" s="117"/>
      <c r="D19" s="117"/>
      <c r="E19" s="117"/>
      <c r="F19" s="117"/>
      <c r="G19" s="117"/>
      <c r="H19" s="119"/>
      <c r="I19" s="117"/>
      <c r="J19" s="145"/>
      <c r="K19" s="150"/>
    </row>
    <row r="20" spans="2:11" x14ac:dyDescent="0.3">
      <c r="B20" s="152"/>
      <c r="C20" s="117"/>
      <c r="D20" s="117"/>
      <c r="E20" s="117"/>
      <c r="F20" s="117"/>
      <c r="G20" s="117"/>
      <c r="H20" s="119"/>
      <c r="I20" s="117"/>
      <c r="J20" s="145"/>
      <c r="K20" s="150"/>
    </row>
    <row r="21" spans="2:11" x14ac:dyDescent="0.3">
      <c r="B21" s="152"/>
      <c r="C21" s="117"/>
      <c r="D21" s="117"/>
      <c r="E21" s="117"/>
      <c r="F21" s="117"/>
      <c r="G21" s="117"/>
      <c r="H21" s="119"/>
      <c r="I21" s="117"/>
      <c r="J21" s="145"/>
      <c r="K21" s="150"/>
    </row>
    <row r="22" spans="2:11" x14ac:dyDescent="0.3">
      <c r="B22" s="152"/>
      <c r="C22" s="117"/>
      <c r="D22" s="117"/>
      <c r="E22" s="117"/>
      <c r="F22" s="117"/>
      <c r="G22" s="117"/>
      <c r="H22" s="119"/>
      <c r="I22" s="117"/>
      <c r="J22" s="145"/>
      <c r="K22" s="150"/>
    </row>
    <row r="23" spans="2:11" x14ac:dyDescent="0.3">
      <c r="B23" s="152"/>
      <c r="C23" s="117"/>
      <c r="D23" s="117"/>
      <c r="E23" s="117"/>
      <c r="F23" s="117"/>
      <c r="G23" s="117"/>
      <c r="H23" s="119"/>
      <c r="I23" s="117"/>
      <c r="J23" s="145"/>
      <c r="K23" s="150"/>
    </row>
    <row r="24" spans="2:11" x14ac:dyDescent="0.3">
      <c r="B24" s="152"/>
      <c r="C24" s="117"/>
      <c r="D24" s="117"/>
      <c r="E24" s="117"/>
      <c r="F24" s="117"/>
      <c r="G24" s="117"/>
      <c r="H24" s="119"/>
      <c r="I24" s="117"/>
      <c r="J24" s="145"/>
      <c r="K24" s="150"/>
    </row>
    <row r="25" spans="2:11" x14ac:dyDescent="0.3">
      <c r="B25" s="152"/>
      <c r="C25" s="117"/>
      <c r="D25" s="117"/>
      <c r="E25" s="117"/>
      <c r="F25" s="117"/>
      <c r="G25" s="117"/>
      <c r="H25" s="119"/>
      <c r="I25" s="117"/>
      <c r="J25" s="145"/>
      <c r="K25" s="150"/>
    </row>
    <row r="26" spans="2:11" x14ac:dyDescent="0.3">
      <c r="B26" s="152"/>
      <c r="C26" s="117"/>
      <c r="D26" s="117"/>
      <c r="E26" s="117"/>
      <c r="F26" s="117"/>
      <c r="G26" s="117"/>
      <c r="H26" s="119"/>
      <c r="I26" s="117"/>
      <c r="J26" s="145"/>
      <c r="K26" s="150"/>
    </row>
    <row r="27" spans="2:11" x14ac:dyDescent="0.3">
      <c r="B27" s="152"/>
      <c r="C27" s="117"/>
      <c r="D27" s="117"/>
      <c r="E27" s="117"/>
      <c r="F27" s="117"/>
      <c r="G27" s="117"/>
      <c r="H27" s="119"/>
      <c r="I27" s="117"/>
      <c r="J27" s="145"/>
      <c r="K27" s="150"/>
    </row>
    <row r="28" spans="2:11" x14ac:dyDescent="0.3">
      <c r="B28" s="152"/>
      <c r="C28" s="117"/>
      <c r="D28" s="117"/>
      <c r="E28" s="117"/>
      <c r="F28" s="117"/>
      <c r="G28" s="117"/>
      <c r="H28" s="119"/>
      <c r="I28" s="117"/>
      <c r="J28" s="145"/>
      <c r="K28" s="150"/>
    </row>
    <row r="29" spans="2:11" x14ac:dyDescent="0.3">
      <c r="B29" s="152"/>
      <c r="C29" s="117"/>
      <c r="D29" s="117"/>
      <c r="E29" s="117"/>
      <c r="F29" s="117"/>
      <c r="G29" s="117"/>
      <c r="H29" s="119"/>
      <c r="I29" s="117"/>
      <c r="J29" s="145"/>
      <c r="K29" s="150"/>
    </row>
    <row r="30" spans="2:11" x14ac:dyDescent="0.3">
      <c r="B30" s="152"/>
      <c r="C30" s="117"/>
      <c r="D30" s="117"/>
      <c r="E30" s="117"/>
      <c r="F30" s="117"/>
      <c r="G30" s="117"/>
      <c r="H30" s="119"/>
      <c r="I30" s="117"/>
      <c r="J30" s="145"/>
      <c r="K30" s="150"/>
    </row>
    <row r="31" spans="2:11" x14ac:dyDescent="0.3">
      <c r="B31" s="152"/>
      <c r="C31" s="117"/>
      <c r="D31" s="117"/>
      <c r="E31" s="117"/>
      <c r="F31" s="117"/>
      <c r="G31" s="117"/>
      <c r="H31" s="119"/>
      <c r="I31" s="117"/>
      <c r="J31" s="145"/>
      <c r="K31" s="150"/>
    </row>
    <row r="32" spans="2:11" x14ac:dyDescent="0.3">
      <c r="B32" s="152"/>
      <c r="C32" s="117"/>
      <c r="D32" s="117"/>
      <c r="E32" s="117"/>
      <c r="F32" s="117"/>
      <c r="G32" s="117"/>
      <c r="H32" s="119"/>
      <c r="I32" s="117"/>
      <c r="J32" s="145"/>
      <c r="K32" s="150"/>
    </row>
    <row r="33" spans="2:11" x14ac:dyDescent="0.3">
      <c r="B33" s="152"/>
      <c r="C33" s="117"/>
      <c r="D33" s="117"/>
      <c r="E33" s="117"/>
      <c r="F33" s="117"/>
      <c r="G33" s="117"/>
      <c r="H33" s="119"/>
      <c r="I33" s="117"/>
      <c r="J33" s="145"/>
      <c r="K33" s="150"/>
    </row>
    <row r="34" spans="2:11" x14ac:dyDescent="0.3">
      <c r="B34" s="152"/>
      <c r="C34" s="117"/>
      <c r="D34" s="117"/>
      <c r="E34" s="117"/>
      <c r="F34" s="117"/>
      <c r="G34" s="117"/>
      <c r="H34" s="119"/>
      <c r="I34" s="117"/>
      <c r="J34" s="145"/>
      <c r="K34" s="150"/>
    </row>
    <row r="35" spans="2:11" x14ac:dyDescent="0.3">
      <c r="B35" s="152"/>
      <c r="C35" s="117"/>
      <c r="D35" s="117"/>
      <c r="E35" s="117"/>
      <c r="F35" s="117"/>
      <c r="G35" s="117"/>
      <c r="H35" s="119"/>
      <c r="I35" s="117"/>
      <c r="J35" s="145"/>
      <c r="K35" s="150"/>
    </row>
    <row r="36" spans="2:11" x14ac:dyDescent="0.3">
      <c r="B36" s="152"/>
      <c r="C36" s="117"/>
      <c r="D36" s="117"/>
      <c r="E36" s="117"/>
      <c r="F36" s="117"/>
      <c r="G36" s="117"/>
      <c r="H36" s="119"/>
      <c r="I36" s="117"/>
      <c r="J36" s="145"/>
      <c r="K36" s="150"/>
    </row>
    <row r="37" spans="2:11" x14ac:dyDescent="0.3">
      <c r="B37" s="152"/>
      <c r="C37" s="117"/>
      <c r="D37" s="117"/>
      <c r="E37" s="117"/>
      <c r="F37" s="117"/>
      <c r="G37" s="117"/>
      <c r="H37" s="119"/>
      <c r="I37" s="117"/>
      <c r="J37" s="145"/>
      <c r="K37" s="150"/>
    </row>
  </sheetData>
  <mergeCells count="1">
    <mergeCell ref="B1:J1"/>
  </mergeCell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1:I8"/>
  <sheetViews>
    <sheetView workbookViewId="0">
      <selection activeCell="B5" sqref="B5"/>
    </sheetView>
  </sheetViews>
  <sheetFormatPr defaultRowHeight="14.4" x14ac:dyDescent="0.3"/>
  <cols>
    <col min="2" max="2" width="21.33203125" customWidth="1"/>
    <col min="3" max="3" width="27.44140625" customWidth="1"/>
    <col min="4" max="4" width="15.88671875" customWidth="1"/>
    <col min="5" max="5" width="24.6640625" customWidth="1"/>
    <col min="6" max="6" width="24.33203125" customWidth="1"/>
    <col min="7" max="7" width="19.88671875" bestFit="1" customWidth="1"/>
    <col min="8" max="8" width="20.44140625" bestFit="1" customWidth="1"/>
    <col min="9" max="9" width="16.109375" bestFit="1" customWidth="1"/>
  </cols>
  <sheetData>
    <row r="1" spans="2:9" ht="23.4" customHeight="1" x14ac:dyDescent="0.3"/>
    <row r="2" spans="2:9" x14ac:dyDescent="0.3">
      <c r="B2" s="260" t="s">
        <v>273</v>
      </c>
      <c r="C2" s="265" t="s">
        <v>274</v>
      </c>
      <c r="D2" s="265" t="s">
        <v>275</v>
      </c>
      <c r="E2" s="266" t="s">
        <v>276</v>
      </c>
      <c r="F2" s="266" t="s">
        <v>277</v>
      </c>
      <c r="G2" s="265" t="s">
        <v>278</v>
      </c>
      <c r="H2" s="265" t="s">
        <v>279</v>
      </c>
      <c r="I2" s="265" t="s">
        <v>280</v>
      </c>
    </row>
    <row r="3" spans="2:9" x14ac:dyDescent="0.3">
      <c r="B3" s="262"/>
      <c r="C3" s="265"/>
      <c r="D3" s="265"/>
      <c r="E3" s="266"/>
      <c r="F3" s="266"/>
      <c r="G3" s="265"/>
      <c r="H3" s="265"/>
      <c r="I3" s="265"/>
    </row>
    <row r="4" spans="2:9" x14ac:dyDescent="0.3">
      <c r="B4" s="115" t="s">
        <v>368</v>
      </c>
      <c r="C4" s="115"/>
      <c r="D4" s="115"/>
      <c r="E4" s="116"/>
      <c r="F4" s="115"/>
      <c r="G4" s="115"/>
      <c r="H4" s="115"/>
      <c r="I4" s="115"/>
    </row>
    <row r="5" spans="2:9" x14ac:dyDescent="0.3">
      <c r="B5" s="115" t="s">
        <v>369</v>
      </c>
      <c r="C5" s="115"/>
      <c r="D5" s="115"/>
      <c r="E5" s="116"/>
      <c r="F5" s="115"/>
      <c r="G5" s="115"/>
      <c r="H5" s="115"/>
      <c r="I5" s="115"/>
    </row>
    <row r="6" spans="2:9" x14ac:dyDescent="0.3">
      <c r="B6" s="115"/>
      <c r="C6" s="115"/>
      <c r="D6" s="115"/>
      <c r="E6" s="116"/>
      <c r="F6" s="115"/>
      <c r="G6" s="115"/>
      <c r="H6" s="115"/>
      <c r="I6" s="115"/>
    </row>
    <row r="7" spans="2:9" x14ac:dyDescent="0.3">
      <c r="B7" s="115"/>
      <c r="C7" s="115"/>
      <c r="D7" s="115"/>
      <c r="E7" s="116"/>
      <c r="F7" s="115"/>
      <c r="G7" s="115"/>
      <c r="H7" s="115"/>
      <c r="I7" s="115"/>
    </row>
    <row r="8" spans="2:9" x14ac:dyDescent="0.3">
      <c r="B8" s="115"/>
      <c r="C8" s="115"/>
      <c r="D8" s="115"/>
      <c r="E8" s="116"/>
      <c r="F8" s="115"/>
      <c r="G8" s="115"/>
      <c r="H8" s="115"/>
      <c r="I8" s="115"/>
    </row>
  </sheetData>
  <mergeCells count="8">
    <mergeCell ref="H2:H3"/>
    <mergeCell ref="I2:I3"/>
    <mergeCell ref="B2:B3"/>
    <mergeCell ref="C2:C3"/>
    <mergeCell ref="D2:D3"/>
    <mergeCell ref="E2:E3"/>
    <mergeCell ref="F2:F3"/>
    <mergeCell ref="G2:G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2:C37"/>
  <sheetViews>
    <sheetView showGridLines="0" workbookViewId="0">
      <selection activeCell="A6" sqref="A6"/>
    </sheetView>
  </sheetViews>
  <sheetFormatPr defaultColWidth="9.109375" defaultRowHeight="14.4" x14ac:dyDescent="0.3"/>
  <cols>
    <col min="1" max="1" width="70.6640625" customWidth="1"/>
    <col min="2" max="2" width="17" customWidth="1"/>
    <col min="3" max="3" width="37.88671875" customWidth="1"/>
  </cols>
  <sheetData>
    <row r="2" spans="2:3" x14ac:dyDescent="0.3">
      <c r="B2" s="252" t="s">
        <v>311</v>
      </c>
      <c r="C2" s="252" t="s">
        <v>312</v>
      </c>
    </row>
    <row r="3" spans="2:3" x14ac:dyDescent="0.3">
      <c r="B3" s="254"/>
      <c r="C3" s="254"/>
    </row>
    <row r="4" spans="2:3" ht="21" x14ac:dyDescent="0.4">
      <c r="B4" s="267">
        <v>2020</v>
      </c>
      <c r="C4" s="267"/>
    </row>
    <row r="5" spans="2:3" x14ac:dyDescent="0.3">
      <c r="B5" s="136">
        <v>43831</v>
      </c>
      <c r="C5" s="137" t="s">
        <v>313</v>
      </c>
    </row>
    <row r="6" spans="2:3" x14ac:dyDescent="0.3">
      <c r="B6" s="136">
        <v>43855</v>
      </c>
      <c r="C6" s="137" t="s">
        <v>314</v>
      </c>
    </row>
    <row r="7" spans="2:3" x14ac:dyDescent="0.3">
      <c r="B7" s="136">
        <v>43886</v>
      </c>
      <c r="C7" s="137" t="s">
        <v>315</v>
      </c>
    </row>
    <row r="8" spans="2:3" x14ac:dyDescent="0.3">
      <c r="B8" s="136">
        <v>43930</v>
      </c>
      <c r="C8" s="137" t="s">
        <v>316</v>
      </c>
    </row>
    <row r="9" spans="2:3" x14ac:dyDescent="0.3">
      <c r="B9" s="136">
        <v>43931</v>
      </c>
      <c r="C9" s="137" t="s">
        <v>317</v>
      </c>
    </row>
    <row r="10" spans="2:3" x14ac:dyDescent="0.3">
      <c r="B10" s="136">
        <v>43952</v>
      </c>
      <c r="C10" s="137" t="s">
        <v>318</v>
      </c>
    </row>
    <row r="11" spans="2:3" x14ac:dyDescent="0.3">
      <c r="B11" s="136">
        <v>43975</v>
      </c>
      <c r="C11" s="137" t="s">
        <v>319</v>
      </c>
    </row>
    <row r="12" spans="2:3" x14ac:dyDescent="0.3">
      <c r="B12" s="136">
        <v>43994</v>
      </c>
      <c r="C12" s="137" t="s">
        <v>320</v>
      </c>
    </row>
    <row r="13" spans="2:3" x14ac:dyDescent="0.3">
      <c r="B13" s="136">
        <v>43677</v>
      </c>
      <c r="C13" s="137" t="s">
        <v>321</v>
      </c>
    </row>
    <row r="14" spans="2:3" x14ac:dyDescent="0.3">
      <c r="B14" s="136">
        <v>44064</v>
      </c>
      <c r="C14" s="137" t="s">
        <v>322</v>
      </c>
    </row>
    <row r="15" spans="2:3" x14ac:dyDescent="0.3">
      <c r="B15" s="136">
        <v>44074</v>
      </c>
      <c r="C15" s="137" t="s">
        <v>323</v>
      </c>
    </row>
    <row r="16" spans="2:3" x14ac:dyDescent="0.3">
      <c r="B16" s="136">
        <v>44136</v>
      </c>
      <c r="C16" s="137" t="s">
        <v>324</v>
      </c>
    </row>
    <row r="17" spans="2:3" x14ac:dyDescent="0.3">
      <c r="B17" s="136">
        <v>44165</v>
      </c>
      <c r="C17" s="137" t="s">
        <v>325</v>
      </c>
    </row>
    <row r="18" spans="2:3" x14ac:dyDescent="0.3">
      <c r="B18" s="136">
        <v>44173</v>
      </c>
      <c r="C18" s="137" t="s">
        <v>326</v>
      </c>
    </row>
    <row r="19" spans="2:3" x14ac:dyDescent="0.3">
      <c r="B19" s="136">
        <v>44190</v>
      </c>
      <c r="C19" s="137" t="s">
        <v>327</v>
      </c>
    </row>
    <row r="20" spans="2:3" x14ac:dyDescent="0.3">
      <c r="B20" s="136">
        <v>44195</v>
      </c>
      <c r="C20" s="137" t="s">
        <v>328</v>
      </c>
    </row>
    <row r="21" spans="2:3" x14ac:dyDescent="0.3">
      <c r="B21" s="136">
        <v>44196</v>
      </c>
      <c r="C21" s="137" t="s">
        <v>329</v>
      </c>
    </row>
    <row r="22" spans="2:3" ht="21" x14ac:dyDescent="0.4">
      <c r="B22" s="267">
        <v>2021</v>
      </c>
      <c r="C22" s="267"/>
    </row>
    <row r="23" spans="2:3" x14ac:dyDescent="0.3">
      <c r="B23" s="136">
        <v>44197</v>
      </c>
      <c r="C23" s="137" t="s">
        <v>330</v>
      </c>
    </row>
    <row r="24" spans="2:3" x14ac:dyDescent="0.3">
      <c r="B24" s="136">
        <v>44239</v>
      </c>
      <c r="C24" s="137" t="s">
        <v>314</v>
      </c>
    </row>
    <row r="25" spans="2:3" x14ac:dyDescent="0.3">
      <c r="B25" s="136">
        <v>44287</v>
      </c>
      <c r="C25" s="137" t="s">
        <v>331</v>
      </c>
    </row>
    <row r="26" spans="2:3" x14ac:dyDescent="0.3">
      <c r="B26" s="136">
        <v>44288</v>
      </c>
      <c r="C26" s="137" t="s">
        <v>317</v>
      </c>
    </row>
    <row r="27" spans="2:3" x14ac:dyDescent="0.3">
      <c r="B27" s="136">
        <v>44295</v>
      </c>
      <c r="C27" s="137" t="s">
        <v>332</v>
      </c>
    </row>
    <row r="28" spans="2:3" x14ac:dyDescent="0.3">
      <c r="B28" s="136">
        <v>44317</v>
      </c>
      <c r="C28" s="137" t="s">
        <v>333</v>
      </c>
    </row>
    <row r="29" spans="2:3" x14ac:dyDescent="0.3">
      <c r="B29" s="136">
        <v>44328</v>
      </c>
      <c r="C29" s="137" t="s">
        <v>334</v>
      </c>
    </row>
    <row r="30" spans="2:3" x14ac:dyDescent="0.3">
      <c r="B30" s="136">
        <v>44329</v>
      </c>
      <c r="C30" s="137" t="s">
        <v>334</v>
      </c>
    </row>
    <row r="31" spans="2:3" x14ac:dyDescent="0.3">
      <c r="B31" s="136">
        <v>44359</v>
      </c>
      <c r="C31" s="137" t="s">
        <v>335</v>
      </c>
    </row>
    <row r="32" spans="2:3" x14ac:dyDescent="0.3">
      <c r="B32" s="136">
        <v>44396</v>
      </c>
      <c r="C32" s="137" t="s">
        <v>336</v>
      </c>
    </row>
    <row r="33" spans="2:3" x14ac:dyDescent="0.3">
      <c r="B33" s="136">
        <v>44397</v>
      </c>
      <c r="C33" s="137" t="s">
        <v>336</v>
      </c>
    </row>
    <row r="34" spans="2:3" x14ac:dyDescent="0.3">
      <c r="B34" s="136">
        <v>44438</v>
      </c>
      <c r="C34" s="137" t="s">
        <v>337</v>
      </c>
    </row>
    <row r="35" spans="2:3" x14ac:dyDescent="0.3">
      <c r="B35" s="136">
        <v>44530</v>
      </c>
      <c r="C35" s="137" t="s">
        <v>325</v>
      </c>
    </row>
    <row r="36" spans="2:3" x14ac:dyDescent="0.3">
      <c r="B36" s="136">
        <v>44555</v>
      </c>
      <c r="C36" s="137" t="s">
        <v>327</v>
      </c>
    </row>
    <row r="37" spans="2:3" x14ac:dyDescent="0.3">
      <c r="B37" s="136">
        <v>44560</v>
      </c>
      <c r="C37" s="137" t="s">
        <v>328</v>
      </c>
    </row>
  </sheetData>
  <mergeCells count="4">
    <mergeCell ref="B4:C4"/>
    <mergeCell ref="B22:C22"/>
    <mergeCell ref="B2:B3"/>
    <mergeCell ref="C2:C3"/>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L25"/>
  <sheetViews>
    <sheetView showGridLines="0" view="pageLayout" zoomScale="85" zoomScaleNormal="70" zoomScaleSheetLayoutView="100" zoomScalePageLayoutView="85" workbookViewId="0">
      <selection sqref="A1:J1"/>
    </sheetView>
  </sheetViews>
  <sheetFormatPr defaultRowHeight="14.4" outlineLevelRow="1" x14ac:dyDescent="0.3"/>
  <cols>
    <col min="1" max="1" width="9.6640625" customWidth="1"/>
    <col min="2" max="2" width="9.5546875" customWidth="1"/>
    <col min="3" max="3" width="8.88671875" customWidth="1"/>
    <col min="4" max="4" width="10.6640625" customWidth="1"/>
    <col min="9" max="9" width="10.6640625" customWidth="1"/>
    <col min="10" max="10" width="1.44140625" customWidth="1"/>
  </cols>
  <sheetData>
    <row r="1" spans="1:12" ht="25.95" customHeight="1" thickBot="1" x14ac:dyDescent="0.35">
      <c r="A1" s="279" t="s">
        <v>237</v>
      </c>
      <c r="B1" s="280"/>
      <c r="C1" s="280"/>
      <c r="D1" s="280"/>
      <c r="E1" s="280"/>
      <c r="F1" s="280"/>
      <c r="G1" s="280"/>
      <c r="H1" s="280"/>
      <c r="I1" s="280"/>
      <c r="J1" s="281"/>
    </row>
    <row r="2" spans="1:12" ht="4.2" customHeight="1" x14ac:dyDescent="0.3">
      <c r="A2" s="34"/>
      <c r="B2" s="35"/>
      <c r="C2" s="35"/>
      <c r="D2" s="35"/>
      <c r="E2" s="35"/>
      <c r="F2" s="35"/>
      <c r="G2" s="35"/>
      <c r="H2" s="35"/>
      <c r="I2" s="35"/>
      <c r="J2" s="36"/>
    </row>
    <row r="3" spans="1:12" ht="15" customHeight="1" x14ac:dyDescent="0.3">
      <c r="A3" s="282" t="s">
        <v>233</v>
      </c>
      <c r="B3" s="283"/>
      <c r="C3" s="276" t="str">
        <f>project_name</f>
        <v>Project Omicron</v>
      </c>
      <c r="D3" s="276"/>
      <c r="E3" s="276"/>
      <c r="F3" s="277" t="s">
        <v>238</v>
      </c>
      <c r="G3" s="278"/>
      <c r="H3" s="272" t="str">
        <f>'Project Data'!B10</f>
        <v>DELAYED</v>
      </c>
      <c r="I3" s="273"/>
      <c r="J3" s="33"/>
    </row>
    <row r="4" spans="1:12" ht="15" customHeight="1" x14ac:dyDescent="0.3">
      <c r="A4" s="282" t="s">
        <v>234</v>
      </c>
      <c r="B4" s="283"/>
      <c r="C4" s="276" t="str">
        <f>projectSponsor</f>
        <v>Name of Project Sponsor</v>
      </c>
      <c r="D4" s="276"/>
      <c r="E4" s="276"/>
      <c r="F4" s="42"/>
      <c r="G4" s="42"/>
      <c r="H4" s="274"/>
      <c r="I4" s="275"/>
      <c r="J4" s="33"/>
    </row>
    <row r="5" spans="1:12" ht="15" customHeight="1" x14ac:dyDescent="0.3">
      <c r="A5" s="282" t="s">
        <v>235</v>
      </c>
      <c r="B5" s="283"/>
      <c r="C5" s="276" t="str">
        <f>projManager</f>
        <v>Pedro Penduko</v>
      </c>
      <c r="D5" s="276"/>
      <c r="E5" s="276"/>
      <c r="F5" s="40"/>
      <c r="G5" s="41" t="s">
        <v>236</v>
      </c>
      <c r="H5" s="271">
        <v>44604</v>
      </c>
      <c r="I5" s="271"/>
      <c r="J5" s="33"/>
    </row>
    <row r="6" spans="1:12" ht="5.4" customHeight="1" x14ac:dyDescent="0.3">
      <c r="A6" s="37"/>
      <c r="B6" s="38"/>
      <c r="C6" s="38"/>
      <c r="D6" s="38"/>
      <c r="E6" s="38"/>
      <c r="F6" s="38"/>
      <c r="G6" s="38"/>
      <c r="H6" s="38"/>
      <c r="I6" s="38"/>
      <c r="J6" s="39"/>
    </row>
    <row r="7" spans="1:12" ht="3.6" customHeight="1" x14ac:dyDescent="0.3"/>
    <row r="8" spans="1:12" x14ac:dyDescent="0.3">
      <c r="A8" s="268" t="s">
        <v>240</v>
      </c>
      <c r="B8" s="269"/>
      <c r="C8" s="269"/>
      <c r="D8" s="269"/>
      <c r="E8" s="269"/>
      <c r="F8" s="269"/>
      <c r="G8" s="269"/>
      <c r="H8" s="269"/>
      <c r="I8" s="269"/>
      <c r="J8" s="270"/>
    </row>
    <row r="9" spans="1:12" outlineLevel="1" x14ac:dyDescent="0.3">
      <c r="A9" s="43"/>
      <c r="B9" s="43"/>
      <c r="C9" s="43"/>
      <c r="D9" s="43"/>
      <c r="E9" s="43"/>
      <c r="F9" s="43"/>
      <c r="G9" s="43"/>
      <c r="H9" s="43"/>
      <c r="I9" s="43"/>
      <c r="J9" s="43"/>
    </row>
    <row r="10" spans="1:12" outlineLevel="1" x14ac:dyDescent="0.3">
      <c r="A10" s="43"/>
      <c r="B10" s="43"/>
      <c r="C10" s="43"/>
      <c r="D10" s="43"/>
      <c r="E10" s="43"/>
      <c r="F10" s="43"/>
      <c r="G10" s="43"/>
      <c r="H10" s="43"/>
      <c r="I10" s="43"/>
      <c r="J10" s="43"/>
    </row>
    <row r="11" spans="1:12" outlineLevel="1" x14ac:dyDescent="0.3">
      <c r="A11" s="43"/>
      <c r="B11" s="43"/>
      <c r="C11" s="43"/>
      <c r="D11" s="43"/>
      <c r="E11" s="43"/>
      <c r="F11" s="43"/>
      <c r="G11" s="43"/>
      <c r="H11" s="43"/>
      <c r="I11" s="43"/>
      <c r="J11" s="43"/>
      <c r="L11" s="1"/>
    </row>
    <row r="12" spans="1:12" outlineLevel="1" x14ac:dyDescent="0.3">
      <c r="A12" s="43"/>
      <c r="B12" s="43"/>
      <c r="C12" s="43"/>
      <c r="D12" s="43"/>
      <c r="E12" s="43"/>
      <c r="F12" s="43"/>
      <c r="G12" s="43"/>
      <c r="H12" s="43"/>
      <c r="I12" s="43"/>
      <c r="J12" s="43"/>
    </row>
    <row r="13" spans="1:12" outlineLevel="1" x14ac:dyDescent="0.3">
      <c r="A13" s="43"/>
      <c r="B13" s="43"/>
      <c r="C13" s="43"/>
      <c r="D13" s="43"/>
      <c r="E13" s="43"/>
      <c r="F13" s="43"/>
      <c r="G13" s="43"/>
      <c r="H13" s="43"/>
      <c r="I13" s="43"/>
      <c r="J13" s="43"/>
    </row>
    <row r="14" spans="1:12" outlineLevel="1" x14ac:dyDescent="0.3">
      <c r="A14" s="43"/>
      <c r="B14" s="43"/>
      <c r="C14" s="43"/>
      <c r="D14" s="43"/>
      <c r="E14" s="43"/>
      <c r="F14" s="43"/>
      <c r="G14" s="43"/>
      <c r="H14" s="43"/>
      <c r="I14" s="43"/>
      <c r="J14" s="43"/>
    </row>
    <row r="15" spans="1:12" outlineLevel="1" x14ac:dyDescent="0.3">
      <c r="A15" s="43"/>
      <c r="B15" s="43"/>
      <c r="C15" s="43"/>
      <c r="D15" s="43"/>
      <c r="E15" s="43"/>
      <c r="F15" s="43"/>
      <c r="G15" s="43"/>
      <c r="H15" s="43"/>
      <c r="I15" s="43"/>
      <c r="J15" s="43"/>
    </row>
    <row r="16" spans="1:12" outlineLevel="1" x14ac:dyDescent="0.3">
      <c r="A16" s="43"/>
      <c r="B16" s="43"/>
      <c r="C16" s="43"/>
      <c r="D16" s="43"/>
      <c r="E16" s="43"/>
      <c r="F16" s="43"/>
      <c r="G16" s="43"/>
      <c r="H16" s="43"/>
      <c r="I16" s="43"/>
      <c r="J16" s="43"/>
    </row>
    <row r="17" spans="1:10" outlineLevel="1" x14ac:dyDescent="0.3">
      <c r="A17" s="43"/>
      <c r="B17" s="43"/>
      <c r="C17" s="43"/>
      <c r="D17" s="43"/>
      <c r="E17" s="43"/>
      <c r="F17" s="43"/>
      <c r="G17" s="43"/>
      <c r="H17" s="43"/>
      <c r="I17" s="43"/>
      <c r="J17" s="43"/>
    </row>
    <row r="18" spans="1:10" outlineLevel="1" x14ac:dyDescent="0.3">
      <c r="A18" s="43"/>
      <c r="B18" s="43"/>
      <c r="C18" s="43"/>
      <c r="D18" s="43"/>
      <c r="E18" s="43"/>
      <c r="F18" s="43"/>
      <c r="G18" s="43"/>
      <c r="H18" s="43"/>
      <c r="I18" s="43"/>
      <c r="J18" s="43"/>
    </row>
    <row r="19" spans="1:10" outlineLevel="1" x14ac:dyDescent="0.3">
      <c r="A19" s="43"/>
      <c r="B19" s="43"/>
      <c r="C19" s="43"/>
      <c r="D19" s="43"/>
      <c r="E19" s="43"/>
      <c r="F19" s="43"/>
      <c r="G19" s="43"/>
      <c r="H19" s="43"/>
      <c r="I19" s="43"/>
      <c r="J19" s="43"/>
    </row>
    <row r="20" spans="1:10" outlineLevel="1" x14ac:dyDescent="0.3">
      <c r="A20" s="43"/>
      <c r="B20" s="43"/>
      <c r="C20" s="43"/>
      <c r="D20" s="43"/>
      <c r="E20" s="43"/>
      <c r="F20" s="43"/>
      <c r="G20" s="43"/>
      <c r="H20" s="43"/>
      <c r="I20" s="43"/>
      <c r="J20" s="43"/>
    </row>
    <row r="21" spans="1:10" outlineLevel="1" x14ac:dyDescent="0.3">
      <c r="A21" s="43"/>
      <c r="B21" s="43"/>
      <c r="C21" s="43"/>
      <c r="D21" s="43"/>
      <c r="E21" s="43"/>
      <c r="F21" s="43"/>
      <c r="G21" s="43"/>
      <c r="H21" s="43"/>
      <c r="I21" s="43"/>
      <c r="J21" s="43"/>
    </row>
    <row r="22" spans="1:10" outlineLevel="1" x14ac:dyDescent="0.3">
      <c r="A22" s="43"/>
      <c r="B22" s="43"/>
      <c r="C22" s="43"/>
      <c r="D22" s="43"/>
      <c r="E22" s="43"/>
      <c r="F22" s="43"/>
      <c r="G22" s="43"/>
      <c r="H22" s="43"/>
      <c r="I22" s="43"/>
      <c r="J22" s="43"/>
    </row>
    <row r="23" spans="1:10" outlineLevel="1" x14ac:dyDescent="0.3">
      <c r="A23" s="43"/>
      <c r="B23" s="43"/>
      <c r="C23" s="43"/>
      <c r="D23" s="43"/>
      <c r="E23" s="43"/>
      <c r="F23" s="43"/>
      <c r="G23" s="43"/>
      <c r="H23" s="43"/>
      <c r="I23" s="43"/>
      <c r="J23" s="43"/>
    </row>
    <row r="24" spans="1:10" ht="3" customHeight="1" outlineLevel="1" x14ac:dyDescent="0.3">
      <c r="A24" s="43"/>
      <c r="B24" s="43"/>
      <c r="C24" s="43"/>
      <c r="D24" s="43"/>
      <c r="E24" s="43"/>
      <c r="F24" s="43"/>
      <c r="G24" s="43"/>
      <c r="H24" s="43"/>
      <c r="I24" s="43"/>
      <c r="J24" s="43"/>
    </row>
    <row r="25" spans="1:10" x14ac:dyDescent="0.3">
      <c r="A25" s="268" t="s">
        <v>249</v>
      </c>
      <c r="B25" s="269"/>
      <c r="C25" s="269"/>
      <c r="D25" s="269"/>
      <c r="E25" s="269"/>
      <c r="F25" s="269"/>
      <c r="G25" s="269"/>
      <c r="H25" s="269"/>
      <c r="I25" s="269"/>
      <c r="J25" s="270"/>
    </row>
  </sheetData>
  <mergeCells count="12">
    <mergeCell ref="A1:J1"/>
    <mergeCell ref="A3:B3"/>
    <mergeCell ref="A4:B4"/>
    <mergeCell ref="A5:B5"/>
    <mergeCell ref="A8:J8"/>
    <mergeCell ref="A25:J25"/>
    <mergeCell ref="H5:I5"/>
    <mergeCell ref="H3:I4"/>
    <mergeCell ref="C3:E3"/>
    <mergeCell ref="C4:E4"/>
    <mergeCell ref="C5:E5"/>
    <mergeCell ref="F3:G3"/>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8BDCB50-FC74-48D5-A8F7-3157457AE38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27</vt:i4>
      </vt:variant>
    </vt:vector>
  </HeadingPairs>
  <TitlesOfParts>
    <vt:vector size="39" baseType="lpstr">
      <vt:lpstr>Configure</vt:lpstr>
      <vt:lpstr>Dashboard</vt:lpstr>
      <vt:lpstr>TEST</vt:lpstr>
      <vt:lpstr>Work Package</vt:lpstr>
      <vt:lpstr>Gantt Data</vt:lpstr>
      <vt:lpstr>Project Data</vt:lpstr>
      <vt:lpstr>Risk and Issue Management</vt:lpstr>
      <vt:lpstr>Communication Plan</vt:lpstr>
      <vt:lpstr>Project Team</vt:lpstr>
      <vt:lpstr>Stakeholder Management</vt:lpstr>
      <vt:lpstr>Holidays</vt:lpstr>
      <vt:lpstr>Report</vt:lpstr>
      <vt:lpstr>company_name</vt:lpstr>
      <vt:lpstr>complete_Cnt</vt:lpstr>
      <vt:lpstr>'Project Data'!Criteria</vt:lpstr>
      <vt:lpstr>dash_Date</vt:lpstr>
      <vt:lpstr>daysSinceStart</vt:lpstr>
      <vt:lpstr>enableDashMacro</vt:lpstr>
      <vt:lpstr>'Project Data'!Extract</vt:lpstr>
      <vt:lpstr>gantChartLeftOutsideCells</vt:lpstr>
      <vt:lpstr>inProgress_Cnt</vt:lpstr>
      <vt:lpstr>notStarted_Cnt</vt:lpstr>
      <vt:lpstr>overdue_Cnt</vt:lpstr>
      <vt:lpstr>'Project Data'!prevWBS</vt:lpstr>
      <vt:lpstr>'Work Package'!prevWBS</vt:lpstr>
      <vt:lpstr>'Work Package'!Print_Area</vt:lpstr>
      <vt:lpstr>'Work Package'!Print_Titles</vt:lpstr>
      <vt:lpstr>project_name</vt:lpstr>
      <vt:lpstr>projectChampion</vt:lpstr>
      <vt:lpstr>projectManager</vt:lpstr>
      <vt:lpstr>projectSponsor</vt:lpstr>
      <vt:lpstr>projectStart</vt:lpstr>
      <vt:lpstr>projectStatus</vt:lpstr>
      <vt:lpstr>projManager</vt:lpstr>
      <vt:lpstr>projName</vt:lpstr>
      <vt:lpstr>projSponsor</vt:lpstr>
      <vt:lpstr>projStatus</vt:lpstr>
      <vt:lpstr>team_members_Concat</vt:lpstr>
      <vt:lpstr>totalTasks_Cnt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Paul Asensi</dc:creator>
  <cp:lastModifiedBy>John Paul Asensi</cp:lastModifiedBy>
  <cp:lastPrinted>2022-02-19T15:54:12Z</cp:lastPrinted>
  <dcterms:created xsi:type="dcterms:W3CDTF">2022-02-12T07:06:04Z</dcterms:created>
  <dcterms:modified xsi:type="dcterms:W3CDTF">2022-02-26T07:24:40Z</dcterms:modified>
</cp:coreProperties>
</file>